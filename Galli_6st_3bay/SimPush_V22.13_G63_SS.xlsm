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/>
  <xr:revisionPtr revIDLastSave="0" documentId="13_ncr:1_{B8177C5E-EE47-4B71-82D4-2E9E4622FAC4}" xr6:coauthVersionLast="46" xr6:coauthVersionMax="46" xr10:uidLastSave="{00000000-0000-0000-0000-000000000000}"/>
  <bookViews>
    <workbookView xWindow="-120" yWindow="-120" windowWidth="29040" windowHeight="15840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3" i="7" l="1"/>
  <c r="E67" i="7"/>
  <c r="I67" i="7"/>
  <c r="I64" i="7"/>
  <c r="M67" i="7"/>
  <c r="AP32" i="5"/>
  <c r="AO32" i="5"/>
  <c r="AN32" i="5"/>
  <c r="AP31" i="5"/>
  <c r="AR31" i="5" s="1"/>
  <c r="AT31" i="5" s="1"/>
  <c r="AO31" i="5"/>
  <c r="AN31" i="5"/>
  <c r="AP30" i="5"/>
  <c r="AR30" i="5" s="1"/>
  <c r="AT30" i="5" s="1"/>
  <c r="AO30" i="5"/>
  <c r="AN30" i="5"/>
  <c r="AP29" i="5"/>
  <c r="AO29" i="5"/>
  <c r="AN29" i="5"/>
  <c r="AP28" i="5"/>
  <c r="AO28" i="5"/>
  <c r="AN28" i="5"/>
  <c r="AO27" i="5"/>
  <c r="AN27" i="5"/>
  <c r="AP27" i="5" s="1"/>
  <c r="AR27" i="5" s="1"/>
  <c r="AT27" i="5" s="1"/>
  <c r="AP26" i="5"/>
  <c r="AR26" i="5" s="1"/>
  <c r="AT26" i="5" s="1"/>
  <c r="AO26" i="5"/>
  <c r="AN26" i="5"/>
  <c r="AO25" i="5"/>
  <c r="AN25" i="5"/>
  <c r="AP25" i="5" s="1"/>
  <c r="AR25" i="5" s="1"/>
  <c r="AT25" i="5" s="1"/>
  <c r="AP24" i="5"/>
  <c r="AO24" i="5"/>
  <c r="AN24" i="5"/>
  <c r="AO23" i="5"/>
  <c r="AN23" i="5"/>
  <c r="AP23" i="5" s="1"/>
  <c r="AR23" i="5" s="1"/>
  <c r="AT23" i="5" s="1"/>
  <c r="AP22" i="5"/>
  <c r="AR22" i="5" s="1"/>
  <c r="AT22" i="5" s="1"/>
  <c r="AO22" i="5"/>
  <c r="AN22" i="5"/>
  <c r="AO21" i="5"/>
  <c r="AN21" i="5"/>
  <c r="AP21" i="5" s="1"/>
  <c r="AR21" i="5" s="1"/>
  <c r="AT21" i="5" s="1"/>
  <c r="AP20" i="5"/>
  <c r="AO20" i="5"/>
  <c r="AN20" i="5"/>
  <c r="AO19" i="5"/>
  <c r="AN19" i="5"/>
  <c r="AP19" i="5" s="1"/>
  <c r="AR19" i="5" s="1"/>
  <c r="AT19" i="5" s="1"/>
  <c r="AP18" i="5"/>
  <c r="AR18" i="5" s="1"/>
  <c r="AT18" i="5" s="1"/>
  <c r="AO18" i="5"/>
  <c r="AN18" i="5"/>
  <c r="AO17" i="5"/>
  <c r="AN17" i="5"/>
  <c r="AP17" i="5" s="1"/>
  <c r="AR17" i="5" s="1"/>
  <c r="AT17" i="5" s="1"/>
  <c r="AP16" i="5"/>
  <c r="AO16" i="5"/>
  <c r="AN16" i="5"/>
  <c r="AO15" i="5"/>
  <c r="AN15" i="5"/>
  <c r="AP15" i="5" s="1"/>
  <c r="AR15" i="5" s="1"/>
  <c r="AT15" i="5" s="1"/>
  <c r="AP14" i="5"/>
  <c r="AR14" i="5" s="1"/>
  <c r="AT14" i="5" s="1"/>
  <c r="AO14" i="5"/>
  <c r="AN14" i="5"/>
  <c r="AO13" i="5"/>
  <c r="AN13" i="5"/>
  <c r="AP13" i="5" s="1"/>
  <c r="AR13" i="5" s="1"/>
  <c r="AT13" i="5" s="1"/>
  <c r="AP12" i="5"/>
  <c r="AO12" i="5"/>
  <c r="AN12" i="5"/>
  <c r="AO11" i="5"/>
  <c r="AN11" i="5"/>
  <c r="AP11" i="5" s="1"/>
  <c r="AR11" i="5" s="1"/>
  <c r="AT11" i="5" s="1"/>
  <c r="AO10" i="5"/>
  <c r="AN10" i="5"/>
  <c r="AP10" i="5" s="1"/>
  <c r="AO9" i="5"/>
  <c r="AN9" i="5"/>
  <c r="AP9" i="5" s="1"/>
  <c r="AO8" i="5"/>
  <c r="AN8" i="5"/>
  <c r="AP8" i="5" s="1"/>
  <c r="AO7" i="5"/>
  <c r="AN7" i="5"/>
  <c r="AP7" i="5" s="1"/>
  <c r="AO6" i="5"/>
  <c r="AN6" i="5"/>
  <c r="AP6" i="5" s="1"/>
  <c r="AO5" i="5"/>
  <c r="AN5" i="5"/>
  <c r="AP5" i="5" s="1"/>
  <c r="AG44" i="5"/>
  <c r="AB44" i="5"/>
  <c r="W44" i="5"/>
  <c r="AG43" i="5"/>
  <c r="AB43" i="5"/>
  <c r="W43" i="5"/>
  <c r="AG39" i="5"/>
  <c r="AB39" i="5"/>
  <c r="W39" i="5"/>
  <c r="AG38" i="5"/>
  <c r="AB38" i="5"/>
  <c r="W38" i="5"/>
  <c r="AG33" i="5"/>
  <c r="AB33" i="5"/>
  <c r="W33" i="5"/>
  <c r="AG32" i="5"/>
  <c r="AB32" i="5"/>
  <c r="W32" i="5"/>
  <c r="AG28" i="5"/>
  <c r="AB28" i="5"/>
  <c r="W28" i="5"/>
  <c r="AG27" i="5"/>
  <c r="AB27" i="5"/>
  <c r="W27" i="5"/>
  <c r="AG22" i="5"/>
  <c r="X22" i="5"/>
  <c r="AB22" i="5" s="1"/>
  <c r="S22" i="5"/>
  <c r="W22" i="5" s="1"/>
  <c r="AG21" i="5"/>
  <c r="AB21" i="5"/>
  <c r="W21" i="5"/>
  <c r="AG17" i="5"/>
  <c r="AB17" i="5"/>
  <c r="W17" i="5"/>
  <c r="AG16" i="5"/>
  <c r="AB16" i="5"/>
  <c r="W16" i="5"/>
  <c r="AG11" i="5"/>
  <c r="AB11" i="5"/>
  <c r="X11" i="5"/>
  <c r="W11" i="5"/>
  <c r="AG10" i="5"/>
  <c r="AB10" i="5"/>
  <c r="W10" i="5"/>
  <c r="AG6" i="5"/>
  <c r="AB6" i="5"/>
  <c r="W6" i="5"/>
  <c r="AG5" i="5"/>
  <c r="AB5" i="5"/>
  <c r="W5" i="5"/>
  <c r="CY19" i="6"/>
  <c r="CY18" i="6"/>
  <c r="AR12" i="5" l="1"/>
  <c r="AT12" i="5" s="1"/>
  <c r="AR16" i="5"/>
  <c r="AT16" i="5" s="1"/>
  <c r="AR20" i="5"/>
  <c r="AT20" i="5" s="1"/>
  <c r="AR24" i="5"/>
  <c r="AT24" i="5" s="1"/>
  <c r="AR28" i="5"/>
  <c r="AT28" i="5" s="1"/>
  <c r="AR32" i="5"/>
  <c r="AT32" i="5" s="1"/>
  <c r="AR29" i="5"/>
  <c r="AT29" i="5" s="1"/>
  <c r="AR8" i="5"/>
  <c r="AT8" i="5" s="1"/>
  <c r="AQ8" i="5"/>
  <c r="AR5" i="5"/>
  <c r="AT5" i="5" s="1"/>
  <c r="AQ5" i="5"/>
  <c r="AR10" i="5"/>
  <c r="AT10" i="5" s="1"/>
  <c r="AQ10" i="5"/>
  <c r="AR6" i="5"/>
  <c r="AT6" i="5" s="1"/>
  <c r="AQ6" i="5"/>
  <c r="AR9" i="5"/>
  <c r="AT9" i="5" s="1"/>
  <c r="AQ9" i="5"/>
  <c r="AQ7" i="5"/>
  <c r="AR7" i="5"/>
  <c r="AT7" i="5" s="1"/>
  <c r="AQ11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X4" i="6"/>
  <c r="Y4" i="6" s="1"/>
  <c r="BA12" i="5" l="1"/>
  <c r="BC12" i="5" s="1"/>
  <c r="AX12" i="5"/>
  <c r="AZ12" i="5" s="1"/>
  <c r="AU12" i="5"/>
  <c r="AW12" i="5" s="1"/>
  <c r="BA23" i="5"/>
  <c r="BC23" i="5" s="1"/>
  <c r="AX23" i="5"/>
  <c r="AZ23" i="5" s="1"/>
  <c r="AU23" i="5"/>
  <c r="AW23" i="5" s="1"/>
  <c r="BA11" i="5"/>
  <c r="BC11" i="5" s="1"/>
  <c r="AX11" i="5"/>
  <c r="AZ11" i="5" s="1"/>
  <c r="AU11" i="5"/>
  <c r="AW11" i="5" s="1"/>
  <c r="BA21" i="5"/>
  <c r="BC21" i="5" s="1"/>
  <c r="AX21" i="5"/>
  <c r="AZ21" i="5" s="1"/>
  <c r="AU21" i="5"/>
  <c r="AW21" i="5" s="1"/>
  <c r="BA20" i="5"/>
  <c r="BC20" i="5" s="1"/>
  <c r="AX20" i="5"/>
  <c r="AZ20" i="5" s="1"/>
  <c r="AU20" i="5"/>
  <c r="AW20" i="5" s="1"/>
  <c r="BA31" i="5"/>
  <c r="BC31" i="5" s="1"/>
  <c r="AX31" i="5"/>
  <c r="AZ31" i="5" s="1"/>
  <c r="AU31" i="5"/>
  <c r="AW31" i="5" s="1"/>
  <c r="BA18" i="5"/>
  <c r="BC18" i="5" s="1"/>
  <c r="AX18" i="5"/>
  <c r="AZ18" i="5" s="1"/>
  <c r="AU18" i="5"/>
  <c r="AW18" i="5" s="1"/>
  <c r="BA29" i="5"/>
  <c r="BC29" i="5" s="1"/>
  <c r="AX29" i="5"/>
  <c r="AZ29" i="5" s="1"/>
  <c r="AU29" i="5"/>
  <c r="AW29" i="5" s="1"/>
  <c r="BA17" i="5"/>
  <c r="BC17" i="5" s="1"/>
  <c r="AX17" i="5"/>
  <c r="AZ17" i="5" s="1"/>
  <c r="AU17" i="5"/>
  <c r="AW17" i="5" s="1"/>
  <c r="BA28" i="5"/>
  <c r="BC28" i="5" s="1"/>
  <c r="AX28" i="5"/>
  <c r="AZ28" i="5" s="1"/>
  <c r="AU28" i="5"/>
  <c r="AW28" i="5" s="1"/>
  <c r="BA16" i="5"/>
  <c r="BC16" i="5" s="1"/>
  <c r="AX16" i="5"/>
  <c r="AZ16" i="5" s="1"/>
  <c r="AU16" i="5"/>
  <c r="AW16" i="5" s="1"/>
  <c r="BA10" i="5"/>
  <c r="BC10" i="5" s="1"/>
  <c r="AX10" i="5"/>
  <c r="AZ10" i="5" s="1"/>
  <c r="AU10" i="5"/>
  <c r="AW10" i="5" s="1"/>
  <c r="BA27" i="5"/>
  <c r="BC27" i="5" s="1"/>
  <c r="AX27" i="5"/>
  <c r="AZ27" i="5" s="1"/>
  <c r="AU27" i="5"/>
  <c r="AW27" i="5" s="1"/>
  <c r="BA15" i="5"/>
  <c r="BC15" i="5" s="1"/>
  <c r="AX15" i="5"/>
  <c r="AZ15" i="5" s="1"/>
  <c r="AU15" i="5"/>
  <c r="AW15" i="5" s="1"/>
  <c r="BA24" i="5"/>
  <c r="BC24" i="5" s="1"/>
  <c r="AX24" i="5"/>
  <c r="AZ24" i="5" s="1"/>
  <c r="AU24" i="5"/>
  <c r="AW24" i="5" s="1"/>
  <c r="BA8" i="5"/>
  <c r="BC8" i="5" s="1"/>
  <c r="AU8" i="5"/>
  <c r="AW8" i="5" s="1"/>
  <c r="AX8" i="5"/>
  <c r="AZ8" i="5" s="1"/>
  <c r="BA22" i="5"/>
  <c r="BC22" i="5" s="1"/>
  <c r="AX22" i="5"/>
  <c r="AZ22" i="5" s="1"/>
  <c r="AU22" i="5"/>
  <c r="AW22" i="5" s="1"/>
  <c r="BA7" i="5"/>
  <c r="BC7" i="5" s="1"/>
  <c r="AX7" i="5"/>
  <c r="AZ7" i="5" s="1"/>
  <c r="AU7" i="5"/>
  <c r="AW7" i="5" s="1"/>
  <c r="BA32" i="5"/>
  <c r="BC32" i="5" s="1"/>
  <c r="AX32" i="5"/>
  <c r="AZ32" i="5" s="1"/>
  <c r="AU32" i="5"/>
  <c r="AW32" i="5" s="1"/>
  <c r="BA9" i="5"/>
  <c r="BC9" i="5" s="1"/>
  <c r="AU9" i="5"/>
  <c r="AW9" i="5" s="1"/>
  <c r="AX9" i="5"/>
  <c r="AZ9" i="5" s="1"/>
  <c r="BA19" i="5"/>
  <c r="BC19" i="5" s="1"/>
  <c r="AX19" i="5"/>
  <c r="AZ19" i="5" s="1"/>
  <c r="AU19" i="5"/>
  <c r="AW19" i="5" s="1"/>
  <c r="BA30" i="5"/>
  <c r="BC30" i="5" s="1"/>
  <c r="AX30" i="5"/>
  <c r="AZ30" i="5" s="1"/>
  <c r="AU30" i="5"/>
  <c r="AW30" i="5" s="1"/>
  <c r="BA6" i="5"/>
  <c r="BC6" i="5" s="1"/>
  <c r="AU6" i="5"/>
  <c r="AW6" i="5" s="1"/>
  <c r="AX6" i="5"/>
  <c r="AZ6" i="5" s="1"/>
  <c r="BA26" i="5"/>
  <c r="BC26" i="5" s="1"/>
  <c r="AX26" i="5"/>
  <c r="AZ26" i="5" s="1"/>
  <c r="AU26" i="5"/>
  <c r="AW26" i="5" s="1"/>
  <c r="BA14" i="5"/>
  <c r="BC14" i="5" s="1"/>
  <c r="AX14" i="5"/>
  <c r="AZ14" i="5" s="1"/>
  <c r="AU14" i="5"/>
  <c r="AW14" i="5" s="1"/>
  <c r="BA5" i="5"/>
  <c r="BC5" i="5" s="1"/>
  <c r="AU5" i="5"/>
  <c r="AW5" i="5" s="1"/>
  <c r="AX5" i="5"/>
  <c r="AZ5" i="5" s="1"/>
  <c r="BA25" i="5"/>
  <c r="BC25" i="5" s="1"/>
  <c r="AX25" i="5"/>
  <c r="AZ25" i="5" s="1"/>
  <c r="AU25" i="5"/>
  <c r="AW25" i="5" s="1"/>
  <c r="BA13" i="5"/>
  <c r="BC13" i="5" s="1"/>
  <c r="BW16" i="5" s="1"/>
  <c r="M54" i="7" s="1"/>
  <c r="AX13" i="5"/>
  <c r="AZ13" i="5" s="1"/>
  <c r="AU13" i="5"/>
  <c r="AW13" i="5" s="1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AD13" i="6"/>
  <c r="AE13" i="6"/>
  <c r="AF13" i="6"/>
  <c r="AG13" i="6"/>
  <c r="AD14" i="6"/>
  <c r="AE14" i="6"/>
  <c r="AF14" i="6"/>
  <c r="AG14" i="6"/>
  <c r="AD15" i="6"/>
  <c r="AE15" i="6"/>
  <c r="AF15" i="6"/>
  <c r="AG15" i="6"/>
  <c r="AD16" i="6"/>
  <c r="AE16" i="6"/>
  <c r="AF16" i="6"/>
  <c r="AG16" i="6"/>
  <c r="AD17" i="6"/>
  <c r="AE17" i="6"/>
  <c r="AF17" i="6"/>
  <c r="AG17" i="6"/>
  <c r="AD18" i="6"/>
  <c r="AE18" i="6"/>
  <c r="AF18" i="6"/>
  <c r="AG18" i="6"/>
  <c r="AD19" i="6"/>
  <c r="AE19" i="6"/>
  <c r="AF19" i="6"/>
  <c r="AG19" i="6"/>
  <c r="AD20" i="6"/>
  <c r="AE20" i="6"/>
  <c r="AF20" i="6"/>
  <c r="AG20" i="6"/>
  <c r="AD21" i="6"/>
  <c r="AE21" i="6"/>
  <c r="AF21" i="6"/>
  <c r="AG21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Y7" i="6"/>
  <c r="Y6" i="6"/>
  <c r="Y5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BW15" i="5" l="1"/>
  <c r="BW18" i="5"/>
  <c r="I68" i="7" s="1"/>
  <c r="BW14" i="5"/>
  <c r="BW19" i="5"/>
  <c r="M68" i="7" s="1"/>
  <c r="BW17" i="5"/>
  <c r="E68" i="7" s="1"/>
  <c r="L15" i="3"/>
  <c r="M70" i="7"/>
  <c r="L70" i="7"/>
  <c r="I70" i="7"/>
  <c r="H70" i="7"/>
  <c r="E70" i="7"/>
  <c r="D70" i="7"/>
  <c r="M56" i="7"/>
  <c r="L56" i="7"/>
  <c r="I56" i="7"/>
  <c r="H56" i="7"/>
  <c r="E56" i="7"/>
  <c r="D56" i="7"/>
  <c r="AH32" i="1"/>
  <c r="AH26" i="1"/>
  <c r="AH20" i="1"/>
  <c r="O16" i="3" l="1"/>
  <c r="O17" i="3"/>
  <c r="O18" i="3"/>
  <c r="O19" i="3"/>
  <c r="O20" i="3"/>
  <c r="O21" i="3"/>
  <c r="N69" i="7" l="1"/>
  <c r="J69" i="7"/>
  <c r="F69" i="7"/>
  <c r="N55" i="7"/>
  <c r="J55" i="7"/>
  <c r="F55" i="7" l="1"/>
  <c r="M69" i="7"/>
  <c r="I69" i="7"/>
  <c r="E69" i="7"/>
  <c r="M55" i="7"/>
  <c r="I55" i="7"/>
  <c r="E55" i="7"/>
  <c r="H16" i="6" l="1"/>
  <c r="H13" i="6"/>
  <c r="DB19" i="6" l="1"/>
  <c r="DB18" i="6"/>
  <c r="DB17" i="6"/>
  <c r="DB16" i="6"/>
  <c r="DB15" i="6"/>
  <c r="DB14" i="6"/>
  <c r="BO16" i="6" l="1"/>
  <c r="BO15" i="6"/>
  <c r="BO14" i="6"/>
  <c r="BO13" i="6"/>
  <c r="BO12" i="6"/>
  <c r="BO11" i="6"/>
  <c r="BO10" i="6"/>
  <c r="BO9" i="6"/>
  <c r="BO8" i="6"/>
  <c r="BO7" i="6"/>
  <c r="BO6" i="6"/>
  <c r="BO5" i="6"/>
  <c r="E53" i="7" l="1"/>
  <c r="I53" i="7"/>
  <c r="E186" i="4"/>
  <c r="E188" i="4"/>
  <c r="E192" i="4" l="1"/>
  <c r="O226" i="4"/>
  <c r="E193" i="4"/>
  <c r="O230" i="4"/>
  <c r="O228" i="4"/>
  <c r="E190" i="4"/>
  <c r="M233" i="4"/>
  <c r="O233" i="4" s="1"/>
  <c r="E191" i="4"/>
  <c r="O231" i="4"/>
  <c r="O229" i="4"/>
  <c r="O227" i="4"/>
  <c r="E189" i="4"/>
  <c r="N233" i="4"/>
  <c r="N27" i="5" l="1"/>
  <c r="O82" i="5"/>
  <c r="BF9" i="5" l="1"/>
  <c r="BF8" i="5"/>
  <c r="BA21" i="6" l="1"/>
  <c r="AV21" i="6"/>
  <c r="AR21" i="6"/>
  <c r="BA20" i="6"/>
  <c r="AV20" i="6"/>
  <c r="AR20" i="6"/>
  <c r="BA19" i="6"/>
  <c r="AV19" i="6"/>
  <c r="AR19" i="6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H143" i="4" l="1"/>
  <c r="O100" i="5" l="1"/>
  <c r="N100" i="5"/>
  <c r="O99" i="5"/>
  <c r="N99" i="5"/>
  <c r="O98" i="5"/>
  <c r="N98" i="5"/>
  <c r="O97" i="5"/>
  <c r="N97" i="5"/>
  <c r="O96" i="5"/>
  <c r="N96" i="5"/>
  <c r="O95" i="5"/>
  <c r="N95" i="5"/>
  <c r="O94" i="5"/>
  <c r="N94" i="5"/>
  <c r="O93" i="5"/>
  <c r="N93" i="5"/>
  <c r="O92" i="5"/>
  <c r="N92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N82" i="5"/>
  <c r="O81" i="5"/>
  <c r="N81" i="5"/>
  <c r="O80" i="5"/>
  <c r="N80" i="5"/>
  <c r="O79" i="5"/>
  <c r="N79" i="5"/>
  <c r="O78" i="5"/>
  <c r="N78" i="5"/>
  <c r="O77" i="5"/>
  <c r="N77" i="5"/>
  <c r="O44" i="5"/>
  <c r="N44" i="5"/>
  <c r="O43" i="5"/>
  <c r="N43" i="5"/>
  <c r="O42" i="5"/>
  <c r="N42" i="5"/>
  <c r="O41" i="5"/>
  <c r="N41" i="5"/>
  <c r="O40" i="5"/>
  <c r="N40" i="5"/>
  <c r="O39" i="5"/>
  <c r="N39" i="5"/>
  <c r="O38" i="5"/>
  <c r="N38" i="5"/>
  <c r="O37" i="5"/>
  <c r="N37" i="5"/>
  <c r="O36" i="5"/>
  <c r="N36" i="5"/>
  <c r="O35" i="5"/>
  <c r="N35" i="5"/>
  <c r="O34" i="5"/>
  <c r="N34" i="5"/>
  <c r="O33" i="5"/>
  <c r="N33" i="5"/>
  <c r="O32" i="5"/>
  <c r="N32" i="5"/>
  <c r="N29" i="5"/>
  <c r="O29" i="5"/>
  <c r="N30" i="5"/>
  <c r="O30" i="5"/>
  <c r="N31" i="5"/>
  <c r="O31" i="5"/>
  <c r="O28" i="5"/>
  <c r="N28" i="5"/>
  <c r="O27" i="5"/>
  <c r="BE3" i="5" l="1"/>
  <c r="BF3" i="5"/>
  <c r="BJ3" i="5"/>
  <c r="BK3" i="5"/>
  <c r="BL3" i="5"/>
  <c r="BM3" i="5"/>
  <c r="BE4" i="5"/>
  <c r="BF4" i="5"/>
  <c r="BE5" i="5"/>
  <c r="BF5" i="5"/>
  <c r="BE6" i="5"/>
  <c r="BF6" i="5"/>
  <c r="BE7" i="5"/>
  <c r="BF7" i="5"/>
  <c r="BE8" i="5"/>
  <c r="BE9" i="5"/>
  <c r="CL3" i="6"/>
  <c r="CM3" i="6"/>
  <c r="CP3" i="6"/>
  <c r="CQ3" i="6"/>
  <c r="CR3" i="6"/>
  <c r="CS3" i="6"/>
  <c r="CL4" i="6"/>
  <c r="CM4" i="6"/>
  <c r="CL5" i="6"/>
  <c r="CM5" i="6"/>
  <c r="CL6" i="6"/>
  <c r="CM6" i="6"/>
  <c r="CL7" i="6"/>
  <c r="CM7" i="6"/>
  <c r="CL8" i="6"/>
  <c r="CM8" i="6"/>
  <c r="CL9" i="6"/>
  <c r="CM9" i="6"/>
  <c r="D186" i="4"/>
  <c r="C143" i="4" l="1"/>
  <c r="AC19" i="1"/>
  <c r="R244" i="4"/>
  <c r="N244" i="4"/>
  <c r="O237" i="4" l="1"/>
  <c r="O239" i="4"/>
  <c r="Q244" i="4"/>
  <c r="S244" i="4" s="1"/>
  <c r="O241" i="4"/>
  <c r="O242" i="4"/>
  <c r="O240" i="4"/>
  <c r="O238" i="4"/>
  <c r="M244" i="4"/>
  <c r="O244" i="4" s="1"/>
  <c r="J244" i="4" l="1"/>
  <c r="E194" i="4" l="1"/>
  <c r="D143" i="4"/>
  <c r="X49" i="6" l="1"/>
  <c r="X48" i="6"/>
  <c r="X47" i="6"/>
  <c r="X46" i="6"/>
  <c r="X45" i="6"/>
  <c r="X44" i="6"/>
  <c r="X43" i="6"/>
  <c r="X42" i="6"/>
  <c r="X41" i="6"/>
  <c r="X40" i="6"/>
  <c r="X39" i="6"/>
  <c r="X38" i="6"/>
  <c r="X37" i="6"/>
  <c r="X36" i="6"/>
  <c r="X35" i="6"/>
  <c r="X34" i="6"/>
  <c r="X33" i="6"/>
  <c r="X32" i="6"/>
  <c r="B130" i="4" l="1"/>
  <c r="B129" i="4" s="1"/>
  <c r="B128" i="4" s="1"/>
  <c r="B127" i="4" s="1"/>
  <c r="B126" i="4" s="1"/>
  <c r="D10" i="4"/>
  <c r="C10" i="4"/>
  <c r="D9" i="4"/>
  <c r="C9" i="4"/>
  <c r="D8" i="4"/>
  <c r="C8" i="4"/>
  <c r="D7" i="4"/>
  <c r="C7" i="4"/>
  <c r="D6" i="4"/>
  <c r="C6" i="4"/>
  <c r="D5" i="4"/>
  <c r="C5" i="4"/>
  <c r="Y63" i="3"/>
  <c r="S63" i="3"/>
  <c r="X63" i="3" s="1"/>
  <c r="Y50" i="3"/>
  <c r="S50" i="3"/>
  <c r="X50" i="3" s="1"/>
  <c r="Y37" i="3"/>
  <c r="S37" i="3"/>
  <c r="Y24" i="3"/>
  <c r="S24" i="3"/>
  <c r="X24" i="3" s="1"/>
  <c r="Y11" i="3"/>
  <c r="S11" i="3"/>
  <c r="X11" i="3" s="1"/>
  <c r="J21" i="6"/>
  <c r="F21" i="6"/>
  <c r="K21" i="6" s="1"/>
  <c r="J20" i="6"/>
  <c r="F20" i="6"/>
  <c r="K20" i="6" s="1"/>
  <c r="J19" i="6"/>
  <c r="F19" i="6"/>
  <c r="K19" i="6" s="1"/>
  <c r="J18" i="6"/>
  <c r="F18" i="6"/>
  <c r="H17" i="6"/>
  <c r="J17" i="6" s="1"/>
  <c r="F17" i="6"/>
  <c r="J16" i="6"/>
  <c r="F16" i="6"/>
  <c r="J15" i="6"/>
  <c r="F15" i="6"/>
  <c r="H14" i="6"/>
  <c r="J14" i="6" s="1"/>
  <c r="F14" i="6"/>
  <c r="E14" i="6"/>
  <c r="L14" i="6" s="1"/>
  <c r="J13" i="6"/>
  <c r="F13" i="6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J4" i="6"/>
  <c r="F4" i="6"/>
  <c r="K4" i="6" s="1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X19" i="1"/>
  <c r="Y40" i="6" s="1"/>
  <c r="Z12" i="1"/>
  <c r="U12" i="1"/>
  <c r="B11" i="3" s="1"/>
  <c r="Z11" i="1"/>
  <c r="U11" i="1"/>
  <c r="E21" i="6" s="1"/>
  <c r="L21" i="6" s="1"/>
  <c r="Z10" i="1"/>
  <c r="U10" i="1"/>
  <c r="Z9" i="1"/>
  <c r="U9" i="1"/>
  <c r="Z8" i="1"/>
  <c r="U8" i="1"/>
  <c r="Z7" i="1"/>
  <c r="U7" i="1"/>
  <c r="E8" i="6" s="1"/>
  <c r="L8" i="6" s="1"/>
  <c r="Z6" i="1"/>
  <c r="U6" i="1"/>
  <c r="Y34" i="6" l="1"/>
  <c r="Y203" i="4"/>
  <c r="Y170" i="4"/>
  <c r="Y126" i="4"/>
  <c r="Y115" i="4"/>
  <c r="Y192" i="4"/>
  <c r="Y148" i="4"/>
  <c r="Y214" i="4"/>
  <c r="Y181" i="4"/>
  <c r="Y159" i="4"/>
  <c r="Y137" i="4"/>
  <c r="Y44" i="3"/>
  <c r="Y18" i="3"/>
  <c r="E5" i="3"/>
  <c r="Y5" i="3"/>
  <c r="Y31" i="3"/>
  <c r="Y57" i="3"/>
  <c r="Y104" i="4"/>
  <c r="Y82" i="4"/>
  <c r="Y93" i="4"/>
  <c r="Y71" i="4"/>
  <c r="Y46" i="6"/>
  <c r="BQ4" i="6"/>
  <c r="BI10" i="6"/>
  <c r="BK10" i="6" s="1"/>
  <c r="BI8" i="6"/>
  <c r="BK8" i="6" s="1"/>
  <c r="BI11" i="6"/>
  <c r="BK11" i="6" s="1"/>
  <c r="BI9" i="6"/>
  <c r="BK9" i="6" s="1"/>
  <c r="K105" i="4"/>
  <c r="K116" i="4"/>
  <c r="K138" i="4"/>
  <c r="K127" i="4"/>
  <c r="K215" i="4"/>
  <c r="K204" i="4"/>
  <c r="K193" i="4"/>
  <c r="K182" i="4"/>
  <c r="K171" i="4"/>
  <c r="K160" i="4"/>
  <c r="K149" i="4"/>
  <c r="CQ5" i="6"/>
  <c r="H33" i="7"/>
  <c r="BK5" i="5"/>
  <c r="BI15" i="5" s="1"/>
  <c r="H20" i="7"/>
  <c r="Y33" i="6"/>
  <c r="BR4" i="6"/>
  <c r="BI13" i="6"/>
  <c r="BK13" i="6" s="1"/>
  <c r="BI14" i="6"/>
  <c r="BK14" i="6" s="1"/>
  <c r="BI15" i="6"/>
  <c r="BK15" i="6" s="1"/>
  <c r="BI12" i="6"/>
  <c r="BK12" i="6" s="1"/>
  <c r="K106" i="4"/>
  <c r="K117" i="4"/>
  <c r="K216" i="4"/>
  <c r="K205" i="4"/>
  <c r="K194" i="4"/>
  <c r="K183" i="4"/>
  <c r="K172" i="4"/>
  <c r="K161" i="4"/>
  <c r="K150" i="4"/>
  <c r="K139" i="4"/>
  <c r="K128" i="4"/>
  <c r="H21" i="7"/>
  <c r="CQ6" i="6"/>
  <c r="H34" i="7"/>
  <c r="BK6" i="5"/>
  <c r="BI16" i="5" s="1"/>
  <c r="Y44" i="6"/>
  <c r="Y32" i="6"/>
  <c r="Y116" i="4"/>
  <c r="Y215" i="4"/>
  <c r="Y204" i="4"/>
  <c r="Y193" i="4"/>
  <c r="Y182" i="4"/>
  <c r="Y171" i="4"/>
  <c r="Y160" i="4"/>
  <c r="Y149" i="4"/>
  <c r="Y138" i="4"/>
  <c r="Y127" i="4"/>
  <c r="Y45" i="3"/>
  <c r="Y19" i="3"/>
  <c r="E6" i="3"/>
  <c r="Y6" i="3"/>
  <c r="Y32" i="3"/>
  <c r="Y58" i="3"/>
  <c r="Y72" i="4"/>
  <c r="Y105" i="4"/>
  <c r="Y83" i="4"/>
  <c r="Y94" i="4"/>
  <c r="Y45" i="6"/>
  <c r="Y217" i="4"/>
  <c r="Y206" i="4"/>
  <c r="Y195" i="4"/>
  <c r="Y184" i="4"/>
  <c r="Y173" i="4"/>
  <c r="Y162" i="4"/>
  <c r="Y151" i="4"/>
  <c r="Y140" i="4"/>
  <c r="Y129" i="4"/>
  <c r="Y118" i="4"/>
  <c r="Y8" i="3"/>
  <c r="Y21" i="3"/>
  <c r="Y34" i="3"/>
  <c r="Y47" i="3"/>
  <c r="E8" i="3"/>
  <c r="Y60" i="3"/>
  <c r="Y85" i="4"/>
  <c r="Y107" i="4"/>
  <c r="Y96" i="4"/>
  <c r="Y74" i="4"/>
  <c r="Y49" i="6"/>
  <c r="Y43" i="6"/>
  <c r="BT4" i="6"/>
  <c r="BI22" i="6"/>
  <c r="BK22" i="6" s="1"/>
  <c r="BI20" i="6"/>
  <c r="BK20" i="6" s="1"/>
  <c r="BI23" i="6"/>
  <c r="BK23" i="6" s="1"/>
  <c r="BI21" i="6"/>
  <c r="BK21" i="6" s="1"/>
  <c r="K108" i="4"/>
  <c r="K119" i="4"/>
  <c r="K218" i="4"/>
  <c r="K207" i="4"/>
  <c r="K196" i="4"/>
  <c r="K185" i="4"/>
  <c r="K174" i="4"/>
  <c r="K163" i="4"/>
  <c r="K152" i="4"/>
  <c r="K141" i="4"/>
  <c r="K130" i="4"/>
  <c r="H23" i="7"/>
  <c r="H36" i="7"/>
  <c r="BK8" i="5"/>
  <c r="BG18" i="5" s="1"/>
  <c r="CQ8" i="6"/>
  <c r="Y37" i="6"/>
  <c r="Y39" i="6"/>
  <c r="Y48" i="6"/>
  <c r="Y42" i="6"/>
  <c r="Y117" i="4"/>
  <c r="Y216" i="4"/>
  <c r="Y205" i="4"/>
  <c r="Y194" i="4"/>
  <c r="Y183" i="4"/>
  <c r="Y172" i="4"/>
  <c r="Y161" i="4"/>
  <c r="Y150" i="4"/>
  <c r="Y139" i="4"/>
  <c r="Y128" i="4"/>
  <c r="Y20" i="3"/>
  <c r="Y59" i="3"/>
  <c r="Y7" i="3"/>
  <c r="E7" i="3"/>
  <c r="Y46" i="3"/>
  <c r="Y33" i="3"/>
  <c r="Y73" i="4"/>
  <c r="Y84" i="4"/>
  <c r="Y106" i="4"/>
  <c r="Y95" i="4"/>
  <c r="BS4" i="6"/>
  <c r="BI17" i="6"/>
  <c r="BK17" i="6" s="1"/>
  <c r="BI18" i="6"/>
  <c r="BK18" i="6" s="1"/>
  <c r="BI19" i="6"/>
  <c r="BK19" i="6" s="1"/>
  <c r="BI16" i="6"/>
  <c r="BK16" i="6" s="1"/>
  <c r="K107" i="4"/>
  <c r="K118" i="4"/>
  <c r="K195" i="4"/>
  <c r="K151" i="4"/>
  <c r="K217" i="4"/>
  <c r="K173" i="4"/>
  <c r="K206" i="4"/>
  <c r="K184" i="4"/>
  <c r="K140" i="4"/>
  <c r="K162" i="4"/>
  <c r="K129" i="4"/>
  <c r="BK7" i="5"/>
  <c r="BG17" i="5" s="1"/>
  <c r="H22" i="7"/>
  <c r="H35" i="7"/>
  <c r="CQ7" i="6"/>
  <c r="Y119" i="4"/>
  <c r="Y218" i="4"/>
  <c r="Y207" i="4"/>
  <c r="Y196" i="4"/>
  <c r="Y185" i="4"/>
  <c r="Y174" i="4"/>
  <c r="Y152" i="4"/>
  <c r="Y141" i="4"/>
  <c r="Y163" i="4"/>
  <c r="Y130" i="4"/>
  <c r="E9" i="3"/>
  <c r="Y48" i="3"/>
  <c r="Y61" i="3"/>
  <c r="Y35" i="3"/>
  <c r="Y9" i="3"/>
  <c r="Y22" i="3"/>
  <c r="Y108" i="4"/>
  <c r="Y86" i="4"/>
  <c r="Y97" i="4"/>
  <c r="Y75" i="4"/>
  <c r="BU4" i="6"/>
  <c r="BI24" i="6"/>
  <c r="BK24" i="6" s="1"/>
  <c r="BI26" i="6"/>
  <c r="BK26" i="6" s="1"/>
  <c r="BI27" i="6"/>
  <c r="BK27" i="6" s="1"/>
  <c r="BI25" i="6"/>
  <c r="BK25" i="6" s="1"/>
  <c r="K120" i="4"/>
  <c r="L120" i="4" s="1"/>
  <c r="L119" i="4" s="1"/>
  <c r="K109" i="4"/>
  <c r="L109" i="4" s="1"/>
  <c r="L108" i="4" s="1"/>
  <c r="L107" i="4" s="1"/>
  <c r="L106" i="4" s="1"/>
  <c r="L105" i="4" s="1"/>
  <c r="K219" i="4"/>
  <c r="L219" i="4" s="1"/>
  <c r="L218" i="4" s="1"/>
  <c r="L217" i="4" s="1"/>
  <c r="L216" i="4" s="1"/>
  <c r="L215" i="4" s="1"/>
  <c r="K208" i="4"/>
  <c r="L208" i="4" s="1"/>
  <c r="L207" i="4" s="1"/>
  <c r="L206" i="4" s="1"/>
  <c r="L205" i="4" s="1"/>
  <c r="L204" i="4" s="1"/>
  <c r="K197" i="4"/>
  <c r="L197" i="4" s="1"/>
  <c r="L196" i="4" s="1"/>
  <c r="K186" i="4"/>
  <c r="L186" i="4" s="1"/>
  <c r="L185" i="4" s="1"/>
  <c r="L184" i="4" s="1"/>
  <c r="L183" i="4" s="1"/>
  <c r="L182" i="4" s="1"/>
  <c r="L181" i="4" s="1"/>
  <c r="K175" i="4"/>
  <c r="L175" i="4" s="1"/>
  <c r="L174" i="4" s="1"/>
  <c r="L173" i="4" s="1"/>
  <c r="L172" i="4" s="1"/>
  <c r="K164" i="4"/>
  <c r="L164" i="4" s="1"/>
  <c r="K153" i="4"/>
  <c r="L153" i="4" s="1"/>
  <c r="L152" i="4" s="1"/>
  <c r="L151" i="4" s="1"/>
  <c r="L150" i="4" s="1"/>
  <c r="L149" i="4" s="1"/>
  <c r="L148" i="4" s="1"/>
  <c r="K142" i="4"/>
  <c r="L142" i="4" s="1"/>
  <c r="L141" i="4" s="1"/>
  <c r="L140" i="4" s="1"/>
  <c r="L139" i="4" s="1"/>
  <c r="L138" i="4" s="1"/>
  <c r="L137" i="4" s="1"/>
  <c r="K131" i="4"/>
  <c r="L131" i="4" s="1"/>
  <c r="L130" i="4" s="1"/>
  <c r="L129" i="4" s="1"/>
  <c r="L128" i="4" s="1"/>
  <c r="L127" i="4" s="1"/>
  <c r="L126" i="4" s="1"/>
  <c r="H37" i="7"/>
  <c r="CQ9" i="6"/>
  <c r="H24" i="7"/>
  <c r="BK9" i="5"/>
  <c r="BH19" i="5" s="1"/>
  <c r="Y36" i="6"/>
  <c r="Y38" i="6"/>
  <c r="Y47" i="6"/>
  <c r="Y41" i="6"/>
  <c r="Y219" i="4"/>
  <c r="Y208" i="4"/>
  <c r="Y197" i="4"/>
  <c r="Y186" i="4"/>
  <c r="Y175" i="4"/>
  <c r="Y164" i="4"/>
  <c r="Y153" i="4"/>
  <c r="Y142" i="4"/>
  <c r="Y131" i="4"/>
  <c r="Y120" i="4"/>
  <c r="Y62" i="3"/>
  <c r="Y36" i="3"/>
  <c r="Y10" i="3"/>
  <c r="Y23" i="3"/>
  <c r="Y49" i="3"/>
  <c r="E10" i="3"/>
  <c r="Y109" i="4"/>
  <c r="Y87" i="4"/>
  <c r="Y76" i="4"/>
  <c r="Y98" i="4"/>
  <c r="BP4" i="6"/>
  <c r="BI7" i="6"/>
  <c r="BK7" i="6" s="1"/>
  <c r="BI6" i="6"/>
  <c r="BK6" i="6" s="1"/>
  <c r="BI5" i="6"/>
  <c r="BK5" i="6" s="1"/>
  <c r="BI4" i="6"/>
  <c r="BK4" i="6" s="1"/>
  <c r="K104" i="4"/>
  <c r="K115" i="4"/>
  <c r="K214" i="4"/>
  <c r="K203" i="4"/>
  <c r="K192" i="4"/>
  <c r="K181" i="4"/>
  <c r="K170" i="4"/>
  <c r="K159" i="4"/>
  <c r="K148" i="4"/>
  <c r="K137" i="4"/>
  <c r="K126" i="4"/>
  <c r="CQ4" i="6"/>
  <c r="BK4" i="5"/>
  <c r="BI14" i="5" s="1"/>
  <c r="H19" i="7"/>
  <c r="H32" i="7"/>
  <c r="Y35" i="6"/>
  <c r="E5" i="4"/>
  <c r="K18" i="6"/>
  <c r="K14" i="6"/>
  <c r="N14" i="6" s="1"/>
  <c r="BF14" i="5"/>
  <c r="G32" i="7" s="1"/>
  <c r="BG14" i="5"/>
  <c r="BH18" i="5"/>
  <c r="E8" i="4"/>
  <c r="N8" i="6"/>
  <c r="E9" i="4"/>
  <c r="E6" i="4"/>
  <c r="E7" i="4"/>
  <c r="E10" i="4"/>
  <c r="BJ11" i="6"/>
  <c r="BJ9" i="6"/>
  <c r="K15" i="6"/>
  <c r="BJ8" i="6"/>
  <c r="K16" i="6"/>
  <c r="K17" i="6"/>
  <c r="M8" i="6"/>
  <c r="N21" i="6"/>
  <c r="Y52" i="4"/>
  <c r="Y8" i="4"/>
  <c r="Y30" i="4"/>
  <c r="Y41" i="4"/>
  <c r="Y19" i="4"/>
  <c r="Y63" i="4"/>
  <c r="Y7" i="4"/>
  <c r="Y62" i="4"/>
  <c r="Y29" i="4"/>
  <c r="Y40" i="4"/>
  <c r="Y18" i="4"/>
  <c r="Y51" i="4"/>
  <c r="D9" i="7"/>
  <c r="E13" i="6"/>
  <c r="L13" i="6" s="1"/>
  <c r="E15" i="6"/>
  <c r="L15" i="6" s="1"/>
  <c r="K13" i="6"/>
  <c r="D6" i="7"/>
  <c r="E4" i="6"/>
  <c r="L4" i="6" s="1"/>
  <c r="N4" i="6" s="1"/>
  <c r="E6" i="6"/>
  <c r="L6" i="6" s="1"/>
  <c r="N6" i="6" s="1"/>
  <c r="M21" i="6"/>
  <c r="D10" i="7"/>
  <c r="E18" i="6"/>
  <c r="L18" i="6" s="1"/>
  <c r="E17" i="6"/>
  <c r="L17" i="6" s="1"/>
  <c r="E5" i="6"/>
  <c r="L5" i="6" s="1"/>
  <c r="N5" i="6" s="1"/>
  <c r="Y27" i="4"/>
  <c r="Y16" i="4"/>
  <c r="Y60" i="4"/>
  <c r="Y38" i="4"/>
  <c r="Y49" i="4"/>
  <c r="Y5" i="4"/>
  <c r="Y64" i="4"/>
  <c r="Y31" i="4"/>
  <c r="Y42" i="4"/>
  <c r="Y20" i="4"/>
  <c r="Y53" i="4"/>
  <c r="Y9" i="4"/>
  <c r="D7" i="7"/>
  <c r="D11" i="7"/>
  <c r="E20" i="6"/>
  <c r="L20" i="6" s="1"/>
  <c r="N20" i="6" s="1"/>
  <c r="E19" i="6"/>
  <c r="L19" i="6" s="1"/>
  <c r="N19" i="6" s="1"/>
  <c r="E7" i="6"/>
  <c r="L7" i="6" s="1"/>
  <c r="Y28" i="4"/>
  <c r="Y50" i="4"/>
  <c r="Y39" i="4"/>
  <c r="Y17" i="4"/>
  <c r="Y61" i="4"/>
  <c r="Y6" i="4"/>
  <c r="E9" i="6"/>
  <c r="L9" i="6" s="1"/>
  <c r="N9" i="6" s="1"/>
  <c r="E16" i="6"/>
  <c r="L16" i="6" s="1"/>
  <c r="Y32" i="4"/>
  <c r="Y54" i="4"/>
  <c r="Y10" i="4"/>
  <c r="Y65" i="4"/>
  <c r="Y43" i="4"/>
  <c r="Y21" i="4"/>
  <c r="D8" i="7"/>
  <c r="E12" i="6"/>
  <c r="L12" i="6" s="1"/>
  <c r="N12" i="6" s="1"/>
  <c r="E11" i="6"/>
  <c r="L11" i="6" s="1"/>
  <c r="N11" i="6" s="1"/>
  <c r="E10" i="6"/>
  <c r="L10" i="6" s="1"/>
  <c r="B10" i="3"/>
  <c r="V11" i="3"/>
  <c r="X37" i="3"/>
  <c r="BJ15" i="5" l="1"/>
  <c r="BJ16" i="5"/>
  <c r="BJ14" i="5"/>
  <c r="BG19" i="5"/>
  <c r="BJ10" i="6"/>
  <c r="BG15" i="5"/>
  <c r="BF15" i="5"/>
  <c r="G33" i="7" s="1"/>
  <c r="BH15" i="5"/>
  <c r="BH16" i="5"/>
  <c r="BH17" i="5"/>
  <c r="BF16" i="5"/>
  <c r="BG16" i="5"/>
  <c r="BP5" i="6"/>
  <c r="BP13" i="6"/>
  <c r="BP7" i="6"/>
  <c r="BP11" i="6"/>
  <c r="BP15" i="6"/>
  <c r="BP9" i="6"/>
  <c r="L163" i="4"/>
  <c r="L162" i="4" s="1"/>
  <c r="L161" i="4" s="1"/>
  <c r="L160" i="4" s="1"/>
  <c r="L159" i="4" s="1"/>
  <c r="L171" i="4"/>
  <c r="L170" i="4" s="1"/>
  <c r="BF17" i="5"/>
  <c r="G35" i="7" s="1"/>
  <c r="BI17" i="5"/>
  <c r="BT5" i="6"/>
  <c r="BT9" i="6"/>
  <c r="BT15" i="6"/>
  <c r="BT13" i="6"/>
  <c r="BT11" i="6"/>
  <c r="BT7" i="6"/>
  <c r="CD4" i="6"/>
  <c r="BQ7" i="6"/>
  <c r="BQ15" i="6"/>
  <c r="BQ9" i="6"/>
  <c r="BQ13" i="6"/>
  <c r="BQ5" i="6"/>
  <c r="BQ11" i="6"/>
  <c r="L195" i="4"/>
  <c r="L194" i="4" s="1"/>
  <c r="L193" i="4" s="1"/>
  <c r="L192" i="4" s="1"/>
  <c r="BU5" i="6"/>
  <c r="BU6" i="6" s="1"/>
  <c r="BT6" i="6" s="1"/>
  <c r="BS6" i="6" s="1"/>
  <c r="BU7" i="6"/>
  <c r="BU8" i="6" s="1"/>
  <c r="BU15" i="6"/>
  <c r="BU16" i="6" s="1"/>
  <c r="BT16" i="6" s="1"/>
  <c r="BS16" i="6" s="1"/>
  <c r="BU9" i="6"/>
  <c r="BU10" i="6" s="1"/>
  <c r="BT10" i="6" s="1"/>
  <c r="BU13" i="6"/>
  <c r="BU14" i="6" s="1"/>
  <c r="BT14" i="6" s="1"/>
  <c r="BS14" i="6" s="1"/>
  <c r="BU11" i="6"/>
  <c r="BU12" i="6" s="1"/>
  <c r="BT12" i="6" s="1"/>
  <c r="BS12" i="6" s="1"/>
  <c r="BR12" i="6" s="1"/>
  <c r="BQ12" i="6" s="1"/>
  <c r="BP12" i="6" s="1"/>
  <c r="L203" i="4"/>
  <c r="BF18" i="5"/>
  <c r="BI18" i="5"/>
  <c r="BI19" i="5"/>
  <c r="BF19" i="5"/>
  <c r="L214" i="4"/>
  <c r="BH14" i="5"/>
  <c r="L104" i="4"/>
  <c r="BR11" i="6"/>
  <c r="BR7" i="6"/>
  <c r="BR15" i="6"/>
  <c r="BR13" i="6"/>
  <c r="BR9" i="6"/>
  <c r="BR5" i="6"/>
  <c r="L118" i="4"/>
  <c r="L117" i="4" s="1"/>
  <c r="L116" i="4" s="1"/>
  <c r="L115" i="4" s="1"/>
  <c r="BS5" i="6"/>
  <c r="BS13" i="6"/>
  <c r="BS7" i="6"/>
  <c r="BS15" i="6"/>
  <c r="BS11" i="6"/>
  <c r="BS9" i="6"/>
  <c r="M14" i="6"/>
  <c r="E6" i="7"/>
  <c r="N15" i="6"/>
  <c r="BJ20" i="6"/>
  <c r="BJ23" i="6"/>
  <c r="BJ22" i="6"/>
  <c r="BJ21" i="6"/>
  <c r="BJ24" i="6"/>
  <c r="BJ27" i="6"/>
  <c r="BJ26" i="6"/>
  <c r="BJ25" i="6"/>
  <c r="BJ12" i="6"/>
  <c r="BJ15" i="6"/>
  <c r="BJ14" i="6"/>
  <c r="BJ13" i="6"/>
  <c r="BJ7" i="6"/>
  <c r="BJ5" i="6"/>
  <c r="BJ4" i="6"/>
  <c r="BJ6" i="6"/>
  <c r="BJ19" i="6"/>
  <c r="BJ16" i="6"/>
  <c r="BJ18" i="6"/>
  <c r="BJ17" i="6"/>
  <c r="N17" i="6"/>
  <c r="M11" i="6"/>
  <c r="N13" i="6"/>
  <c r="M4" i="6"/>
  <c r="M5" i="6"/>
  <c r="M20" i="6"/>
  <c r="M15" i="6"/>
  <c r="N10" i="6"/>
  <c r="M10" i="6"/>
  <c r="M12" i="6"/>
  <c r="N16" i="6"/>
  <c r="M16" i="6"/>
  <c r="M9" i="6"/>
  <c r="M6" i="6"/>
  <c r="M17" i="6"/>
  <c r="N7" i="6"/>
  <c r="M7" i="6"/>
  <c r="N18" i="6"/>
  <c r="M18" i="6"/>
  <c r="M13" i="6"/>
  <c r="V63" i="3"/>
  <c r="V50" i="3"/>
  <c r="V37" i="3"/>
  <c r="V24" i="3"/>
  <c r="V10" i="3"/>
  <c r="B9" i="3"/>
  <c r="M19" i="6"/>
  <c r="BJ18" i="5" l="1"/>
  <c r="BJ19" i="5"/>
  <c r="BJ17" i="5"/>
  <c r="G37" i="7"/>
  <c r="N11" i="7" s="1"/>
  <c r="G36" i="7"/>
  <c r="N10" i="7" s="1"/>
  <c r="G34" i="7"/>
  <c r="E8" i="7" s="1"/>
  <c r="BT8" i="6"/>
  <c r="BS8" i="6" s="1"/>
  <c r="BU15" i="5"/>
  <c r="BJ7" i="5"/>
  <c r="E9" i="7"/>
  <c r="N9" i="7"/>
  <c r="BR14" i="6"/>
  <c r="BQ14" i="6" s="1"/>
  <c r="BP14" i="6" s="1"/>
  <c r="BS10" i="6"/>
  <c r="BR10" i="6" s="1"/>
  <c r="BQ10" i="6" s="1"/>
  <c r="BP10" i="6" s="1"/>
  <c r="BR16" i="6"/>
  <c r="BQ16" i="6" s="1"/>
  <c r="BP16" i="6" s="1"/>
  <c r="BR8" i="6"/>
  <c r="BQ8" i="6" s="1"/>
  <c r="BP8" i="6" s="1"/>
  <c r="BR6" i="6"/>
  <c r="BQ6" i="6" s="1"/>
  <c r="BP6" i="6" s="1"/>
  <c r="Z6" i="6"/>
  <c r="Z11" i="6"/>
  <c r="Z19" i="6"/>
  <c r="Z12" i="6"/>
  <c r="Z4" i="6"/>
  <c r="Z20" i="6"/>
  <c r="Z9" i="6"/>
  <c r="Z21" i="6"/>
  <c r="Z14" i="6"/>
  <c r="Z8" i="6"/>
  <c r="Z5" i="6"/>
  <c r="BT15" i="5"/>
  <c r="I33" i="7" s="1"/>
  <c r="E7" i="7"/>
  <c r="N7" i="7"/>
  <c r="BJ5" i="5"/>
  <c r="N6" i="7"/>
  <c r="BJ4" i="5"/>
  <c r="V9" i="3"/>
  <c r="B8" i="3"/>
  <c r="V23" i="3"/>
  <c r="V62" i="3"/>
  <c r="V49" i="3"/>
  <c r="V36" i="3"/>
  <c r="BJ8" i="5" l="1"/>
  <c r="N8" i="7"/>
  <c r="F28" i="4" s="1"/>
  <c r="F30" i="4"/>
  <c r="C20" i="3"/>
  <c r="D20" i="4" s="1"/>
  <c r="F31" i="4"/>
  <c r="C21" i="3"/>
  <c r="BJ9" i="5"/>
  <c r="E10" i="7"/>
  <c r="BJ6" i="5"/>
  <c r="E11" i="7"/>
  <c r="BT19" i="5"/>
  <c r="BT29" i="5" s="1"/>
  <c r="C18" i="3"/>
  <c r="D18" i="4" s="1"/>
  <c r="BL5" i="5"/>
  <c r="BX25" i="5"/>
  <c r="F29" i="4"/>
  <c r="C19" i="3"/>
  <c r="D19" i="4" s="1"/>
  <c r="BU18" i="5"/>
  <c r="I65" i="7" s="1"/>
  <c r="I51" i="7"/>
  <c r="BN15" i="5"/>
  <c r="I49" i="7"/>
  <c r="BM15" i="5"/>
  <c r="BT14" i="5"/>
  <c r="I32" i="7" s="1"/>
  <c r="AA5" i="6"/>
  <c r="AB5" i="6"/>
  <c r="AA21" i="6"/>
  <c r="AB21" i="6"/>
  <c r="AA12" i="6"/>
  <c r="AB12" i="6"/>
  <c r="AA11" i="6"/>
  <c r="AB11" i="6"/>
  <c r="Z10" i="6"/>
  <c r="Z15" i="6"/>
  <c r="Z7" i="6"/>
  <c r="Z13" i="6"/>
  <c r="Z16" i="6"/>
  <c r="Z17" i="6"/>
  <c r="AA9" i="6"/>
  <c r="AB9" i="6"/>
  <c r="AB8" i="6"/>
  <c r="AA8" i="6"/>
  <c r="AB20" i="6"/>
  <c r="AA20" i="6"/>
  <c r="AA19" i="6"/>
  <c r="AB19" i="6"/>
  <c r="AB6" i="6"/>
  <c r="AA6" i="6"/>
  <c r="Z18" i="6"/>
  <c r="AA14" i="6"/>
  <c r="AB14" i="6"/>
  <c r="AA4" i="6"/>
  <c r="AB4" i="6"/>
  <c r="BT17" i="5"/>
  <c r="I35" i="7" s="1"/>
  <c r="BT18" i="5"/>
  <c r="I36" i="7" s="1"/>
  <c r="BT16" i="5"/>
  <c r="I34" i="7" s="1"/>
  <c r="C27" i="4"/>
  <c r="BU25" i="5"/>
  <c r="BV16" i="5"/>
  <c r="BT25" i="5"/>
  <c r="BU19" i="5"/>
  <c r="BV15" i="5"/>
  <c r="BU16" i="5"/>
  <c r="F27" i="4"/>
  <c r="C17" i="3"/>
  <c r="D17" i="4" s="1"/>
  <c r="F26" i="4"/>
  <c r="C16" i="3"/>
  <c r="D16" i="4" s="1"/>
  <c r="V22" i="3"/>
  <c r="V48" i="3"/>
  <c r="V61" i="3"/>
  <c r="V35" i="3"/>
  <c r="V8" i="3"/>
  <c r="B7" i="3"/>
  <c r="D21" i="4"/>
  <c r="M52" i="7" l="1"/>
  <c r="BP16" i="5"/>
  <c r="N54" i="7" s="1"/>
  <c r="I52" i="7"/>
  <c r="BP15" i="5"/>
  <c r="BM19" i="5"/>
  <c r="I37" i="7"/>
  <c r="F11" i="7" s="1"/>
  <c r="G11" i="7" s="1"/>
  <c r="M63" i="7"/>
  <c r="J33" i="7"/>
  <c r="V33" i="7" s="1"/>
  <c r="BR15" i="5"/>
  <c r="BN19" i="5"/>
  <c r="N65" i="7" s="1"/>
  <c r="AG4" i="6"/>
  <c r="AF4" i="6"/>
  <c r="BX29" i="5"/>
  <c r="C31" i="4"/>
  <c r="P109" i="4" s="1"/>
  <c r="BU17" i="5"/>
  <c r="E65" i="7" s="1"/>
  <c r="BX26" i="5"/>
  <c r="F10" i="7"/>
  <c r="G10" i="7" s="1"/>
  <c r="BX28" i="5"/>
  <c r="BM17" i="5"/>
  <c r="BX27" i="5"/>
  <c r="F6" i="7"/>
  <c r="G6" i="7" s="1"/>
  <c r="BX24" i="5"/>
  <c r="J51" i="7"/>
  <c r="BV14" i="5"/>
  <c r="BP14" i="5" s="1"/>
  <c r="M49" i="7"/>
  <c r="BM16" i="5"/>
  <c r="E49" i="7"/>
  <c r="BM14" i="5"/>
  <c r="M51" i="7"/>
  <c r="BN16" i="5"/>
  <c r="I63" i="7"/>
  <c r="BM18" i="5"/>
  <c r="BN18" i="5"/>
  <c r="J65" i="7" s="1"/>
  <c r="AB7" i="6"/>
  <c r="AA7" i="6"/>
  <c r="AC21" i="6"/>
  <c r="AA10" i="6"/>
  <c r="AB10" i="6"/>
  <c r="AC4" i="6"/>
  <c r="AC19" i="6"/>
  <c r="AC9" i="6"/>
  <c r="AB16" i="6"/>
  <c r="AA16" i="6"/>
  <c r="AC11" i="6"/>
  <c r="AC8" i="6"/>
  <c r="AC6" i="6"/>
  <c r="AC20" i="6"/>
  <c r="AC14" i="6"/>
  <c r="AA18" i="6"/>
  <c r="AB18" i="6"/>
  <c r="AA17" i="6"/>
  <c r="AB17" i="6"/>
  <c r="AA13" i="6"/>
  <c r="AB13" i="6"/>
  <c r="AA15" i="6"/>
  <c r="AB15" i="6"/>
  <c r="AC12" i="6"/>
  <c r="AC5" i="6"/>
  <c r="BU14" i="5"/>
  <c r="C30" i="4"/>
  <c r="BV18" i="5"/>
  <c r="BP18" i="5" s="1"/>
  <c r="J68" i="7" s="1"/>
  <c r="P105" i="4"/>
  <c r="P116" i="4"/>
  <c r="E63" i="7"/>
  <c r="BT28" i="5"/>
  <c r="P215" i="4"/>
  <c r="P160" i="4"/>
  <c r="P149" i="4"/>
  <c r="P204" i="4"/>
  <c r="P138" i="4"/>
  <c r="P171" i="4"/>
  <c r="P127" i="4"/>
  <c r="P182" i="4"/>
  <c r="P193" i="4"/>
  <c r="BV17" i="5"/>
  <c r="BP17" i="5" s="1"/>
  <c r="F68" i="7" s="1"/>
  <c r="BT24" i="5"/>
  <c r="C26" i="4"/>
  <c r="F7" i="7"/>
  <c r="G7" i="7" s="1"/>
  <c r="BV19" i="5"/>
  <c r="BP19" i="5" s="1"/>
  <c r="N68" i="7" s="1"/>
  <c r="BU26" i="5"/>
  <c r="BV25" i="5"/>
  <c r="BO15" i="5"/>
  <c r="BU28" i="5"/>
  <c r="C29" i="4"/>
  <c r="BT27" i="5"/>
  <c r="M65" i="7"/>
  <c r="BV26" i="5"/>
  <c r="BO16" i="5"/>
  <c r="C28" i="4"/>
  <c r="BT26" i="5"/>
  <c r="V34" i="3"/>
  <c r="V60" i="3"/>
  <c r="V21" i="3"/>
  <c r="V47" i="3"/>
  <c r="V7" i="3"/>
  <c r="B6" i="3"/>
  <c r="P131" i="4" l="1"/>
  <c r="P164" i="4"/>
  <c r="P219" i="4"/>
  <c r="BR17" i="5"/>
  <c r="J35" i="7"/>
  <c r="BM7" i="5" s="1"/>
  <c r="P186" i="4"/>
  <c r="P197" i="4"/>
  <c r="P208" i="4"/>
  <c r="P120" i="4"/>
  <c r="BR14" i="5"/>
  <c r="J32" i="7"/>
  <c r="V32" i="7" s="1"/>
  <c r="P142" i="4"/>
  <c r="P153" i="4"/>
  <c r="BR18" i="5"/>
  <c r="J36" i="7"/>
  <c r="BM8" i="5" s="1"/>
  <c r="P175" i="4"/>
  <c r="J34" i="7"/>
  <c r="BM6" i="5" s="1"/>
  <c r="BR16" i="5"/>
  <c r="BR19" i="5"/>
  <c r="J37" i="7"/>
  <c r="V37" i="7" s="1"/>
  <c r="AE4" i="6"/>
  <c r="AD4" i="6"/>
  <c r="BL9" i="5"/>
  <c r="BU27" i="5"/>
  <c r="BN17" i="5"/>
  <c r="F65" i="7" s="1"/>
  <c r="N51" i="7"/>
  <c r="J52" i="7"/>
  <c r="N52" i="7"/>
  <c r="BU24" i="5"/>
  <c r="BN14" i="5"/>
  <c r="BL8" i="5"/>
  <c r="AC16" i="6"/>
  <c r="AC18" i="6"/>
  <c r="AC15" i="6"/>
  <c r="AC13" i="6"/>
  <c r="AC17" i="6"/>
  <c r="AC10" i="6"/>
  <c r="AC7" i="6"/>
  <c r="E51" i="7"/>
  <c r="P185" i="4"/>
  <c r="P141" i="4"/>
  <c r="P174" i="4"/>
  <c r="P207" i="4"/>
  <c r="P218" i="4"/>
  <c r="P163" i="4"/>
  <c r="P152" i="4"/>
  <c r="P130" i="4"/>
  <c r="P196" i="4"/>
  <c r="P119" i="4"/>
  <c r="P108" i="4"/>
  <c r="P107" i="4"/>
  <c r="P118" i="4"/>
  <c r="P106" i="4"/>
  <c r="P117" i="4"/>
  <c r="P115" i="4"/>
  <c r="P104" i="4"/>
  <c r="BV29" i="5"/>
  <c r="M66" i="7"/>
  <c r="P172" i="4"/>
  <c r="P161" i="4"/>
  <c r="P194" i="4"/>
  <c r="P183" i="4"/>
  <c r="P205" i="4"/>
  <c r="P150" i="4"/>
  <c r="P128" i="4"/>
  <c r="P216" i="4"/>
  <c r="P139" i="4"/>
  <c r="P184" i="4"/>
  <c r="P173" i="4"/>
  <c r="P162" i="4"/>
  <c r="P151" i="4"/>
  <c r="P140" i="4"/>
  <c r="P206" i="4"/>
  <c r="P129" i="4"/>
  <c r="P217" i="4"/>
  <c r="P195" i="4"/>
  <c r="BV27" i="5"/>
  <c r="E66" i="7"/>
  <c r="BV28" i="5"/>
  <c r="I66" i="7"/>
  <c r="P170" i="4"/>
  <c r="P126" i="4"/>
  <c r="P214" i="4"/>
  <c r="P159" i="4"/>
  <c r="P181" i="4"/>
  <c r="P148" i="4"/>
  <c r="P192" i="4"/>
  <c r="P203" i="4"/>
  <c r="P137" i="4"/>
  <c r="BV24" i="5"/>
  <c r="E52" i="7"/>
  <c r="BM5" i="5"/>
  <c r="BO18" i="5"/>
  <c r="BU29" i="5"/>
  <c r="BO17" i="5"/>
  <c r="BO19" i="5"/>
  <c r="BL4" i="5"/>
  <c r="BO14" i="5"/>
  <c r="F9" i="7"/>
  <c r="G9" i="7" s="1"/>
  <c r="BL7" i="5"/>
  <c r="F8" i="7"/>
  <c r="G8" i="7" s="1"/>
  <c r="BL6" i="5"/>
  <c r="V6" i="3"/>
  <c r="B5" i="3"/>
  <c r="V20" i="3"/>
  <c r="V46" i="3"/>
  <c r="V59" i="3"/>
  <c r="V33" i="3"/>
  <c r="BM9" i="5" l="1"/>
  <c r="AH6" i="6"/>
  <c r="AK6" i="6" s="1"/>
  <c r="N53" i="7"/>
  <c r="J53" i="7"/>
  <c r="J54" i="7"/>
  <c r="BM4" i="5"/>
  <c r="BW25" i="5"/>
  <c r="I54" i="7"/>
  <c r="BW26" i="5"/>
  <c r="F51" i="7"/>
  <c r="N66" i="7"/>
  <c r="N67" i="7"/>
  <c r="F66" i="7"/>
  <c r="F67" i="7"/>
  <c r="F52" i="7"/>
  <c r="J66" i="7"/>
  <c r="J67" i="7"/>
  <c r="AH14" i="6"/>
  <c r="AU14" i="6" s="1"/>
  <c r="AH19" i="6"/>
  <c r="AJ19" i="6" s="1"/>
  <c r="BY4" i="6"/>
  <c r="AH21" i="6"/>
  <c r="AU21" i="6" s="1"/>
  <c r="AH11" i="6"/>
  <c r="AK11" i="6" s="1"/>
  <c r="AH8" i="6"/>
  <c r="AU8" i="6" s="1"/>
  <c r="AH4" i="6"/>
  <c r="AI4" i="6" s="1"/>
  <c r="AH9" i="6"/>
  <c r="AH20" i="6"/>
  <c r="AH12" i="6"/>
  <c r="AH5" i="6"/>
  <c r="D5" i="3"/>
  <c r="D11" i="3"/>
  <c r="D10" i="3"/>
  <c r="D9" i="3"/>
  <c r="D8" i="3"/>
  <c r="D7" i="3"/>
  <c r="D6" i="3"/>
  <c r="V36" i="7"/>
  <c r="V34" i="7"/>
  <c r="V35" i="7"/>
  <c r="V5" i="3"/>
  <c r="V18" i="3" s="1"/>
  <c r="CB4" i="6"/>
  <c r="BZ4" i="6"/>
  <c r="CC18" i="6"/>
  <c r="CB18" i="6"/>
  <c r="CA18" i="6"/>
  <c r="CA4" i="6"/>
  <c r="BY18" i="6"/>
  <c r="BZ18" i="6"/>
  <c r="CD18" i="6"/>
  <c r="CC4" i="6"/>
  <c r="V58" i="3"/>
  <c r="V45" i="3"/>
  <c r="V32" i="3"/>
  <c r="V19" i="3"/>
  <c r="AJ6" i="6" l="1"/>
  <c r="AQ6" i="6" s="1"/>
  <c r="AS6" i="6" s="1"/>
  <c r="AT6" i="6" s="1"/>
  <c r="BY15" i="6" s="1"/>
  <c r="F53" i="7"/>
  <c r="F54" i="7"/>
  <c r="BW29" i="5"/>
  <c r="BW28" i="5"/>
  <c r="BW27" i="5"/>
  <c r="BW24" i="5"/>
  <c r="E54" i="7"/>
  <c r="AJ14" i="6"/>
  <c r="AQ14" i="6" s="1"/>
  <c r="AS14" i="6" s="1"/>
  <c r="AT14" i="6" s="1"/>
  <c r="CB10" i="6" s="1"/>
  <c r="AK14" i="6"/>
  <c r="AZ14" i="6" s="1"/>
  <c r="AJ21" i="6"/>
  <c r="AQ21" i="6" s="1"/>
  <c r="AS21" i="6" s="1"/>
  <c r="AT21" i="6" s="1"/>
  <c r="CD15" i="6" s="1"/>
  <c r="AK21" i="6"/>
  <c r="AZ21" i="6" s="1"/>
  <c r="AK19" i="6"/>
  <c r="AZ19" i="6" s="1"/>
  <c r="AU19" i="6"/>
  <c r="AW19" i="6" s="1"/>
  <c r="BY9" i="6"/>
  <c r="BY8" i="6"/>
  <c r="BY13" i="6"/>
  <c r="BY14" i="6"/>
  <c r="CA14" i="6"/>
  <c r="CA13" i="6"/>
  <c r="CC8" i="6"/>
  <c r="CC9" i="6"/>
  <c r="CD8" i="6"/>
  <c r="CD9" i="6"/>
  <c r="CB13" i="6"/>
  <c r="CB14" i="6"/>
  <c r="CC13" i="6"/>
  <c r="CC14" i="6"/>
  <c r="BZ8" i="6"/>
  <c r="BZ9" i="6"/>
  <c r="BZ14" i="6"/>
  <c r="BZ13" i="6"/>
  <c r="CD13" i="6"/>
  <c r="CD14" i="6"/>
  <c r="CA8" i="6"/>
  <c r="CA9" i="6"/>
  <c r="CB8" i="6"/>
  <c r="CB9" i="6"/>
  <c r="AW21" i="6"/>
  <c r="AW8" i="6"/>
  <c r="AW14" i="6"/>
  <c r="AJ11" i="6"/>
  <c r="AQ11" i="6" s="1"/>
  <c r="AS11" i="6" s="1"/>
  <c r="AT11" i="6" s="1"/>
  <c r="CA10" i="6" s="1"/>
  <c r="AH17" i="6"/>
  <c r="AJ17" i="6" s="1"/>
  <c r="AQ17" i="6" s="1"/>
  <c r="AS17" i="6" s="1"/>
  <c r="AT17" i="6" s="1"/>
  <c r="CC10" i="6" s="1"/>
  <c r="AH13" i="6"/>
  <c r="AU13" i="6" s="1"/>
  <c r="AH7" i="6"/>
  <c r="AJ7" i="6" s="1"/>
  <c r="AH16" i="6"/>
  <c r="AJ16" i="6" s="1"/>
  <c r="AJ5" i="6"/>
  <c r="AQ5" i="6" s="1"/>
  <c r="AS5" i="6" s="1"/>
  <c r="AK5" i="6"/>
  <c r="AH18" i="6"/>
  <c r="AJ12" i="6"/>
  <c r="AQ12" i="6" s="1"/>
  <c r="AS12" i="6" s="1"/>
  <c r="AT12" i="6" s="1"/>
  <c r="CA15" i="6" s="1"/>
  <c r="AK12" i="6"/>
  <c r="AU4" i="6"/>
  <c r="AJ4" i="6"/>
  <c r="AK4" i="6"/>
  <c r="AK20" i="6"/>
  <c r="AJ20" i="6"/>
  <c r="AQ20" i="6" s="1"/>
  <c r="AS20" i="6" s="1"/>
  <c r="AT20" i="6" s="1"/>
  <c r="CD10" i="6" s="1"/>
  <c r="AH10" i="6"/>
  <c r="AU10" i="6" s="1"/>
  <c r="AK8" i="6"/>
  <c r="AZ8" i="6" s="1"/>
  <c r="AJ8" i="6"/>
  <c r="AQ8" i="6" s="1"/>
  <c r="AS8" i="6" s="1"/>
  <c r="AT8" i="6" s="1"/>
  <c r="BZ10" i="6" s="1"/>
  <c r="AH15" i="6"/>
  <c r="AJ9" i="6"/>
  <c r="AQ9" i="6" s="1"/>
  <c r="AS9" i="6" s="1"/>
  <c r="AT9" i="6" s="1"/>
  <c r="BZ15" i="6" s="1"/>
  <c r="AK9" i="6"/>
  <c r="C6" i="3"/>
  <c r="C10" i="3"/>
  <c r="C8" i="3"/>
  <c r="C7" i="3"/>
  <c r="V31" i="3"/>
  <c r="C9" i="3"/>
  <c r="C5" i="3"/>
  <c r="AU6" i="6"/>
  <c r="AU5" i="6"/>
  <c r="AU9" i="6"/>
  <c r="AU20" i="6"/>
  <c r="AU11" i="6"/>
  <c r="AU12" i="6"/>
  <c r="V57" i="3"/>
  <c r="V44" i="3"/>
  <c r="AQ19" i="6"/>
  <c r="K5" i="3" l="1"/>
  <c r="K9" i="3"/>
  <c r="K8" i="3"/>
  <c r="K6" i="3"/>
  <c r="K7" i="3"/>
  <c r="K10" i="3"/>
  <c r="BB19" i="6"/>
  <c r="BC19" i="6" s="1"/>
  <c r="CD7" i="6" s="1"/>
  <c r="BB21" i="6"/>
  <c r="BC21" i="6" s="1"/>
  <c r="CD17" i="6" s="1"/>
  <c r="BB8" i="6"/>
  <c r="BC8" i="6" s="1"/>
  <c r="BZ12" i="6" s="1"/>
  <c r="BB14" i="6"/>
  <c r="BC14" i="6" s="1"/>
  <c r="CB12" i="6" s="1"/>
  <c r="AX14" i="6"/>
  <c r="AY14" i="6" s="1"/>
  <c r="CB11" i="6" s="1"/>
  <c r="CN16" i="6"/>
  <c r="AX21" i="6"/>
  <c r="AY21" i="6" s="1"/>
  <c r="CD16" i="6" s="1"/>
  <c r="CN19" i="6"/>
  <c r="AX19" i="6"/>
  <c r="AY19" i="6" s="1"/>
  <c r="CD6" i="6" s="1"/>
  <c r="CM19" i="6"/>
  <c r="G24" i="7" s="1"/>
  <c r="AX8" i="6"/>
  <c r="AY8" i="6" s="1"/>
  <c r="BZ11" i="6" s="1"/>
  <c r="CN14" i="6"/>
  <c r="AW11" i="6"/>
  <c r="AX11" i="6"/>
  <c r="AY11" i="6" s="1"/>
  <c r="CA11" i="6" s="1"/>
  <c r="AW5" i="6"/>
  <c r="AX5" i="6"/>
  <c r="AY5" i="6" s="1"/>
  <c r="BY11" i="6" s="1"/>
  <c r="AW4" i="6"/>
  <c r="AW6" i="6"/>
  <c r="AX6" i="6"/>
  <c r="AY6" i="6" s="1"/>
  <c r="BY16" i="6" s="1"/>
  <c r="AW10" i="6"/>
  <c r="AW9" i="6"/>
  <c r="AX9" i="6"/>
  <c r="AY9" i="6" s="1"/>
  <c r="BZ16" i="6" s="1"/>
  <c r="AW12" i="6"/>
  <c r="AX12" i="6"/>
  <c r="AY12" i="6" s="1"/>
  <c r="CA16" i="6" s="1"/>
  <c r="AW20" i="6"/>
  <c r="AX20" i="6"/>
  <c r="AY20" i="6" s="1"/>
  <c r="CD11" i="6" s="1"/>
  <c r="AW13" i="6"/>
  <c r="AT5" i="6"/>
  <c r="BY10" i="6" s="1"/>
  <c r="AK17" i="6"/>
  <c r="AZ17" i="6" s="1"/>
  <c r="AU17" i="6"/>
  <c r="AK13" i="6"/>
  <c r="AZ13" i="6" s="1"/>
  <c r="BB13" i="6" s="1"/>
  <c r="BC13" i="6" s="1"/>
  <c r="AJ13" i="6"/>
  <c r="AQ13" i="6" s="1"/>
  <c r="AU7" i="6"/>
  <c r="CN15" i="6" s="1"/>
  <c r="AK7" i="6"/>
  <c r="AZ7" i="6" s="1"/>
  <c r="BB7" i="6" s="1"/>
  <c r="BC7" i="6" s="1"/>
  <c r="AU16" i="6"/>
  <c r="AK16" i="6"/>
  <c r="AZ16" i="6" s="1"/>
  <c r="BB16" i="6" s="1"/>
  <c r="BC16" i="6" s="1"/>
  <c r="AJ18" i="6"/>
  <c r="AQ18" i="6" s="1"/>
  <c r="AS18" i="6" s="1"/>
  <c r="AT18" i="6" s="1"/>
  <c r="CC15" i="6" s="1"/>
  <c r="AK18" i="6"/>
  <c r="AJ15" i="6"/>
  <c r="AQ15" i="6" s="1"/>
  <c r="AS15" i="6" s="1"/>
  <c r="AT15" i="6" s="1"/>
  <c r="CB15" i="6" s="1"/>
  <c r="AK15" i="6"/>
  <c r="AZ15" i="6" s="1"/>
  <c r="AK10" i="6"/>
  <c r="AZ10" i="6" s="1"/>
  <c r="BB10" i="6" s="1"/>
  <c r="BC10" i="6" s="1"/>
  <c r="AJ10" i="6"/>
  <c r="AQ10" i="6" s="1"/>
  <c r="AU15" i="6"/>
  <c r="CN17" i="6" s="1"/>
  <c r="AZ5" i="6"/>
  <c r="AZ9" i="6"/>
  <c r="AZ6" i="6"/>
  <c r="AS19" i="6"/>
  <c r="AT19" i="6" s="1"/>
  <c r="CD5" i="6" s="1"/>
  <c r="AZ20" i="6"/>
  <c r="AZ12" i="6"/>
  <c r="AU18" i="6"/>
  <c r="AZ11" i="6"/>
  <c r="AQ4" i="6"/>
  <c r="AQ16" i="6"/>
  <c r="AQ7" i="6"/>
  <c r="BB17" i="6" l="1"/>
  <c r="BC17" i="6" s="1"/>
  <c r="BB5" i="6"/>
  <c r="BC5" i="6" s="1"/>
  <c r="BY12" i="6" s="1"/>
  <c r="BB15" i="6"/>
  <c r="BC15" i="6" s="1"/>
  <c r="CB17" i="6" s="1"/>
  <c r="BB11" i="6"/>
  <c r="BC11" i="6" s="1"/>
  <c r="CA12" i="6" s="1"/>
  <c r="BB12" i="6"/>
  <c r="BC12" i="6" s="1"/>
  <c r="CA17" i="6" s="1"/>
  <c r="BB20" i="6"/>
  <c r="BC20" i="6" s="1"/>
  <c r="CD12" i="6" s="1"/>
  <c r="CJ19" i="6" s="1"/>
  <c r="CU19" i="6" s="1"/>
  <c r="BB6" i="6"/>
  <c r="BC6" i="6" s="1"/>
  <c r="BY17" i="6" s="1"/>
  <c r="BB9" i="6"/>
  <c r="BC9" i="6" s="1"/>
  <c r="BZ17" i="6" s="1"/>
  <c r="CH19" i="6"/>
  <c r="CS19" i="6" s="1"/>
  <c r="CO19" i="6"/>
  <c r="CI19" i="6"/>
  <c r="CT19" i="6" s="1"/>
  <c r="CP19" i="6"/>
  <c r="CN18" i="6"/>
  <c r="AS16" i="6"/>
  <c r="AT16" i="6" s="1"/>
  <c r="CC5" i="6" s="1"/>
  <c r="CH16" i="6" s="1"/>
  <c r="CS18" i="6" s="1"/>
  <c r="CM18" i="6"/>
  <c r="G23" i="7" s="1"/>
  <c r="CB7" i="6"/>
  <c r="CO17" i="6"/>
  <c r="CP17" i="6"/>
  <c r="AS13" i="6"/>
  <c r="AT13" i="6" s="1"/>
  <c r="CB5" i="6" s="1"/>
  <c r="CH13" i="6" s="1"/>
  <c r="CS17" i="6" s="1"/>
  <c r="CM17" i="6"/>
  <c r="G22" i="7" s="1"/>
  <c r="AX10" i="6"/>
  <c r="AY10" i="6" s="1"/>
  <c r="CA6" i="6" s="1"/>
  <c r="CI10" i="6" s="1"/>
  <c r="CT16" i="6" s="1"/>
  <c r="CM16" i="6"/>
  <c r="G21" i="7" s="1"/>
  <c r="CP16" i="6"/>
  <c r="CO16" i="6"/>
  <c r="CP15" i="6"/>
  <c r="CO15" i="6"/>
  <c r="AS7" i="6"/>
  <c r="AT7" i="6" s="1"/>
  <c r="BZ5" i="6" s="1"/>
  <c r="CH7" i="6" s="1"/>
  <c r="CS15" i="6" s="1"/>
  <c r="CM15" i="6"/>
  <c r="G20" i="7" s="1"/>
  <c r="AS4" i="6"/>
  <c r="AT4" i="6" s="1"/>
  <c r="BY5" i="6" s="1"/>
  <c r="CM14" i="6"/>
  <c r="G19" i="7" s="1"/>
  <c r="AW17" i="6"/>
  <c r="AX17" i="6"/>
  <c r="AY17" i="6" s="1"/>
  <c r="CC11" i="6" s="1"/>
  <c r="AW18" i="6"/>
  <c r="AX18" i="6"/>
  <c r="AY18" i="6" s="1"/>
  <c r="CC16" i="6" s="1"/>
  <c r="AW7" i="6"/>
  <c r="AX7" i="6"/>
  <c r="AY7" i="6" s="1"/>
  <c r="BZ6" i="6" s="1"/>
  <c r="CI7" i="6" s="1"/>
  <c r="CT15" i="6" s="1"/>
  <c r="AX4" i="6"/>
  <c r="AY4" i="6" s="1"/>
  <c r="BY6" i="6" s="1"/>
  <c r="CI4" i="6" s="1"/>
  <c r="CT14" i="6" s="1"/>
  <c r="AW15" i="6"/>
  <c r="AX15" i="6"/>
  <c r="AY15" i="6" s="1"/>
  <c r="CB16" i="6" s="1"/>
  <c r="AX13" i="6"/>
  <c r="AY13" i="6" s="1"/>
  <c r="CB6" i="6" s="1"/>
  <c r="AW16" i="6"/>
  <c r="AX16" i="6"/>
  <c r="AY16" i="6" s="1"/>
  <c r="CC6" i="6" s="1"/>
  <c r="CA7" i="6"/>
  <c r="CC7" i="6"/>
  <c r="BZ7" i="6"/>
  <c r="AS10" i="6"/>
  <c r="AT10" i="6" s="1"/>
  <c r="CA5" i="6" s="1"/>
  <c r="CH10" i="6" s="1"/>
  <c r="CS16" i="6" s="1"/>
  <c r="AZ4" i="6"/>
  <c r="BB4" i="6" s="1"/>
  <c r="BC4" i="6" s="1"/>
  <c r="AZ18" i="6"/>
  <c r="CW16" i="6" l="1"/>
  <c r="N56" i="7" s="1"/>
  <c r="J21" i="7"/>
  <c r="CW19" i="6"/>
  <c r="N70" i="7" s="1"/>
  <c r="J24" i="7"/>
  <c r="J22" i="7"/>
  <c r="CW17" i="6"/>
  <c r="F70" i="7" s="1"/>
  <c r="J47" i="7"/>
  <c r="R7" i="7" s="1"/>
  <c r="G17" i="3" s="1"/>
  <c r="CW15" i="6"/>
  <c r="J56" i="7" s="1"/>
  <c r="J20" i="7"/>
  <c r="J23" i="7"/>
  <c r="CW18" i="6"/>
  <c r="J70" i="7" s="1"/>
  <c r="BB18" i="6"/>
  <c r="BC18" i="6" s="1"/>
  <c r="CC17" i="6" s="1"/>
  <c r="CJ7" i="6"/>
  <c r="CU15" i="6" s="1"/>
  <c r="CJ10" i="6"/>
  <c r="CU16" i="6" s="1"/>
  <c r="CH4" i="6"/>
  <c r="CS14" i="6" s="1"/>
  <c r="CC12" i="6"/>
  <c r="CZ19" i="6"/>
  <c r="DA19" i="6" s="1"/>
  <c r="CO18" i="6"/>
  <c r="CI16" i="6"/>
  <c r="CT18" i="6" s="1"/>
  <c r="CP18" i="6"/>
  <c r="CI13" i="6"/>
  <c r="CT17" i="6" s="1"/>
  <c r="CJ13" i="6"/>
  <c r="CU17" i="6" s="1"/>
  <c r="CY17" i="6"/>
  <c r="CY16" i="6"/>
  <c r="CY15" i="6"/>
  <c r="CP14" i="6"/>
  <c r="CO14" i="6"/>
  <c r="H6" i="7"/>
  <c r="N61" i="7"/>
  <c r="R11" i="7" s="1"/>
  <c r="G21" i="3" s="1"/>
  <c r="CP9" i="6"/>
  <c r="H11" i="7"/>
  <c r="CP7" i="6"/>
  <c r="H9" i="7"/>
  <c r="I23" i="7" l="1"/>
  <c r="I24" i="7"/>
  <c r="L10" i="3"/>
  <c r="CZ16" i="6"/>
  <c r="M48" i="7" s="1"/>
  <c r="I21" i="7"/>
  <c r="CZ15" i="6"/>
  <c r="DA15" i="6" s="1"/>
  <c r="I50" i="7" s="1"/>
  <c r="I20" i="7"/>
  <c r="L6" i="3"/>
  <c r="I22" i="7"/>
  <c r="L8" i="3"/>
  <c r="CW14" i="6"/>
  <c r="F56" i="7" s="1"/>
  <c r="J19" i="7"/>
  <c r="CJ16" i="6"/>
  <c r="CU18" i="6" s="1"/>
  <c r="J64" i="7" s="1"/>
  <c r="CY14" i="6"/>
  <c r="F47" i="7"/>
  <c r="R6" i="7" s="1"/>
  <c r="G16" i="3" s="1"/>
  <c r="M62" i="7"/>
  <c r="CZ18" i="6"/>
  <c r="CZ17" i="6"/>
  <c r="DA17" i="6" s="1"/>
  <c r="E64" i="7" s="1"/>
  <c r="BY7" i="6"/>
  <c r="CJ4" i="6" s="1"/>
  <c r="CU14" i="6" s="1"/>
  <c r="F61" i="7"/>
  <c r="R9" i="7" s="1"/>
  <c r="G19" i="3" s="1"/>
  <c r="N49" i="7"/>
  <c r="N50" i="7"/>
  <c r="F64" i="7"/>
  <c r="F63" i="7"/>
  <c r="J50" i="7"/>
  <c r="J49" i="7"/>
  <c r="M64" i="7"/>
  <c r="N64" i="7"/>
  <c r="N63" i="7"/>
  <c r="N62" i="7"/>
  <c r="M61" i="7"/>
  <c r="CP4" i="6"/>
  <c r="CP5" i="6"/>
  <c r="H7" i="7"/>
  <c r="CP6" i="6"/>
  <c r="H8" i="7"/>
  <c r="CP8" i="6"/>
  <c r="H10" i="7"/>
  <c r="DA18" i="6" l="1"/>
  <c r="DA16" i="6"/>
  <c r="I48" i="7"/>
  <c r="CZ14" i="6"/>
  <c r="E48" i="7" s="1"/>
  <c r="I19" i="7"/>
  <c r="CR4" i="6" s="1"/>
  <c r="L61" i="7"/>
  <c r="P11" i="7" s="1"/>
  <c r="E21" i="3" s="1"/>
  <c r="Q11" i="7"/>
  <c r="F21" i="3" s="1"/>
  <c r="I62" i="7"/>
  <c r="E62" i="7"/>
  <c r="F48" i="7"/>
  <c r="F62" i="7"/>
  <c r="E61" i="7"/>
  <c r="Q9" i="7" s="1"/>
  <c r="F19" i="3" s="1"/>
  <c r="J63" i="7"/>
  <c r="E47" i="7"/>
  <c r="N47" i="7"/>
  <c r="R8" i="7" s="1"/>
  <c r="G18" i="3" s="1"/>
  <c r="J61" i="7"/>
  <c r="R10" i="7" s="1"/>
  <c r="G20" i="3" s="1"/>
  <c r="CR9" i="6"/>
  <c r="CS4" i="6"/>
  <c r="CY29" i="6"/>
  <c r="DB29" i="6"/>
  <c r="CZ29" i="6"/>
  <c r="DB24" i="6"/>
  <c r="CY24" i="6"/>
  <c r="D26" i="4"/>
  <c r="D31" i="4"/>
  <c r="O9" i="7"/>
  <c r="G29" i="4" s="1"/>
  <c r="O11" i="7"/>
  <c r="G31" i="4" s="1"/>
  <c r="L9" i="3" l="1"/>
  <c r="DA14" i="6"/>
  <c r="L5" i="3" s="1"/>
  <c r="M50" i="7"/>
  <c r="L7" i="3"/>
  <c r="CZ24" i="6"/>
  <c r="D47" i="7"/>
  <c r="P6" i="7" s="1"/>
  <c r="E16" i="3" s="1"/>
  <c r="Q6" i="7"/>
  <c r="F16" i="3" s="1"/>
  <c r="F49" i="7"/>
  <c r="F50" i="7"/>
  <c r="J62" i="7"/>
  <c r="I61" i="7"/>
  <c r="Q10" i="7" s="1"/>
  <c r="F20" i="3" s="1"/>
  <c r="N48" i="7"/>
  <c r="M47" i="7"/>
  <c r="Q8" i="7" s="1"/>
  <c r="F18" i="3" s="1"/>
  <c r="J48" i="7"/>
  <c r="I47" i="7"/>
  <c r="Q7" i="7" s="1"/>
  <c r="F17" i="3" s="1"/>
  <c r="L62" i="7"/>
  <c r="L63" i="7" s="1"/>
  <c r="L64" i="7" s="1"/>
  <c r="L65" i="7" s="1"/>
  <c r="L66" i="7" s="1"/>
  <c r="L67" i="7" s="1"/>
  <c r="L68" i="7" s="1"/>
  <c r="L69" i="7" s="1"/>
  <c r="D61" i="7"/>
  <c r="P9" i="7" s="1"/>
  <c r="E19" i="3" s="1"/>
  <c r="CR7" i="6"/>
  <c r="Q120" i="4"/>
  <c r="Q109" i="4"/>
  <c r="Q104" i="4"/>
  <c r="Q115" i="4"/>
  <c r="Q153" i="4"/>
  <c r="Q208" i="4"/>
  <c r="Q131" i="4"/>
  <c r="Q164" i="4"/>
  <c r="Q186" i="4"/>
  <c r="Q219" i="4"/>
  <c r="Q197" i="4"/>
  <c r="Q175" i="4"/>
  <c r="Q142" i="4"/>
  <c r="Q159" i="4"/>
  <c r="Q148" i="4"/>
  <c r="Q137" i="4"/>
  <c r="Q126" i="4"/>
  <c r="Q214" i="4"/>
  <c r="Q203" i="4"/>
  <c r="Q192" i="4"/>
  <c r="Q181" i="4"/>
  <c r="Q170" i="4"/>
  <c r="CZ27" i="6"/>
  <c r="CY27" i="6"/>
  <c r="DB27" i="6"/>
  <c r="D29" i="4"/>
  <c r="S227" i="4"/>
  <c r="I11" i="7"/>
  <c r="J11" i="7" s="1"/>
  <c r="D21" i="3"/>
  <c r="D19" i="3"/>
  <c r="O7" i="7"/>
  <c r="G27" i="4" s="1"/>
  <c r="O8" i="7"/>
  <c r="D48" i="7" l="1"/>
  <c r="D49" i="7" s="1"/>
  <c r="E50" i="7"/>
  <c r="O5" i="3"/>
  <c r="DA29" i="6"/>
  <c r="CR6" i="6"/>
  <c r="CR5" i="6"/>
  <c r="Q118" i="4"/>
  <c r="Q107" i="4"/>
  <c r="H61" i="7"/>
  <c r="P10" i="7" s="1"/>
  <c r="E20" i="3" s="1"/>
  <c r="CZ25" i="6"/>
  <c r="DB25" i="6"/>
  <c r="CY25" i="6"/>
  <c r="H47" i="7"/>
  <c r="P7" i="7" s="1"/>
  <c r="E17" i="3" s="1"/>
  <c r="D27" i="4"/>
  <c r="Q184" i="4"/>
  <c r="Q173" i="4"/>
  <c r="Q206" i="4"/>
  <c r="Q195" i="4"/>
  <c r="Q162" i="4"/>
  <c r="Q151" i="4"/>
  <c r="Q140" i="4"/>
  <c r="Q129" i="4"/>
  <c r="Q217" i="4"/>
  <c r="DB28" i="6"/>
  <c r="D30" i="4"/>
  <c r="CY28" i="6"/>
  <c r="I9" i="7"/>
  <c r="J9" i="7" s="1"/>
  <c r="CY26" i="6"/>
  <c r="D28" i="4"/>
  <c r="CR8" i="6"/>
  <c r="L47" i="7"/>
  <c r="P8" i="7" s="1"/>
  <c r="E18" i="3" s="1"/>
  <c r="CZ26" i="6"/>
  <c r="DB26" i="6"/>
  <c r="CS5" i="6"/>
  <c r="D62" i="7"/>
  <c r="D63" i="7" s="1"/>
  <c r="D64" i="7" s="1"/>
  <c r="D65" i="7" s="1"/>
  <c r="D66" i="7" s="1"/>
  <c r="D67" i="7" s="1"/>
  <c r="D68" i="7" s="1"/>
  <c r="D69" i="7" s="1"/>
  <c r="CZ28" i="6"/>
  <c r="CS7" i="6"/>
  <c r="S231" i="4"/>
  <c r="P242" i="4" s="1"/>
  <c r="S229" i="4"/>
  <c r="T240" i="4" s="1"/>
  <c r="CS9" i="6"/>
  <c r="S230" i="4"/>
  <c r="P241" i="4" s="1"/>
  <c r="D18" i="3"/>
  <c r="G28" i="4"/>
  <c r="T238" i="4"/>
  <c r="P238" i="4"/>
  <c r="E31" i="4"/>
  <c r="E29" i="4"/>
  <c r="D17" i="3"/>
  <c r="D50" i="7" l="1"/>
  <c r="D51" i="7" s="1"/>
  <c r="D52" i="7" s="1"/>
  <c r="D53" i="7" s="1"/>
  <c r="D54" i="7" s="1"/>
  <c r="D55" i="7" s="1"/>
  <c r="H48" i="7"/>
  <c r="H49" i="7" s="1"/>
  <c r="H50" i="7" s="1"/>
  <c r="H51" i="7" s="1"/>
  <c r="H52" i="7" s="1"/>
  <c r="H53" i="7" s="1"/>
  <c r="H54" i="7" s="1"/>
  <c r="H55" i="7" s="1"/>
  <c r="H62" i="7"/>
  <c r="H63" i="7" s="1"/>
  <c r="H64" i="7" s="1"/>
  <c r="H65" i="7" s="1"/>
  <c r="H66" i="7" s="1"/>
  <c r="H67" i="7" s="1"/>
  <c r="H68" i="7" s="1"/>
  <c r="H69" i="7" s="1"/>
  <c r="DA27" i="6"/>
  <c r="S228" i="4"/>
  <c r="P239" i="4" s="1"/>
  <c r="Q108" i="4"/>
  <c r="Q119" i="4"/>
  <c r="Q117" i="4"/>
  <c r="Q106" i="4"/>
  <c r="Q105" i="4"/>
  <c r="Q116" i="4"/>
  <c r="E27" i="4"/>
  <c r="Q215" i="4"/>
  <c r="I7" i="7"/>
  <c r="J7" i="7" s="1"/>
  <c r="Q193" i="4"/>
  <c r="Q149" i="4"/>
  <c r="Q182" i="4"/>
  <c r="Q127" i="4"/>
  <c r="Q138" i="4"/>
  <c r="Q160" i="4"/>
  <c r="Q204" i="4"/>
  <c r="Q171" i="4"/>
  <c r="T242" i="4"/>
  <c r="Q163" i="4"/>
  <c r="Q152" i="4"/>
  <c r="Q141" i="4"/>
  <c r="Q130" i="4"/>
  <c r="Q218" i="4"/>
  <c r="Q207" i="4"/>
  <c r="Q196" i="4"/>
  <c r="Q185" i="4"/>
  <c r="Q174" i="4"/>
  <c r="Q161" i="4"/>
  <c r="Q150" i="4"/>
  <c r="Q139" i="4"/>
  <c r="Q128" i="4"/>
  <c r="Q216" i="4"/>
  <c r="Q205" i="4"/>
  <c r="Q194" i="4"/>
  <c r="Q183" i="4"/>
  <c r="Q172" i="4"/>
  <c r="I8" i="7"/>
  <c r="J8" i="7" s="1"/>
  <c r="P240" i="4"/>
  <c r="CS6" i="6"/>
  <c r="CS8" i="6"/>
  <c r="T241" i="4"/>
  <c r="E28" i="4"/>
  <c r="T239" i="4" l="1"/>
  <c r="DA28" i="6"/>
  <c r="DA25" i="6"/>
  <c r="DA26" i="6"/>
  <c r="L48" i="7"/>
  <c r="L49" i="7" s="1"/>
  <c r="L50" i="7" s="1"/>
  <c r="L51" i="7" s="1"/>
  <c r="L52" i="7" s="1"/>
  <c r="L53" i="7" s="1"/>
  <c r="L54" i="7" s="1"/>
  <c r="L55" i="7" s="1"/>
  <c r="O10" i="7"/>
  <c r="G30" i="4" s="1"/>
  <c r="I10" i="7"/>
  <c r="J10" i="7" l="1"/>
  <c r="D20" i="3"/>
  <c r="E30" i="4" l="1"/>
  <c r="S226" i="4" l="1"/>
  <c r="I6" i="7"/>
  <c r="O6" i="7"/>
  <c r="G26" i="4" s="1"/>
  <c r="DA24" i="6" l="1"/>
  <c r="T237" i="4"/>
  <c r="P237" i="4"/>
  <c r="J6" i="7"/>
  <c r="D16" i="3"/>
  <c r="E26" i="4" l="1"/>
  <c r="Q226" i="4" l="1"/>
  <c r="U6" i="7"/>
  <c r="V6" i="7" s="1"/>
  <c r="T226" i="4" l="1"/>
  <c r="U19" i="7"/>
  <c r="V19" i="7" s="1"/>
  <c r="Q227" i="4"/>
  <c r="U7" i="7"/>
  <c r="V7" i="7" s="1"/>
  <c r="T227" i="4" l="1"/>
  <c r="U20" i="7"/>
  <c r="V20" i="7" s="1"/>
  <c r="Q228" i="4"/>
  <c r="U8" i="7"/>
  <c r="V8" i="7" s="1"/>
  <c r="T228" i="4" l="1"/>
  <c r="U21" i="7"/>
  <c r="V21" i="7" s="1"/>
  <c r="Q229" i="4"/>
  <c r="U9" i="7"/>
  <c r="V9" i="7" s="1"/>
  <c r="T229" i="4" l="1"/>
  <c r="U22" i="7"/>
  <c r="V22" i="7" s="1"/>
  <c r="Q230" i="4"/>
  <c r="U10" i="7"/>
  <c r="V10" i="7" s="1"/>
  <c r="T230" i="4" l="1"/>
  <c r="U23" i="7"/>
  <c r="V23" i="7" s="1"/>
  <c r="Q231" i="4"/>
  <c r="U11" i="7"/>
  <c r="V11" i="7" s="1"/>
  <c r="H29" i="4"/>
  <c r="H26" i="4"/>
  <c r="T231" i="4" l="1"/>
  <c r="U24" i="7"/>
  <c r="V24" i="7" s="1"/>
  <c r="H28" i="4"/>
  <c r="H31" i="4"/>
  <c r="H30" i="4"/>
  <c r="H27" i="4"/>
  <c r="N9" i="3" l="1"/>
  <c r="N6" i="3"/>
  <c r="M6" i="3" l="1"/>
  <c r="O6" i="3"/>
  <c r="M9" i="3"/>
  <c r="O9" i="3"/>
  <c r="N8" i="3"/>
  <c r="N10" i="3"/>
  <c r="N7" i="3"/>
  <c r="F9" i="3"/>
  <c r="F6" i="3"/>
  <c r="M8" i="3" l="1"/>
  <c r="O8" i="3"/>
  <c r="M7" i="3"/>
  <c r="O7" i="3"/>
  <c r="M10" i="3"/>
  <c r="O10" i="3"/>
  <c r="F8" i="3"/>
  <c r="F7" i="3"/>
  <c r="F10" i="3"/>
  <c r="F5" i="3" l="1"/>
  <c r="F12" i="3" s="1"/>
  <c r="G5" i="3" l="1"/>
  <c r="I5" i="3" s="1"/>
  <c r="J5" i="3" s="1"/>
  <c r="R5" i="3" s="1"/>
  <c r="G9" i="3"/>
  <c r="G6" i="3"/>
  <c r="N5" i="3"/>
  <c r="G7" i="3"/>
  <c r="G8" i="3"/>
  <c r="G10" i="3"/>
  <c r="I6" i="3" l="1"/>
  <c r="J6" i="3" s="1"/>
  <c r="R6" i="3" s="1"/>
  <c r="P5" i="3"/>
  <c r="H5" i="3"/>
  <c r="M5" i="3"/>
  <c r="I7" i="3" l="1"/>
  <c r="J7" i="3" s="1"/>
  <c r="R7" i="3" s="1"/>
  <c r="W5" i="3"/>
  <c r="AF5" i="3" s="1"/>
  <c r="AH5" i="3" l="1"/>
  <c r="AE5" i="3"/>
  <c r="I8" i="3"/>
  <c r="J8" i="3" s="1"/>
  <c r="R8" i="3" s="1"/>
  <c r="H6" i="3"/>
  <c r="P6" i="3"/>
  <c r="I9" i="3" l="1"/>
  <c r="J9" i="3" s="1"/>
  <c r="R9" i="3" s="1"/>
  <c r="AI5" i="3"/>
  <c r="AG5" i="3"/>
  <c r="W6" i="3"/>
  <c r="AF6" i="3" s="1"/>
  <c r="AH6" i="3" l="1"/>
  <c r="AE6" i="3"/>
  <c r="I10" i="3"/>
  <c r="J10" i="3" s="1"/>
  <c r="R10" i="3" s="1"/>
  <c r="H7" i="3"/>
  <c r="P7" i="3"/>
  <c r="AI6" i="3" l="1"/>
  <c r="AG6" i="3"/>
  <c r="W7" i="3"/>
  <c r="AF7" i="3" s="1"/>
  <c r="AH7" i="3" l="1"/>
  <c r="AE7" i="3"/>
  <c r="H8" i="3"/>
  <c r="P8" i="3"/>
  <c r="W8" i="3" l="1"/>
  <c r="AF8" i="3" s="1"/>
  <c r="AG7" i="3"/>
  <c r="AI7" i="3"/>
  <c r="AE8" i="3" l="1"/>
  <c r="AH8" i="3"/>
  <c r="H9" i="3"/>
  <c r="P9" i="3"/>
  <c r="W9" i="3" l="1"/>
  <c r="AF9" i="3" s="1"/>
  <c r="AI8" i="3"/>
  <c r="AG8" i="3"/>
  <c r="AH9" i="3" l="1"/>
  <c r="AE9" i="3"/>
  <c r="P10" i="3"/>
  <c r="H10" i="3"/>
  <c r="W10" i="3" l="1"/>
  <c r="AF10" i="3" s="1"/>
  <c r="S10" i="3"/>
  <c r="AG9" i="3"/>
  <c r="AI9" i="3"/>
  <c r="AH10" i="3" l="1"/>
  <c r="AE10" i="3"/>
  <c r="X10" i="3"/>
  <c r="Z10" i="3" s="1"/>
  <c r="S9" i="3"/>
  <c r="AG10" i="3" l="1"/>
  <c r="AI10" i="3"/>
  <c r="X9" i="3"/>
  <c r="S8" i="3"/>
  <c r="S7" i="3" l="1"/>
  <c r="X8" i="3"/>
  <c r="Z9" i="3"/>
  <c r="Z8" i="3" l="1"/>
  <c r="S6" i="3"/>
  <c r="X7" i="3"/>
  <c r="X6" i="3" l="1"/>
  <c r="S5" i="3"/>
  <c r="X5" i="3" s="1"/>
  <c r="Z7" i="3"/>
  <c r="Z5" i="3" l="1"/>
  <c r="Z6" i="3"/>
  <c r="Z12" i="3" l="1"/>
  <c r="AA10" i="3" l="1"/>
  <c r="AA9" i="3"/>
  <c r="AA8" i="3"/>
  <c r="AA7" i="3"/>
  <c r="AA6" i="3"/>
  <c r="AA5" i="3"/>
  <c r="AC5" i="3" s="1"/>
  <c r="AD5" i="3" s="1"/>
  <c r="R18" i="3" s="1"/>
  <c r="AK5" i="3" l="1"/>
  <c r="AC6" i="3"/>
  <c r="AD6" i="3" s="1"/>
  <c r="R19" i="3" s="1"/>
  <c r="AC7" i="3" l="1"/>
  <c r="AD7" i="3" s="1"/>
  <c r="R20" i="3" s="1"/>
  <c r="AB5" i="3"/>
  <c r="AJ5" i="3"/>
  <c r="AK6" i="3" s="1"/>
  <c r="W18" i="3" l="1"/>
  <c r="AF18" i="3" s="1"/>
  <c r="AJ6" i="3"/>
  <c r="W19" i="3" s="1"/>
  <c r="AF19" i="3" s="1"/>
  <c r="AB6" i="3"/>
  <c r="AC8" i="3"/>
  <c r="AD8" i="3" s="1"/>
  <c r="R21" i="3" s="1"/>
  <c r="AH19" i="3" l="1"/>
  <c r="AE19" i="3"/>
  <c r="AH18" i="3"/>
  <c r="AE18" i="3"/>
  <c r="AG18" i="3" s="1"/>
  <c r="AC9" i="3"/>
  <c r="AD9" i="3" s="1"/>
  <c r="R22" i="3" s="1"/>
  <c r="AB7" i="3" l="1"/>
  <c r="AK7" i="3"/>
  <c r="AJ7" i="3"/>
  <c r="W20" i="3" s="1"/>
  <c r="AF20" i="3" s="1"/>
  <c r="AI18" i="3"/>
  <c r="AG19" i="3"/>
  <c r="AI19" i="3"/>
  <c r="AC10" i="3"/>
  <c r="AD10" i="3" s="1"/>
  <c r="R23" i="3" s="1"/>
  <c r="AH20" i="3" l="1"/>
  <c r="AE20" i="3"/>
  <c r="AB8" i="3"/>
  <c r="AK8" i="3"/>
  <c r="AJ8" i="3"/>
  <c r="W21" i="3" l="1"/>
  <c r="AF21" i="3" s="1"/>
  <c r="AJ9" i="3"/>
  <c r="AG20" i="3"/>
  <c r="AI20" i="3"/>
  <c r="AH21" i="3" l="1"/>
  <c r="AE21" i="3"/>
  <c r="AG21" i="3" s="1"/>
  <c r="AB9" i="3"/>
  <c r="AK9" i="3"/>
  <c r="W22" i="3"/>
  <c r="AF22" i="3" s="1"/>
  <c r="AJ10" i="3"/>
  <c r="W23" i="3" s="1"/>
  <c r="AF23" i="3" s="1"/>
  <c r="AH23" i="3" l="1"/>
  <c r="AE23" i="3"/>
  <c r="AH22" i="3"/>
  <c r="AE22" i="3"/>
  <c r="AG22" i="3" s="1"/>
  <c r="AI21" i="3"/>
  <c r="AB10" i="3"/>
  <c r="AK10" i="3"/>
  <c r="S23" i="3"/>
  <c r="X23" i="3" s="1"/>
  <c r="AI22" i="3" l="1"/>
  <c r="S22" i="3"/>
  <c r="X22" i="3" s="1"/>
  <c r="AI23" i="3"/>
  <c r="AG23" i="3"/>
  <c r="Z23" i="3"/>
  <c r="S21" i="3" l="1"/>
  <c r="X21" i="3" s="1"/>
  <c r="Z22" i="3"/>
  <c r="S20" i="3" l="1"/>
  <c r="X20" i="3" s="1"/>
  <c r="Z21" i="3"/>
  <c r="S19" i="3" l="1"/>
  <c r="X19" i="3" s="1"/>
  <c r="Z20" i="3"/>
  <c r="S18" i="3" l="1"/>
  <c r="X18" i="3" s="1"/>
  <c r="Z18" i="3" s="1"/>
  <c r="Z19" i="3"/>
  <c r="Z25" i="3" l="1"/>
  <c r="AA23" i="3" l="1"/>
  <c r="AA22" i="3"/>
  <c r="AA21" i="3"/>
  <c r="AA20" i="3"/>
  <c r="AA19" i="3"/>
  <c r="AA18" i="3"/>
  <c r="AC18" i="3" s="1"/>
  <c r="AD18" i="3" s="1"/>
  <c r="R31" i="3" s="1"/>
  <c r="AC19" i="3" l="1"/>
  <c r="AD19" i="3" s="1"/>
  <c r="R32" i="3" s="1"/>
  <c r="AK18" i="3"/>
  <c r="AJ18" i="3" l="1"/>
  <c r="AK19" i="3" s="1"/>
  <c r="AB18" i="3"/>
  <c r="AC20" i="3"/>
  <c r="AD20" i="3" s="1"/>
  <c r="R33" i="3" s="1"/>
  <c r="W31" i="3" l="1"/>
  <c r="AF31" i="3" s="1"/>
  <c r="AC21" i="3"/>
  <c r="AD21" i="3" s="1"/>
  <c r="R34" i="3" s="1"/>
  <c r="AB19" i="3"/>
  <c r="AJ19" i="3"/>
  <c r="AK20" i="3" s="1"/>
  <c r="AH31" i="3" l="1"/>
  <c r="AE31" i="3"/>
  <c r="AG31" i="3" s="1"/>
  <c r="W32" i="3"/>
  <c r="AF32" i="3" s="1"/>
  <c r="AJ20" i="3"/>
  <c r="AK21" i="3" s="1"/>
  <c r="AB20" i="3"/>
  <c r="AC22" i="3"/>
  <c r="AD22" i="3" s="1"/>
  <c r="R35" i="3" s="1"/>
  <c r="AH32" i="3" l="1"/>
  <c r="AE32" i="3"/>
  <c r="AG32" i="3" s="1"/>
  <c r="AI31" i="3"/>
  <c r="W33" i="3"/>
  <c r="AF33" i="3" s="1"/>
  <c r="AJ21" i="3"/>
  <c r="W34" i="3" s="1"/>
  <c r="AF34" i="3" s="1"/>
  <c r="AB21" i="3"/>
  <c r="AC23" i="3"/>
  <c r="AD23" i="3" s="1"/>
  <c r="R36" i="3" s="1"/>
  <c r="AH34" i="3" l="1"/>
  <c r="AE34" i="3"/>
  <c r="AH33" i="3"/>
  <c r="AE33" i="3"/>
  <c r="AG33" i="3" s="1"/>
  <c r="AK22" i="3"/>
  <c r="AI32" i="3"/>
  <c r="AJ22" i="3" l="1"/>
  <c r="AB22" i="3"/>
  <c r="AI33" i="3"/>
  <c r="AG34" i="3"/>
  <c r="AI34" i="3"/>
  <c r="AK23" i="3" l="1"/>
  <c r="W35" i="3"/>
  <c r="AF35" i="3" s="1"/>
  <c r="AE35" i="3" l="1"/>
  <c r="AG35" i="3" s="1"/>
  <c r="AH35" i="3"/>
  <c r="AB23" i="3"/>
  <c r="AJ23" i="3"/>
  <c r="W36" i="3" s="1"/>
  <c r="AF36" i="3" s="1"/>
  <c r="AE36" i="3" l="1"/>
  <c r="AG36" i="3" s="1"/>
  <c r="AH36" i="3"/>
  <c r="S36" i="3"/>
  <c r="X36" i="3" s="1"/>
  <c r="Z36" i="3" s="1"/>
  <c r="AI35" i="3"/>
  <c r="S35" i="3" l="1"/>
  <c r="X35" i="3" s="1"/>
  <c r="Z35" i="3" s="1"/>
  <c r="AI36" i="3"/>
  <c r="S34" i="3" l="1"/>
  <c r="S33" i="3" s="1"/>
  <c r="S32" i="3" s="1"/>
  <c r="X33" i="3" l="1"/>
  <c r="Z33" i="3" s="1"/>
  <c r="X34" i="3"/>
  <c r="Z34" i="3" s="1"/>
  <c r="X32" i="3"/>
  <c r="S31" i="3"/>
  <c r="X31" i="3" s="1"/>
  <c r="Z31" i="3" l="1"/>
  <c r="Z32" i="3"/>
  <c r="Z38" i="3" l="1"/>
  <c r="AA36" i="3" s="1"/>
  <c r="AA32" i="3" l="1"/>
  <c r="AA31" i="3"/>
  <c r="AC31" i="3" s="1"/>
  <c r="AD31" i="3" s="1"/>
  <c r="R44" i="3" s="1"/>
  <c r="AA33" i="3"/>
  <c r="AA35" i="3"/>
  <c r="AA34" i="3"/>
  <c r="AC32" i="3" l="1"/>
  <c r="AD32" i="3" s="1"/>
  <c r="R45" i="3" s="1"/>
  <c r="AB31" i="3" l="1"/>
  <c r="AK31" i="3"/>
  <c r="AJ31" i="3"/>
  <c r="AC33" i="3"/>
  <c r="AD33" i="3" s="1"/>
  <c r="R46" i="3" s="1"/>
  <c r="AB32" i="3" l="1"/>
  <c r="AK32" i="3"/>
  <c r="AC34" i="3"/>
  <c r="AD34" i="3" s="1"/>
  <c r="R47" i="3" s="1"/>
  <c r="AJ32" i="3"/>
  <c r="AK33" i="3" s="1"/>
  <c r="W44" i="3"/>
  <c r="AF44" i="3" s="1"/>
  <c r="AH44" i="3" l="1"/>
  <c r="AE44" i="3"/>
  <c r="AG44" i="3" s="1"/>
  <c r="AC35" i="3"/>
  <c r="AD35" i="3" s="1"/>
  <c r="R48" i="3" s="1"/>
  <c r="W45" i="3"/>
  <c r="AF45" i="3" s="1"/>
  <c r="AJ33" i="3"/>
  <c r="AB33" i="3"/>
  <c r="AH45" i="3" l="1"/>
  <c r="AE45" i="3"/>
  <c r="AG45" i="3" s="1"/>
  <c r="AC36" i="3"/>
  <c r="AD36" i="3" s="1"/>
  <c r="R49" i="3" s="1"/>
  <c r="W46" i="3"/>
  <c r="AF46" i="3" s="1"/>
  <c r="AJ34" i="3"/>
  <c r="AK34" i="3"/>
  <c r="AB34" i="3"/>
  <c r="AI44" i="3"/>
  <c r="AH46" i="3" l="1"/>
  <c r="AE46" i="3"/>
  <c r="AG46" i="3" s="1"/>
  <c r="AK35" i="3"/>
  <c r="W47" i="3"/>
  <c r="AF47" i="3" s="1"/>
  <c r="AI45" i="3"/>
  <c r="AH47" i="3" l="1"/>
  <c r="AE47" i="3"/>
  <c r="AG47" i="3" s="1"/>
  <c r="AB35" i="3"/>
  <c r="AJ35" i="3"/>
  <c r="W48" i="3" s="1"/>
  <c r="AF48" i="3" s="1"/>
  <c r="AK36" i="3"/>
  <c r="AI46" i="3"/>
  <c r="AH48" i="3" l="1"/>
  <c r="AE48" i="3"/>
  <c r="AG48" i="3" s="1"/>
  <c r="AJ36" i="3"/>
  <c r="S49" i="3" s="1"/>
  <c r="X49" i="3" s="1"/>
  <c r="AB36" i="3"/>
  <c r="AI47" i="3"/>
  <c r="S48" i="3" l="1"/>
  <c r="S47" i="3" s="1"/>
  <c r="W49" i="3"/>
  <c r="AF49" i="3" s="1"/>
  <c r="AI48" i="3"/>
  <c r="Z49" i="3"/>
  <c r="AE49" i="3" l="1"/>
  <c r="AG49" i="3" s="1"/>
  <c r="AH49" i="3"/>
  <c r="X48" i="3"/>
  <c r="Z48" i="3" s="1"/>
  <c r="X47" i="3"/>
  <c r="S46" i="3"/>
  <c r="AI49" i="3" l="1"/>
  <c r="S45" i="3"/>
  <c r="X46" i="3"/>
  <c r="Z47" i="3"/>
  <c r="Z46" i="3" l="1"/>
  <c r="X45" i="3"/>
  <c r="S44" i="3"/>
  <c r="X44" i="3" s="1"/>
  <c r="Z44" i="3" l="1"/>
  <c r="Z45" i="3"/>
  <c r="Z51" i="3" l="1"/>
  <c r="AA49" i="3" l="1"/>
  <c r="AA48" i="3"/>
  <c r="AA47" i="3"/>
  <c r="AA46" i="3"/>
  <c r="AA44" i="3"/>
  <c r="AC44" i="3" s="1"/>
  <c r="AD44" i="3" s="1"/>
  <c r="R57" i="3" s="1"/>
  <c r="AA45" i="3"/>
  <c r="AK44" i="3" l="1"/>
  <c r="AC45" i="3"/>
  <c r="AD45" i="3" s="1"/>
  <c r="R58" i="3" s="1"/>
  <c r="AC46" i="3" l="1"/>
  <c r="AD46" i="3" s="1"/>
  <c r="R59" i="3" s="1"/>
  <c r="AB44" i="3"/>
  <c r="AJ44" i="3"/>
  <c r="AK45" i="3" s="1"/>
  <c r="W57" i="3" l="1"/>
  <c r="AF57" i="3" s="1"/>
  <c r="AB45" i="3"/>
  <c r="AJ45" i="3"/>
  <c r="AK46" i="3" s="1"/>
  <c r="AC47" i="3"/>
  <c r="AD47" i="3" s="1"/>
  <c r="R60" i="3" s="1"/>
  <c r="AH57" i="3" l="1"/>
  <c r="AE57" i="3"/>
  <c r="AG57" i="3" s="1"/>
  <c r="AC48" i="3"/>
  <c r="AD48" i="3" s="1"/>
  <c r="R61" i="3" s="1"/>
  <c r="W58" i="3"/>
  <c r="AF58" i="3" s="1"/>
  <c r="AB46" i="3"/>
  <c r="AJ46" i="3"/>
  <c r="AK47" i="3" s="1"/>
  <c r="AH58" i="3" l="1"/>
  <c r="AE58" i="3"/>
  <c r="AI57" i="3"/>
  <c r="C16" i="4"/>
  <c r="E16" i="4" s="1"/>
  <c r="AJ47" i="3"/>
  <c r="W60" i="3" s="1"/>
  <c r="AF60" i="3" s="1"/>
  <c r="AB47" i="3"/>
  <c r="W59" i="3"/>
  <c r="AF59" i="3" s="1"/>
  <c r="AC49" i="3"/>
  <c r="AD49" i="3" s="1"/>
  <c r="R62" i="3" s="1"/>
  <c r="T214" i="4" l="1"/>
  <c r="T192" i="4"/>
  <c r="T170" i="4"/>
  <c r="T148" i="4"/>
  <c r="T126" i="4"/>
  <c r="T203" i="4"/>
  <c r="T181" i="4"/>
  <c r="T159" i="4"/>
  <c r="T137" i="4"/>
  <c r="T115" i="4"/>
  <c r="T104" i="4"/>
  <c r="AH60" i="3"/>
  <c r="AE60" i="3"/>
  <c r="AH59" i="3"/>
  <c r="AE59" i="3"/>
  <c r="AK48" i="3"/>
  <c r="AI58" i="3"/>
  <c r="C17" i="4"/>
  <c r="E17" i="4" s="1"/>
  <c r="AG58" i="3"/>
  <c r="T204" i="4" l="1"/>
  <c r="T160" i="4"/>
  <c r="T116" i="4"/>
  <c r="T193" i="4"/>
  <c r="T127" i="4"/>
  <c r="T182" i="4"/>
  <c r="T138" i="4"/>
  <c r="T171" i="4"/>
  <c r="T105" i="4"/>
  <c r="T215" i="4"/>
  <c r="T149" i="4"/>
  <c r="AJ48" i="3"/>
  <c r="W61" i="3" s="1"/>
  <c r="AF61" i="3" s="1"/>
  <c r="AB48" i="3"/>
  <c r="AG59" i="3"/>
  <c r="AI59" i="3"/>
  <c r="C18" i="4"/>
  <c r="E18" i="4" s="1"/>
  <c r="AG60" i="3"/>
  <c r="C19" i="4"/>
  <c r="E19" i="4" s="1"/>
  <c r="AI60" i="3"/>
  <c r="T205" i="4" l="1"/>
  <c r="T161" i="4"/>
  <c r="T216" i="4"/>
  <c r="T128" i="4"/>
  <c r="T183" i="4"/>
  <c r="T139" i="4"/>
  <c r="T117" i="4"/>
  <c r="T172" i="4"/>
  <c r="T106" i="4"/>
  <c r="T194" i="4"/>
  <c r="T150" i="4"/>
  <c r="T206" i="4"/>
  <c r="T184" i="4"/>
  <c r="T140" i="4"/>
  <c r="T118" i="4"/>
  <c r="T195" i="4"/>
  <c r="T107" i="4"/>
  <c r="T162" i="4"/>
  <c r="T151" i="4"/>
  <c r="T217" i="4"/>
  <c r="T173" i="4"/>
  <c r="T129" i="4"/>
  <c r="AH61" i="3"/>
  <c r="AA73" i="3" s="1"/>
  <c r="AE61" i="3"/>
  <c r="AG61" i="3" s="1"/>
  <c r="Z73" i="3" s="1"/>
  <c r="AB49" i="3"/>
  <c r="C20" i="4" l="1"/>
  <c r="E20" i="4" s="1"/>
  <c r="AJ49" i="3"/>
  <c r="W62" i="3" s="1"/>
  <c r="AF62" i="3" s="1"/>
  <c r="AK49" i="3"/>
  <c r="AI61" i="3"/>
  <c r="T207" i="4" l="1"/>
  <c r="T185" i="4"/>
  <c r="T163" i="4"/>
  <c r="T141" i="4"/>
  <c r="T119" i="4"/>
  <c r="T218" i="4"/>
  <c r="T196" i="4"/>
  <c r="T174" i="4"/>
  <c r="T152" i="4"/>
  <c r="T130" i="4"/>
  <c r="T108" i="4"/>
  <c r="AH62" i="3"/>
  <c r="AE62" i="3"/>
  <c r="AG62" i="3" s="1"/>
  <c r="S62" i="3"/>
  <c r="X62" i="3" s="1"/>
  <c r="C21" i="4" l="1"/>
  <c r="E21" i="4" s="1"/>
  <c r="M175" i="4"/>
  <c r="N175" i="4" s="1"/>
  <c r="O175" i="4" s="1"/>
  <c r="M109" i="4"/>
  <c r="Z109" i="4" s="1"/>
  <c r="AA109" i="4" s="1"/>
  <c r="M219" i="4"/>
  <c r="N219" i="4" s="1"/>
  <c r="O219" i="4" s="1"/>
  <c r="M186" i="4"/>
  <c r="N186" i="4" s="1"/>
  <c r="O186" i="4" s="1"/>
  <c r="M153" i="4"/>
  <c r="Z153" i="4" s="1"/>
  <c r="AA153" i="4" s="1"/>
  <c r="M164" i="4"/>
  <c r="Z164" i="4" s="1"/>
  <c r="AA164" i="4" s="1"/>
  <c r="Z62" i="3"/>
  <c r="M197" i="4"/>
  <c r="Z197" i="4" s="1"/>
  <c r="AA197" i="4" s="1"/>
  <c r="M208" i="4"/>
  <c r="Z208" i="4" s="1"/>
  <c r="AA208" i="4" s="1"/>
  <c r="M142" i="4"/>
  <c r="Z142" i="4" s="1"/>
  <c r="AA142" i="4" s="1"/>
  <c r="M120" i="4"/>
  <c r="N120" i="4" s="1"/>
  <c r="O120" i="4" s="1"/>
  <c r="M131" i="4"/>
  <c r="N131" i="4" s="1"/>
  <c r="O131" i="4" s="1"/>
  <c r="S61" i="3"/>
  <c r="X61" i="3" s="1"/>
  <c r="AI62" i="3"/>
  <c r="T208" i="4" l="1"/>
  <c r="T186" i="4"/>
  <c r="T164" i="4"/>
  <c r="T142" i="4"/>
  <c r="T120" i="4"/>
  <c r="T219" i="4"/>
  <c r="T197" i="4"/>
  <c r="T175" i="4"/>
  <c r="T153" i="4"/>
  <c r="T131" i="4"/>
  <c r="T109" i="4"/>
  <c r="Z175" i="4"/>
  <c r="AA175" i="4" s="1"/>
  <c r="N109" i="4"/>
  <c r="O109" i="4" s="1"/>
  <c r="S109" i="4" s="1"/>
  <c r="Z76" i="4"/>
  <c r="AA76" i="4" s="1"/>
  <c r="N197" i="4"/>
  <c r="O197" i="4" s="1"/>
  <c r="S197" i="4" s="1"/>
  <c r="C142" i="4"/>
  <c r="H142" i="4"/>
  <c r="Z10" i="4"/>
  <c r="AA10" i="4" s="1"/>
  <c r="Z43" i="4"/>
  <c r="AA43" i="4" s="1"/>
  <c r="Z21" i="4"/>
  <c r="AA21" i="4" s="1"/>
  <c r="D142" i="4"/>
  <c r="F142" i="4"/>
  <c r="Z219" i="4"/>
  <c r="AA219" i="4" s="1"/>
  <c r="Z186" i="4"/>
  <c r="AA186" i="4" s="1"/>
  <c r="G142" i="4"/>
  <c r="Z54" i="4"/>
  <c r="AA54" i="4" s="1"/>
  <c r="Z32" i="4"/>
  <c r="AA32" i="4" s="1"/>
  <c r="E142" i="4"/>
  <c r="M196" i="4"/>
  <c r="N196" i="4" s="1"/>
  <c r="O196" i="4" s="1"/>
  <c r="N164" i="4"/>
  <c r="O164" i="4" s="1"/>
  <c r="Z65" i="4"/>
  <c r="AA65" i="4" s="1"/>
  <c r="N153" i="4"/>
  <c r="O153" i="4" s="1"/>
  <c r="Z87" i="4"/>
  <c r="AA87" i="4" s="1"/>
  <c r="Z131" i="4"/>
  <c r="AA131" i="4" s="1"/>
  <c r="N142" i="4"/>
  <c r="O142" i="4" s="1"/>
  <c r="N208" i="4"/>
  <c r="O208" i="4" s="1"/>
  <c r="Z120" i="4"/>
  <c r="AA120" i="4" s="1"/>
  <c r="Z98" i="4"/>
  <c r="AA98" i="4" s="1"/>
  <c r="M130" i="4"/>
  <c r="Z130" i="4" s="1"/>
  <c r="AA130" i="4" s="1"/>
  <c r="M141" i="4"/>
  <c r="Z141" i="4" s="1"/>
  <c r="AA141" i="4" s="1"/>
  <c r="M119" i="4"/>
  <c r="N119" i="4" s="1"/>
  <c r="O119" i="4" s="1"/>
  <c r="M152" i="4"/>
  <c r="N152" i="4" s="1"/>
  <c r="O152" i="4" s="1"/>
  <c r="Z61" i="3"/>
  <c r="M207" i="4"/>
  <c r="N207" i="4" s="1"/>
  <c r="O207" i="4" s="1"/>
  <c r="M185" i="4"/>
  <c r="N185" i="4" s="1"/>
  <c r="O185" i="4" s="1"/>
  <c r="M163" i="4"/>
  <c r="Z163" i="4" s="1"/>
  <c r="AA163" i="4" s="1"/>
  <c r="M174" i="4"/>
  <c r="Z174" i="4" s="1"/>
  <c r="AA174" i="4" s="1"/>
  <c r="M108" i="4"/>
  <c r="N108" i="4" s="1"/>
  <c r="O108" i="4" s="1"/>
  <c r="M218" i="4"/>
  <c r="Z218" i="4" s="1"/>
  <c r="AA218" i="4" s="1"/>
  <c r="S60" i="3"/>
  <c r="X60" i="3" s="1"/>
  <c r="S175" i="4"/>
  <c r="R175" i="4"/>
  <c r="S219" i="4"/>
  <c r="R219" i="4"/>
  <c r="S186" i="4"/>
  <c r="R186" i="4"/>
  <c r="R131" i="4"/>
  <c r="S131" i="4"/>
  <c r="S120" i="4"/>
  <c r="R120" i="4"/>
  <c r="Z97" i="4" l="1"/>
  <c r="AA97" i="4" s="1"/>
  <c r="R197" i="4"/>
  <c r="R109" i="4"/>
  <c r="Z207" i="4"/>
  <c r="AA207" i="4" s="1"/>
  <c r="D141" i="4"/>
  <c r="S153" i="4"/>
  <c r="S142" i="4"/>
  <c r="R142" i="4"/>
  <c r="Z64" i="4"/>
  <c r="AA64" i="4" s="1"/>
  <c r="R153" i="4"/>
  <c r="Z20" i="4"/>
  <c r="AA20" i="4" s="1"/>
  <c r="E141" i="4"/>
  <c r="F141" i="4"/>
  <c r="N130" i="4"/>
  <c r="O130" i="4" s="1"/>
  <c r="R164" i="4"/>
  <c r="Z42" i="4"/>
  <c r="AA42" i="4" s="1"/>
  <c r="S208" i="4"/>
  <c r="Z196" i="4"/>
  <c r="AA196" i="4" s="1"/>
  <c r="S164" i="4"/>
  <c r="C141" i="4"/>
  <c r="Z9" i="4"/>
  <c r="AA9" i="4" s="1"/>
  <c r="R208" i="4"/>
  <c r="Z31" i="4"/>
  <c r="AA31" i="4" s="1"/>
  <c r="Z53" i="4"/>
  <c r="AA53" i="4" s="1"/>
  <c r="G141" i="4"/>
  <c r="N141" i="4"/>
  <c r="O141" i="4" s="1"/>
  <c r="M195" i="4"/>
  <c r="Z195" i="4" s="1"/>
  <c r="AA195" i="4" s="1"/>
  <c r="Z119" i="4"/>
  <c r="AA119" i="4" s="1"/>
  <c r="Z152" i="4"/>
  <c r="AA152" i="4" s="1"/>
  <c r="Z185" i="4"/>
  <c r="AA185" i="4" s="1"/>
  <c r="Z75" i="4"/>
  <c r="AA75" i="4" s="1"/>
  <c r="Z108" i="4"/>
  <c r="AA108" i="4" s="1"/>
  <c r="N218" i="4"/>
  <c r="O218" i="4" s="1"/>
  <c r="M217" i="4"/>
  <c r="Z217" i="4" s="1"/>
  <c r="AA217" i="4" s="1"/>
  <c r="M151" i="4"/>
  <c r="Z151" i="4" s="1"/>
  <c r="AA151" i="4" s="1"/>
  <c r="Z60" i="3"/>
  <c r="Z86" i="4"/>
  <c r="AA86" i="4" s="1"/>
  <c r="N163" i="4"/>
  <c r="O163" i="4" s="1"/>
  <c r="M140" i="4"/>
  <c r="Z140" i="4" s="1"/>
  <c r="AA140" i="4" s="1"/>
  <c r="M184" i="4"/>
  <c r="Z184" i="4" s="1"/>
  <c r="AA184" i="4" s="1"/>
  <c r="N174" i="4"/>
  <c r="O174" i="4" s="1"/>
  <c r="M162" i="4"/>
  <c r="N162" i="4" s="1"/>
  <c r="O162" i="4" s="1"/>
  <c r="M173" i="4"/>
  <c r="Z173" i="4" s="1"/>
  <c r="AA173" i="4" s="1"/>
  <c r="H141" i="4"/>
  <c r="M118" i="4"/>
  <c r="Z118" i="4" s="1"/>
  <c r="AA118" i="4" s="1"/>
  <c r="M206" i="4"/>
  <c r="Z206" i="4" s="1"/>
  <c r="AA206" i="4" s="1"/>
  <c r="S59" i="3"/>
  <c r="S58" i="3" s="1"/>
  <c r="X58" i="3" s="1"/>
  <c r="M129" i="4"/>
  <c r="Z129" i="4" s="1"/>
  <c r="AA129" i="4" s="1"/>
  <c r="M107" i="4"/>
  <c r="H140" i="4" s="1"/>
  <c r="S207" i="4"/>
  <c r="R207" i="4"/>
  <c r="S119" i="4"/>
  <c r="R119" i="4"/>
  <c r="S185" i="4"/>
  <c r="R185" i="4"/>
  <c r="R196" i="4"/>
  <c r="S196" i="4"/>
  <c r="R152" i="4"/>
  <c r="S152" i="4"/>
  <c r="S108" i="4"/>
  <c r="R108" i="4"/>
  <c r="Z85" i="4" l="1"/>
  <c r="AA85" i="4" s="1"/>
  <c r="Z96" i="4"/>
  <c r="AA96" i="4" s="1"/>
  <c r="E140" i="4"/>
  <c r="Z30" i="4"/>
  <c r="AA30" i="4" s="1"/>
  <c r="R130" i="4"/>
  <c r="R141" i="4"/>
  <c r="S130" i="4"/>
  <c r="C140" i="4"/>
  <c r="Z41" i="4"/>
  <c r="AA41" i="4" s="1"/>
  <c r="N118" i="4"/>
  <c r="O118" i="4" s="1"/>
  <c r="S118" i="4" s="1"/>
  <c r="Z63" i="4"/>
  <c r="AA63" i="4" s="1"/>
  <c r="S141" i="4"/>
  <c r="F140" i="4"/>
  <c r="D140" i="4"/>
  <c r="N195" i="4"/>
  <c r="O195" i="4" s="1"/>
  <c r="R218" i="4"/>
  <c r="N217" i="4"/>
  <c r="O217" i="4" s="1"/>
  <c r="Z19" i="4"/>
  <c r="AA19" i="4" s="1"/>
  <c r="S218" i="4"/>
  <c r="Z8" i="4"/>
  <c r="AA8" i="4" s="1"/>
  <c r="G140" i="4"/>
  <c r="Z52" i="4"/>
  <c r="AA52" i="4" s="1"/>
  <c r="N206" i="4"/>
  <c r="O206" i="4" s="1"/>
  <c r="N151" i="4"/>
  <c r="O151" i="4" s="1"/>
  <c r="N140" i="4"/>
  <c r="O140" i="4" s="1"/>
  <c r="S163" i="4"/>
  <c r="R163" i="4"/>
  <c r="N173" i="4"/>
  <c r="O173" i="4" s="1"/>
  <c r="S174" i="4"/>
  <c r="N184" i="4"/>
  <c r="O184" i="4" s="1"/>
  <c r="N107" i="4"/>
  <c r="O107" i="4" s="1"/>
  <c r="R174" i="4"/>
  <c r="X59" i="3"/>
  <c r="Z162" i="4"/>
  <c r="AA162" i="4" s="1"/>
  <c r="S57" i="3"/>
  <c r="X57" i="3" s="1"/>
  <c r="N129" i="4"/>
  <c r="O129" i="4" s="1"/>
  <c r="Z74" i="4"/>
  <c r="AA74" i="4" s="1"/>
  <c r="Z107" i="4"/>
  <c r="AA107" i="4" s="1"/>
  <c r="R162" i="4"/>
  <c r="S162" i="4"/>
  <c r="M204" i="4"/>
  <c r="M127" i="4"/>
  <c r="M138" i="4"/>
  <c r="M193" i="4"/>
  <c r="M116" i="4"/>
  <c r="M105" i="4"/>
  <c r="M149" i="4"/>
  <c r="Z58" i="3"/>
  <c r="M160" i="4"/>
  <c r="M171" i="4"/>
  <c r="M215" i="4"/>
  <c r="M182" i="4"/>
  <c r="Y73" i="3" l="1"/>
  <c r="R118" i="4"/>
  <c r="R195" i="4"/>
  <c r="R217" i="4"/>
  <c r="S217" i="4"/>
  <c r="S140" i="4"/>
  <c r="R140" i="4"/>
  <c r="S195" i="4"/>
  <c r="S206" i="4"/>
  <c r="R206" i="4"/>
  <c r="M115" i="4"/>
  <c r="AB117" i="4" s="1"/>
  <c r="R151" i="4"/>
  <c r="M216" i="4"/>
  <c r="N216" i="4" s="1"/>
  <c r="O216" i="4" s="1"/>
  <c r="S151" i="4"/>
  <c r="S173" i="4"/>
  <c r="R184" i="4"/>
  <c r="S184" i="4"/>
  <c r="R173" i="4"/>
  <c r="M148" i="4"/>
  <c r="D51" i="4" s="1"/>
  <c r="M203" i="4"/>
  <c r="D56" i="4" s="1"/>
  <c r="M137" i="4"/>
  <c r="AB139" i="4" s="1"/>
  <c r="M214" i="4"/>
  <c r="N214" i="4" s="1"/>
  <c r="O214" i="4" s="1"/>
  <c r="M161" i="4"/>
  <c r="N161" i="4" s="1"/>
  <c r="O161" i="4" s="1"/>
  <c r="M128" i="4"/>
  <c r="N128" i="4" s="1"/>
  <c r="O128" i="4" s="1"/>
  <c r="S69" i="3"/>
  <c r="M159" i="4"/>
  <c r="N159" i="4" s="1"/>
  <c r="O159" i="4" s="1"/>
  <c r="M192" i="4"/>
  <c r="Z192" i="4" s="1"/>
  <c r="M139" i="4"/>
  <c r="Z139" i="4" s="1"/>
  <c r="AA139" i="4" s="1"/>
  <c r="Z57" i="3"/>
  <c r="M117" i="4"/>
  <c r="N117" i="4" s="1"/>
  <c r="O117" i="4" s="1"/>
  <c r="M106" i="4"/>
  <c r="N106" i="4" s="1"/>
  <c r="O106" i="4" s="1"/>
  <c r="M126" i="4"/>
  <c r="AB128" i="4" s="1"/>
  <c r="M194" i="4"/>
  <c r="N194" i="4" s="1"/>
  <c r="O194" i="4" s="1"/>
  <c r="M181" i="4"/>
  <c r="Z181" i="4" s="1"/>
  <c r="S129" i="4"/>
  <c r="Z59" i="3"/>
  <c r="S107" i="4"/>
  <c r="M170" i="4"/>
  <c r="AB172" i="4" s="1"/>
  <c r="M183" i="4"/>
  <c r="Z183" i="4" s="1"/>
  <c r="AA183" i="4" s="1"/>
  <c r="M150" i="4"/>
  <c r="N150" i="4" s="1"/>
  <c r="O150" i="4" s="1"/>
  <c r="R107" i="4"/>
  <c r="M104" i="4"/>
  <c r="M205" i="4"/>
  <c r="Z205" i="4" s="1"/>
  <c r="AA205" i="4" s="1"/>
  <c r="M172" i="4"/>
  <c r="N172" i="4" s="1"/>
  <c r="O172" i="4" s="1"/>
  <c r="R129" i="4"/>
  <c r="Z138" i="4"/>
  <c r="AA138" i="4" s="1"/>
  <c r="H138" i="4"/>
  <c r="Z105" i="4"/>
  <c r="AA105" i="4" s="1"/>
  <c r="E138" i="4"/>
  <c r="Z28" i="4"/>
  <c r="AA28" i="4" s="1"/>
  <c r="Z83" i="4"/>
  <c r="AA83" i="4" s="1"/>
  <c r="D138" i="4"/>
  <c r="Z17" i="4"/>
  <c r="AA17" i="4" s="1"/>
  <c r="Z61" i="4"/>
  <c r="AA61" i="4" s="1"/>
  <c r="Z182" i="4"/>
  <c r="AA182" i="4" s="1"/>
  <c r="Z193" i="4"/>
  <c r="AA193" i="4" s="1"/>
  <c r="Z160" i="4"/>
  <c r="AA160" i="4" s="1"/>
  <c r="C138" i="4"/>
  <c r="Z6" i="4"/>
  <c r="AA6" i="4" s="1"/>
  <c r="G138" i="4"/>
  <c r="Z50" i="4"/>
  <c r="AA50" i="4" s="1"/>
  <c r="Z171" i="4"/>
  <c r="AA171" i="4" s="1"/>
  <c r="Z204" i="4"/>
  <c r="AA204" i="4" s="1"/>
  <c r="Z72" i="4"/>
  <c r="AA72" i="4" s="1"/>
  <c r="Z215" i="4"/>
  <c r="AA215" i="4" s="1"/>
  <c r="Z127" i="4"/>
  <c r="AA127" i="4" s="1"/>
  <c r="Z94" i="4"/>
  <c r="AA94" i="4" s="1"/>
  <c r="F138" i="4"/>
  <c r="Z39" i="4"/>
  <c r="AA39" i="4" s="1"/>
  <c r="Z116" i="4"/>
  <c r="AA116" i="4" s="1"/>
  <c r="Z149" i="4"/>
  <c r="AA149" i="4" s="1"/>
  <c r="D45" i="4" l="1"/>
  <c r="Z73" i="4"/>
  <c r="AA73" i="4" s="1"/>
  <c r="D44" i="4"/>
  <c r="G139" i="4"/>
  <c r="Z18" i="4"/>
  <c r="AA18" i="4" s="1"/>
  <c r="Z40" i="4"/>
  <c r="AA40" i="4" s="1"/>
  <c r="D52" i="4"/>
  <c r="Z29" i="4"/>
  <c r="AA29" i="4" s="1"/>
  <c r="AB161" i="4"/>
  <c r="N181" i="4"/>
  <c r="O181" i="4" s="1"/>
  <c r="U181" i="4" s="1"/>
  <c r="Z49" i="4"/>
  <c r="AA49" i="4" s="1"/>
  <c r="N115" i="4"/>
  <c r="O115" i="4" s="1"/>
  <c r="U115" i="4" s="1"/>
  <c r="Z115" i="4"/>
  <c r="AA115" i="4" s="1"/>
  <c r="D48" i="4"/>
  <c r="D139" i="4"/>
  <c r="R216" i="4"/>
  <c r="S216" i="4"/>
  <c r="E137" i="4"/>
  <c r="Z27" i="4"/>
  <c r="AA27" i="4" s="1"/>
  <c r="D40" i="4"/>
  <c r="Z16" i="4"/>
  <c r="AA16" i="4" s="1"/>
  <c r="Z216" i="4"/>
  <c r="AA216" i="4" s="1"/>
  <c r="N215" i="4"/>
  <c r="O215" i="4" s="1"/>
  <c r="AB18" i="4"/>
  <c r="D39" i="4"/>
  <c r="Z60" i="4"/>
  <c r="AB20" i="4"/>
  <c r="AB42" i="4"/>
  <c r="D137" i="4"/>
  <c r="Z38" i="4"/>
  <c r="AA38" i="4" s="1"/>
  <c r="D41" i="4"/>
  <c r="Z5" i="4"/>
  <c r="Z62" i="4"/>
  <c r="AA62" i="4" s="1"/>
  <c r="AB7" i="4"/>
  <c r="AB62" i="4"/>
  <c r="C137" i="4"/>
  <c r="F137" i="4"/>
  <c r="AB9" i="4"/>
  <c r="AB40" i="4"/>
  <c r="AB31" i="4"/>
  <c r="D38" i="4"/>
  <c r="AB64" i="4"/>
  <c r="AB29" i="4"/>
  <c r="D43" i="4"/>
  <c r="R128" i="4"/>
  <c r="S128" i="4"/>
  <c r="AB51" i="4"/>
  <c r="D42" i="4"/>
  <c r="AB53" i="4"/>
  <c r="G137" i="4"/>
  <c r="Z51" i="4"/>
  <c r="AA51" i="4" s="1"/>
  <c r="Z7" i="4"/>
  <c r="AA7" i="4" s="1"/>
  <c r="C139" i="4"/>
  <c r="F139" i="4"/>
  <c r="E139" i="4"/>
  <c r="D55" i="4"/>
  <c r="Z159" i="4"/>
  <c r="AA159" i="4" s="1"/>
  <c r="D54" i="4"/>
  <c r="S194" i="4"/>
  <c r="AB150" i="4"/>
  <c r="N148" i="4"/>
  <c r="O148" i="4" s="1"/>
  <c r="U148" i="4" s="1"/>
  <c r="Z148" i="4"/>
  <c r="AA148" i="4" s="1"/>
  <c r="R117" i="4"/>
  <c r="AB108" i="4"/>
  <c r="AB185" i="4"/>
  <c r="AB97" i="4"/>
  <c r="AB119" i="4"/>
  <c r="AB121" i="4" s="1"/>
  <c r="AB205" i="4"/>
  <c r="N203" i="4"/>
  <c r="O203" i="4" s="1"/>
  <c r="U203" i="4" s="1"/>
  <c r="Z203" i="4"/>
  <c r="AA203" i="4" s="1"/>
  <c r="AA209" i="4" s="1"/>
  <c r="AB194" i="4"/>
  <c r="N192" i="4"/>
  <c r="O192" i="4" s="1"/>
  <c r="U192" i="4" s="1"/>
  <c r="S117" i="4"/>
  <c r="N116" i="4"/>
  <c r="O116" i="4" s="1"/>
  <c r="N182" i="4"/>
  <c r="O182" i="4" s="1"/>
  <c r="Z170" i="4"/>
  <c r="AA170" i="4" s="1"/>
  <c r="AB218" i="4"/>
  <c r="D57" i="4"/>
  <c r="Z214" i="4"/>
  <c r="AB163" i="4"/>
  <c r="N137" i="4"/>
  <c r="O137" i="4" s="1"/>
  <c r="U137" i="4" s="1"/>
  <c r="Z82" i="4"/>
  <c r="AA82" i="4" s="1"/>
  <c r="Z137" i="4"/>
  <c r="AA137" i="4" s="1"/>
  <c r="AA143" i="4" s="1"/>
  <c r="D50" i="4"/>
  <c r="AB141" i="4"/>
  <c r="AB143" i="4" s="1"/>
  <c r="Z161" i="4"/>
  <c r="AA161" i="4" s="1"/>
  <c r="N170" i="4"/>
  <c r="O170" i="4" s="1"/>
  <c r="U170" i="4" s="1"/>
  <c r="S161" i="4"/>
  <c r="N183" i="4"/>
  <c r="O183" i="4" s="1"/>
  <c r="D53" i="4"/>
  <c r="R161" i="4"/>
  <c r="Z126" i="4"/>
  <c r="AA126" i="4" s="1"/>
  <c r="N104" i="4"/>
  <c r="O104" i="4" s="1"/>
  <c r="U104" i="4" s="1"/>
  <c r="AB130" i="4"/>
  <c r="AB132" i="4" s="1"/>
  <c r="D49" i="4"/>
  <c r="AB196" i="4"/>
  <c r="N160" i="4"/>
  <c r="O160" i="4" s="1"/>
  <c r="N193" i="4"/>
  <c r="O193" i="4" s="1"/>
  <c r="N105" i="4"/>
  <c r="O105" i="4" s="1"/>
  <c r="AB86" i="4"/>
  <c r="R172" i="4"/>
  <c r="Z95" i="4"/>
  <c r="AA95" i="4" s="1"/>
  <c r="Z117" i="4"/>
  <c r="AA117" i="4" s="1"/>
  <c r="N127" i="4"/>
  <c r="O127" i="4" s="1"/>
  <c r="S172" i="4"/>
  <c r="Z128" i="4"/>
  <c r="AA128" i="4" s="1"/>
  <c r="AB174" i="4"/>
  <c r="AB176" i="4" s="1"/>
  <c r="Z71" i="4"/>
  <c r="AB152" i="4"/>
  <c r="N171" i="4"/>
  <c r="O171" i="4" s="1"/>
  <c r="D46" i="4"/>
  <c r="AB216" i="4"/>
  <c r="Z84" i="4"/>
  <c r="AA84" i="4" s="1"/>
  <c r="Z172" i="4"/>
  <c r="AA172" i="4" s="1"/>
  <c r="Z64" i="3"/>
  <c r="AA61" i="3" s="1"/>
  <c r="G60" i="3" s="1"/>
  <c r="N204" i="4"/>
  <c r="O204" i="4" s="1"/>
  <c r="N126" i="4"/>
  <c r="O126" i="4" s="1"/>
  <c r="U126" i="4" s="1"/>
  <c r="N139" i="4"/>
  <c r="O139" i="4" s="1"/>
  <c r="AB106" i="4"/>
  <c r="AB75" i="4"/>
  <c r="N138" i="4"/>
  <c r="O138" i="4" s="1"/>
  <c r="Z104" i="4"/>
  <c r="AA104" i="4" s="1"/>
  <c r="N205" i="4"/>
  <c r="O205" i="4" s="1"/>
  <c r="Z150" i="4"/>
  <c r="AA150" i="4" s="1"/>
  <c r="AB183" i="4"/>
  <c r="AB95" i="4"/>
  <c r="R194" i="4"/>
  <c r="D47" i="4"/>
  <c r="R106" i="4"/>
  <c r="AB84" i="4"/>
  <c r="Z93" i="4"/>
  <c r="AA93" i="4" s="1"/>
  <c r="R150" i="4"/>
  <c r="H137" i="4"/>
  <c r="S106" i="4"/>
  <c r="Z194" i="4"/>
  <c r="AA194" i="4" s="1"/>
  <c r="AB207" i="4"/>
  <c r="AB73" i="4"/>
  <c r="H139" i="4"/>
  <c r="S150" i="4"/>
  <c r="N149" i="4"/>
  <c r="O149" i="4" s="1"/>
  <c r="Z106" i="4"/>
  <c r="AA106" i="4" s="1"/>
  <c r="R159" i="4"/>
  <c r="U159" i="4"/>
  <c r="S159" i="4"/>
  <c r="AA192" i="4"/>
  <c r="S214" i="4"/>
  <c r="R214" i="4"/>
  <c r="U214" i="4"/>
  <c r="Z187" i="4"/>
  <c r="AA181" i="4"/>
  <c r="AA187" i="4" s="1"/>
  <c r="Z77" i="4" l="1"/>
  <c r="AA22" i="4"/>
  <c r="R181" i="4"/>
  <c r="AA44" i="4"/>
  <c r="AA33" i="4"/>
  <c r="S115" i="4"/>
  <c r="R115" i="4"/>
  <c r="AB165" i="4"/>
  <c r="Z44" i="4"/>
  <c r="S181" i="4"/>
  <c r="Z33" i="4"/>
  <c r="Z22" i="4"/>
  <c r="S215" i="4"/>
  <c r="R215" i="4"/>
  <c r="Z220" i="4"/>
  <c r="AB55" i="4"/>
  <c r="AB11" i="4"/>
  <c r="Z66" i="4"/>
  <c r="AB44" i="4"/>
  <c r="AB22" i="4"/>
  <c r="AA60" i="4"/>
  <c r="AA66" i="4" s="1"/>
  <c r="AB209" i="4"/>
  <c r="AB33" i="4"/>
  <c r="Z11" i="4"/>
  <c r="AA5" i="4"/>
  <c r="AA11" i="4" s="1"/>
  <c r="AB66" i="4"/>
  <c r="AB110" i="4"/>
  <c r="Z55" i="4"/>
  <c r="AA55" i="4"/>
  <c r="S148" i="4"/>
  <c r="R148" i="4"/>
  <c r="AB154" i="4"/>
  <c r="R116" i="4"/>
  <c r="S192" i="4"/>
  <c r="Z143" i="4"/>
  <c r="AB137" i="4" s="1"/>
  <c r="R192" i="4"/>
  <c r="R183" i="4"/>
  <c r="S183" i="4"/>
  <c r="AA99" i="4"/>
  <c r="Z209" i="4"/>
  <c r="AB203" i="4" s="1"/>
  <c r="R203" i="4"/>
  <c r="S203" i="4"/>
  <c r="S170" i="4"/>
  <c r="AB88" i="4"/>
  <c r="AB99" i="4"/>
  <c r="AA214" i="4"/>
  <c r="AA220" i="4" s="1"/>
  <c r="AB187" i="4"/>
  <c r="R137" i="4"/>
  <c r="S182" i="4"/>
  <c r="Z165" i="4"/>
  <c r="AB198" i="4"/>
  <c r="AB220" i="4"/>
  <c r="R182" i="4"/>
  <c r="AA132" i="4"/>
  <c r="S105" i="4"/>
  <c r="R105" i="4"/>
  <c r="R160" i="4"/>
  <c r="S116" i="4"/>
  <c r="S139" i="4"/>
  <c r="S160" i="4"/>
  <c r="Z132" i="4"/>
  <c r="S137" i="4"/>
  <c r="AA71" i="4"/>
  <c r="AA77" i="4" s="1"/>
  <c r="AA88" i="4"/>
  <c r="S127" i="4"/>
  <c r="AA165" i="4"/>
  <c r="S104" i="4"/>
  <c r="R139" i="4"/>
  <c r="Z99" i="4"/>
  <c r="S171" i="4"/>
  <c r="S193" i="4"/>
  <c r="S138" i="4"/>
  <c r="R193" i="4"/>
  <c r="R171" i="4"/>
  <c r="R170" i="4"/>
  <c r="R104" i="4"/>
  <c r="Z121" i="4"/>
  <c r="AA59" i="3"/>
  <c r="G58" i="3" s="1"/>
  <c r="AA62" i="3"/>
  <c r="G61" i="3" s="1"/>
  <c r="AA58" i="3"/>
  <c r="G57" i="3" s="1"/>
  <c r="R127" i="4"/>
  <c r="AA57" i="3"/>
  <c r="AC57" i="3" s="1"/>
  <c r="AD57" i="3" s="1"/>
  <c r="AA121" i="4"/>
  <c r="Z88" i="4"/>
  <c r="AB77" i="4"/>
  <c r="R138" i="4"/>
  <c r="S204" i="4"/>
  <c r="AA110" i="4"/>
  <c r="Z154" i="4"/>
  <c r="R204" i="4"/>
  <c r="S205" i="4"/>
  <c r="Z110" i="4"/>
  <c r="AA154" i="4"/>
  <c r="S126" i="4"/>
  <c r="S149" i="4"/>
  <c r="Z198" i="4"/>
  <c r="R126" i="4"/>
  <c r="Z176" i="4"/>
  <c r="R149" i="4"/>
  <c r="AA176" i="4"/>
  <c r="AA60" i="3"/>
  <c r="G59" i="3" s="1"/>
  <c r="AA198" i="4"/>
  <c r="D190" i="4"/>
  <c r="F190" i="4" s="1"/>
  <c r="R205" i="4"/>
  <c r="D193" i="4"/>
  <c r="F193" i="4" s="1"/>
  <c r="D194" i="4"/>
  <c r="D192" i="4"/>
  <c r="F192" i="4" s="1"/>
  <c r="D188" i="4"/>
  <c r="F188" i="4" s="1"/>
  <c r="D191" i="4"/>
  <c r="F191" i="4" s="1"/>
  <c r="D189" i="4"/>
  <c r="F189" i="4" s="1"/>
  <c r="U105" i="4"/>
  <c r="U106" i="4" s="1"/>
  <c r="U107" i="4" s="1"/>
  <c r="U108" i="4" s="1"/>
  <c r="U109" i="4" s="1"/>
  <c r="U138" i="4"/>
  <c r="U139" i="4" s="1"/>
  <c r="U140" i="4" s="1"/>
  <c r="U141" i="4" s="1"/>
  <c r="U142" i="4" s="1"/>
  <c r="U127" i="4"/>
  <c r="U128" i="4" s="1"/>
  <c r="U129" i="4" s="1"/>
  <c r="U130" i="4" s="1"/>
  <c r="U131" i="4" s="1"/>
  <c r="U116" i="4"/>
  <c r="U117" i="4" s="1"/>
  <c r="U118" i="4" s="1"/>
  <c r="U119" i="4" s="1"/>
  <c r="U120" i="4" s="1"/>
  <c r="U171" i="4"/>
  <c r="U172" i="4" s="1"/>
  <c r="U173" i="4" s="1"/>
  <c r="U174" i="4" s="1"/>
  <c r="U175" i="4" s="1"/>
  <c r="U204" i="4"/>
  <c r="U205" i="4" s="1"/>
  <c r="U206" i="4" s="1"/>
  <c r="U207" i="4" s="1"/>
  <c r="U208" i="4" s="1"/>
  <c r="U149" i="4"/>
  <c r="U150" i="4" s="1"/>
  <c r="U151" i="4" s="1"/>
  <c r="U152" i="4" s="1"/>
  <c r="U153" i="4" s="1"/>
  <c r="AB181" i="4"/>
  <c r="U193" i="4"/>
  <c r="U194" i="4" s="1"/>
  <c r="U195" i="4" s="1"/>
  <c r="U196" i="4" s="1"/>
  <c r="U197" i="4" s="1"/>
  <c r="U182" i="4"/>
  <c r="U183" i="4" s="1"/>
  <c r="U184" i="4" s="1"/>
  <c r="U185" i="4" s="1"/>
  <c r="U186" i="4" s="1"/>
  <c r="U215" i="4"/>
  <c r="U216" i="4" s="1"/>
  <c r="U217" i="4" s="1"/>
  <c r="U218" i="4" s="1"/>
  <c r="U219" i="4" s="1"/>
  <c r="U160" i="4"/>
  <c r="U161" i="4" s="1"/>
  <c r="U162" i="4" s="1"/>
  <c r="U163" i="4" s="1"/>
  <c r="U164" i="4" s="1"/>
  <c r="AB71" i="4" l="1"/>
  <c r="C44" i="4" s="1"/>
  <c r="AB16" i="4"/>
  <c r="AB38" i="4"/>
  <c r="AB27" i="4"/>
  <c r="AB214" i="4"/>
  <c r="V214" i="4" s="1"/>
  <c r="C57" i="4" s="1"/>
  <c r="AB60" i="4"/>
  <c r="AB5" i="4"/>
  <c r="AB49" i="4"/>
  <c r="AB93" i="4"/>
  <c r="AB159" i="4"/>
  <c r="V159" i="4" s="1"/>
  <c r="C52" i="4" s="1"/>
  <c r="AB126" i="4"/>
  <c r="V126" i="4" s="1"/>
  <c r="C49" i="4" s="1"/>
  <c r="AB82" i="4"/>
  <c r="AB115" i="4"/>
  <c r="V115" i="4" s="1"/>
  <c r="C48" i="4" s="1"/>
  <c r="AB192" i="4"/>
  <c r="V192" i="4" s="1"/>
  <c r="C55" i="4" s="1"/>
  <c r="AB148" i="4"/>
  <c r="V148" i="4" s="1"/>
  <c r="C51" i="4" s="1"/>
  <c r="G56" i="3"/>
  <c r="AB104" i="4"/>
  <c r="V104" i="4" s="1"/>
  <c r="C47" i="4" s="1"/>
  <c r="AB170" i="4"/>
  <c r="V170" i="4" s="1"/>
  <c r="C53" i="4" s="1"/>
  <c r="V137" i="4"/>
  <c r="C50" i="4" s="1"/>
  <c r="V181" i="4"/>
  <c r="C54" i="4" s="1"/>
  <c r="AK57" i="3"/>
  <c r="AC58" i="3"/>
  <c r="AD58" i="3" s="1"/>
  <c r="V203" i="4"/>
  <c r="C56" i="4" s="1"/>
  <c r="C39" i="4" l="1"/>
  <c r="C40" i="4"/>
  <c r="C41" i="4"/>
  <c r="C43" i="4"/>
  <c r="E44" i="4" s="1"/>
  <c r="C45" i="4"/>
  <c r="E45" i="4" s="1"/>
  <c r="C46" i="4"/>
  <c r="C42" i="4"/>
  <c r="C38" i="4"/>
  <c r="E38" i="4" s="1"/>
  <c r="G38" i="4" s="1"/>
  <c r="E51" i="4"/>
  <c r="E55" i="4"/>
  <c r="E48" i="4"/>
  <c r="E56" i="4"/>
  <c r="E54" i="4"/>
  <c r="E49" i="4"/>
  <c r="E52" i="4"/>
  <c r="E50" i="4"/>
  <c r="E53" i="4"/>
  <c r="AC59" i="3"/>
  <c r="AD59" i="3" s="1"/>
  <c r="AB57" i="3"/>
  <c r="AJ57" i="3"/>
  <c r="AK58" i="3" s="1"/>
  <c r="E57" i="4"/>
  <c r="E40" i="4" l="1"/>
  <c r="E43" i="4"/>
  <c r="E47" i="4"/>
  <c r="E46" i="4"/>
  <c r="E41" i="4"/>
  <c r="G41" i="4" s="1"/>
  <c r="E39" i="4"/>
  <c r="AC60" i="3"/>
  <c r="AD60" i="3" s="1"/>
  <c r="AB58" i="3"/>
  <c r="AJ58" i="3"/>
  <c r="AK59" i="3" s="1"/>
  <c r="AB59" i="3" l="1"/>
  <c r="AJ59" i="3"/>
  <c r="AK60" i="3" s="1"/>
  <c r="AC61" i="3"/>
  <c r="AD61" i="3" s="1"/>
  <c r="AB60" i="3" l="1"/>
  <c r="AJ60" i="3"/>
  <c r="AC62" i="3"/>
  <c r="AD62" i="3" s="1"/>
  <c r="AK61" i="3" l="1"/>
  <c r="H59" i="3"/>
  <c r="H61" i="3"/>
  <c r="H62" i="3"/>
  <c r="H57" i="3"/>
  <c r="H60" i="3"/>
  <c r="H56" i="3"/>
  <c r="H58" i="3"/>
  <c r="AB61" i="3"/>
  <c r="AJ61" i="3"/>
  <c r="AK62" i="3" l="1"/>
  <c r="I58" i="3"/>
  <c r="I56" i="3"/>
  <c r="I57" i="3"/>
  <c r="I61" i="3"/>
  <c r="I60" i="3"/>
  <c r="I62" i="3"/>
  <c r="I59" i="3"/>
  <c r="AJ62" i="3" l="1"/>
  <c r="AB62" i="3"/>
</calcChain>
</file>

<file path=xl/sharedStrings.xml><?xml version="1.0" encoding="utf-8"?>
<sst xmlns="http://schemas.openxmlformats.org/spreadsheetml/2006/main" count="1774" uniqueCount="472">
  <si>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</si>
  <si>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</si>
  <si>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</si>
  <si>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</si>
  <si>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</si>
  <si>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</si>
  <si>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</si>
  <si>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</si>
  <si>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</si>
  <si>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</si>
  <si>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</si>
  <si>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</si>
  <si>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</si>
  <si>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</si>
  <si>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</si>
  <si>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</si>
  <si>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</si>
  <si>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</si>
  <si>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</si>
  <si>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</si>
  <si>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</si>
  <si>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</si>
  <si>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</si>
  <si>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</si>
  <si>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</si>
  <si>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</si>
  <si>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</si>
  <si>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</si>
  <si>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</si>
  <si>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</si>
  <si>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</si>
  <si>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</si>
  <si>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</si>
  <si>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</si>
  <si>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</si>
  <si>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</si>
  <si>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</si>
  <si>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</si>
  <si>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</si>
  <si>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</si>
  <si>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</si>
  <si>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</si>
  <si>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</si>
  <si>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</si>
  <si>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</si>
  <si>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</si>
  <si>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</si>
  <si>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</si>
  <si>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</si>
  <si>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</si>
  <si>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</si>
  <si>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</si>
  <si>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</si>
  <si>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</si>
  <si>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</si>
  <si>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4-1</t>
  </si>
  <si>
    <t>4-2</t>
  </si>
  <si>
    <t>4-3</t>
  </si>
  <si>
    <t>4-4</t>
  </si>
  <si>
    <t>Mcol,i [kNm]</t>
  </si>
  <si>
    <t>Mcol,i-1  [kNm]</t>
  </si>
  <si>
    <t>Mcol,i  [kNm]</t>
  </si>
  <si>
    <t>Sum</t>
  </si>
  <si>
    <t>Bay</t>
  </si>
  <si>
    <t>Set</t>
  </si>
  <si>
    <t>5-1</t>
  </si>
  <si>
    <t>5-2</t>
  </si>
  <si>
    <t>5-3</t>
  </si>
  <si>
    <t>5-4</t>
  </si>
  <si>
    <t>6-1</t>
  </si>
  <si>
    <t>6-2</t>
  </si>
  <si>
    <t>6-3</t>
  </si>
  <si>
    <t>6-4</t>
  </si>
  <si>
    <t>Cont.'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</si>
  <si>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</si>
  <si>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</si>
  <si>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</si>
  <si>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</si>
  <si>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</si>
  <si>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</si>
  <si>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</si>
  <si>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</si>
  <si>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</si>
  <si>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</si>
  <si>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</si>
  <si>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</si>
  <si>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</si>
  <si>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</si>
  <si>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</si>
  <si>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</si>
  <si>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</si>
  <si>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</si>
  <si>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</si>
  <si>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</si>
  <si>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</si>
  <si>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</si>
  <si>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</si>
  <si>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</si>
  <si>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</si>
  <si>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</si>
  <si>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</si>
  <si>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</si>
  <si>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</si>
  <si>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</si>
  <si>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</si>
  <si>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</si>
  <si>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</si>
  <si>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</si>
  <si>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</si>
  <si>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</si>
  <si>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</si>
  <si>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</si>
  <si>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</si>
  <si>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</si>
  <si>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</si>
  <si>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</si>
  <si>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</si>
  <si>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</si>
  <si>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= 1.00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</si>
  <si>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</si>
  <si>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</si>
  <si>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</si>
  <si>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</si>
  <si>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</si>
  <si>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</si>
  <si>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</si>
  <si>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</si>
  <si>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</si>
  <si>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</si>
  <si>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</si>
  <si>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Stepsize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</si>
  <si>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</si>
  <si>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</si>
  <si>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</si>
  <si>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</si>
  <si>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</si>
  <si>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</si>
  <si>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</si>
  <si>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</si>
  <si>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</si>
  <si>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</si>
  <si>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</si>
  <si>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</si>
  <si>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</si>
  <si>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</si>
  <si>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</si>
  <si>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</si>
  <si>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</si>
  <si>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</si>
  <si>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</si>
  <si>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</si>
  <si>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</si>
  <si>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</si>
  <si>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</si>
  <si>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</si>
  <si>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</si>
  <si>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</si>
  <si>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</si>
  <si>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</si>
  <si>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</si>
  <si>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</si>
  <si>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</si>
  <si>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</si>
  <si>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</si>
  <si>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</si>
  <si>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</si>
  <si>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</si>
  <si>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</si>
  <si>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</si>
  <si>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</si>
  <si>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</si>
  <si>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</si>
  <si>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</si>
  <si>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</si>
  <si>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</si>
  <si>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</si>
  <si>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</si>
  <si>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</si>
  <si>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</si>
  <si>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</si>
  <si>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</si>
  <si>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</si>
  <si>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</si>
  <si>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</si>
  <si>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</si>
  <si>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</si>
  <si>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</si>
  <si>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</si>
  <si>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</si>
  <si>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</si>
  <si>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</si>
  <si>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</si>
  <si>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</si>
  <si>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</si>
  <si>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</si>
  <si>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</si>
  <si>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</si>
  <si>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Corner crushing / Column</t>
  </si>
  <si>
    <t>Diagonal failure / Column</t>
  </si>
  <si>
    <t>Diagonal failure / Mixed</t>
  </si>
  <si>
    <t>VRin,6 [kN]</t>
  </si>
  <si>
    <t>VRin,5 [kN]</t>
  </si>
  <si>
    <t>VRin,4 [kN]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</si>
  <si>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</si>
  <si>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</si>
  <si>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</si>
  <si>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</si>
  <si>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</si>
  <si>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</si>
  <si>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</si>
  <si>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</si>
  <si>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</si>
  <si>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</si>
  <si>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</si>
  <si>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</si>
  <si>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</si>
  <si>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</si>
  <si>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</si>
  <si>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</si>
  <si>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</si>
  <si>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Sullivan et al. , 2018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</si>
  <si>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</si>
  <si>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</si>
  <si>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</si>
  <si>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</si>
  <si>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</si>
  <si>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</si>
  <si>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</si>
  <si>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</si>
  <si>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</si>
  <si>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</si>
  <si>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</si>
  <si>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</si>
  <si>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</si>
  <si>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</si>
  <si>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</si>
  <si>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</si>
  <si>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</si>
  <si>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</si>
  <si>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</si>
  <si>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</si>
  <si>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</si>
  <si>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</si>
  <si>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</si>
  <si>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</si>
  <si>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</si>
  <si>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Kp-yc [kN/m]</t>
  </si>
  <si>
    <t>Stiffness</t>
  </si>
  <si>
    <t>Kin,6 [kN/m]</t>
  </si>
  <si>
    <t>Kin,5 [kN/m]</t>
  </si>
  <si>
    <t>Kin,4 [kN/m]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</si>
  <si>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</si>
  <si>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</si>
  <si>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</si>
  <si>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</si>
  <si>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</si>
  <si>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</si>
  <si>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</si>
  <si>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</si>
  <si>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</si>
  <si>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</si>
  <si>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</si>
  <si>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</si>
  <si>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</si>
  <si>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</si>
  <si>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</si>
  <si>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</si>
  <si>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</si>
  <si>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</si>
  <si>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</si>
  <si>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</si>
  <si>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</si>
  <si>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</si>
  <si>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</si>
  <si>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</si>
  <si>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</si>
  <si>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</si>
  <si>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</si>
  <si>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</si>
  <si>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</si>
  <si>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</si>
  <si>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</si>
  <si>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</si>
  <si>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</si>
  <si>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</si>
  <si>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</si>
  <si>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</si>
  <si>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</si>
  <si>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</si>
  <si>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</si>
  <si>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</si>
  <si>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</si>
  <si>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</si>
  <si>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</si>
  <si>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</si>
  <si>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</si>
  <si>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</si>
  <si>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</si>
  <si>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</si>
  <si>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</si>
  <si>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</si>
  <si>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</si>
  <si>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</si>
  <si>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</si>
  <si>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</si>
  <si>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</si>
  <si>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</si>
  <si>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</si>
  <si>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</si>
  <si>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</si>
  <si>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Residual Moments at the end of Column Sections</t>
  </si>
  <si>
    <t>θc,i [rad]</t>
  </si>
  <si>
    <t>θu,i [rad]</t>
  </si>
  <si>
    <t>Normalized Shapes</t>
  </si>
  <si>
    <t>K, 6 [kN/m]</t>
  </si>
  <si>
    <t>K, 5 [kN/m]</t>
  </si>
  <si>
    <t>K, 4 [kN/m]</t>
  </si>
  <si>
    <t>K, 3 [kN/m]</t>
  </si>
  <si>
    <t>K, 2 [kN/m]</t>
  </si>
  <si>
    <t>K, 1 [kN/m]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</si>
  <si>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</si>
  <si>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</si>
  <si>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</si>
  <si>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</si>
  <si>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</si>
  <si>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</si>
  <si>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</si>
  <si>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</si>
  <si>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</si>
  <si>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</si>
  <si>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</si>
  <si>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</si>
  <si>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</si>
  <si>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</si>
  <si>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</si>
  <si>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 xml:space="preserve">θin,4 </t>
  </si>
  <si>
    <t xml:space="preserve">θin,5 </t>
  </si>
  <si>
    <t xml:space="preserve">θin,6 </t>
  </si>
  <si>
    <t>Linear</t>
  </si>
  <si>
    <t>Shear Frame</t>
  </si>
  <si>
    <t>Pick:</t>
  </si>
  <si>
    <t>Guessed Shape Control</t>
  </si>
  <si>
    <t>θD1fr,i [rad]</t>
  </si>
  <si>
    <t>Lp (m)</t>
  </si>
  <si>
    <t>VR,6 [kN]</t>
  </si>
  <si>
    <t>VR,5 [kN]</t>
  </si>
  <si>
    <t>VR,4 [kN]</t>
  </si>
  <si>
    <t>VR,3 [kN]</t>
  </si>
  <si>
    <t>VR,2 [kN]</t>
  </si>
  <si>
    <t>VR,1 [kN]</t>
  </si>
  <si>
    <t xml:space="preserve">θ,6 </t>
  </si>
  <si>
    <t xml:space="preserve">θ,5 </t>
  </si>
  <si>
    <t xml:space="preserve">θ,4 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</si>
  <si>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</si>
  <si>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</si>
  <si>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</si>
  <si>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</si>
  <si>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</si>
  <si>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</si>
  <si>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</si>
  <si>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</si>
  <si>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</si>
  <si>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</si>
  <si>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</si>
  <si>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</si>
  <si>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</si>
  <si>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</si>
  <si>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</si>
  <si>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</si>
  <si>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</si>
  <si>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</si>
  <si>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</si>
  <si>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</si>
  <si>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Storey 4</t>
  </si>
  <si>
    <t>Storey 5</t>
  </si>
  <si>
    <t>Storey 6</t>
  </si>
  <si>
    <t>Table of Behavior Hierarchy</t>
  </si>
  <si>
    <t>Table of Behavior Hierarchy (cont')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</si>
  <si>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</si>
  <si>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</si>
  <si>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</si>
  <si>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</si>
  <si>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</si>
  <si>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</si>
  <si>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</si>
  <si>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</si>
  <si>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</si>
  <si>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</si>
  <si>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</si>
  <si>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</si>
  <si>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</si>
  <si>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</si>
  <si>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= 0.85</t>
  </si>
  <si>
    <t>Height</t>
  </si>
  <si>
    <t>Norm. Force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</si>
  <si>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</si>
  <si>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</si>
  <si>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</si>
  <si>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</si>
  <si>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</si>
  <si>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</si>
  <si>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</si>
  <si>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</si>
  <si>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</si>
  <si>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</si>
  <si>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</si>
  <si>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</si>
  <si>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</si>
  <si>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</si>
  <si>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</si>
  <si>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</si>
  <si>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</si>
  <si>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</si>
  <si>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</si>
  <si>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</si>
  <si>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</si>
  <si>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</si>
  <si>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</si>
  <si>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</si>
  <si>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</si>
  <si>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</si>
  <si>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Truss Stiff. 4 [kN/m]</t>
  </si>
  <si>
    <t>Storey Stiffnesses (OpenSees)</t>
  </si>
  <si>
    <t>Load Coeff.</t>
  </si>
  <si>
    <t>Cumul. L. Coeff.</t>
  </si>
  <si>
    <t>K1 (kN/m)</t>
  </si>
  <si>
    <t>Structure Stiffness (kN/m)</t>
  </si>
  <si>
    <t>Mj,iθy,I [kNmrad]</t>
  </si>
  <si>
    <t>Mj,iθc,I [kNmrad]</t>
  </si>
  <si>
    <t>Mj,iθu,I [kNmrad]</t>
  </si>
  <si>
    <t>μ, 6</t>
  </si>
  <si>
    <t>μ, 5</t>
  </si>
  <si>
    <t>μ, 4</t>
  </si>
  <si>
    <t>μ, 3</t>
  </si>
  <si>
    <t>μ, 2</t>
  </si>
  <si>
    <t>μ, 1</t>
  </si>
  <si>
    <t>DS5</t>
  </si>
  <si>
    <t>Shear Resistance, Yield Drift and Stiffness</t>
  </si>
  <si>
    <t>Storey Shear Resistance and Stiffness</t>
  </si>
  <si>
    <t>Axial-Horizontal Storey Stiffnesses (kN/m)</t>
  </si>
  <si>
    <t>Kcr. [kN/m]</t>
  </si>
  <si>
    <t>Kel. [kN/m]</t>
  </si>
  <si>
    <t>DSf 4</t>
  </si>
  <si>
    <t>DSf 5</t>
  </si>
  <si>
    <t>Initial</t>
  </si>
  <si>
    <t>μin,6</t>
  </si>
  <si>
    <t>μin,5</t>
  </si>
  <si>
    <t>μin,4</t>
  </si>
  <si>
    <t>μin,3</t>
  </si>
  <si>
    <t>μin,2</t>
  </si>
  <si>
    <t>μin,1</t>
  </si>
  <si>
    <t>ΔV</t>
  </si>
  <si>
    <t>μfr,i</t>
  </si>
  <si>
    <t>μinf,i</t>
  </si>
  <si>
    <t>No.</t>
  </si>
  <si>
    <t>Horizontal Force Vector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</si>
  <si>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</si>
  <si>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</si>
  <si>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</si>
  <si>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</si>
  <si>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</si>
  <si>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</si>
  <si>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</si>
  <si>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</si>
  <si>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Residual Unbalanced Load</t>
  </si>
  <si>
    <t>Unload.</t>
  </si>
  <si>
    <t>Unloading?</t>
  </si>
  <si>
    <t>Toggle</t>
  </si>
  <si>
    <t>Infill Strut Capacities (Strong) (Bertoldi et al., 1993)</t>
  </si>
  <si>
    <t>Horizontal Yield Drift and Flexural Capacities (Strong)</t>
  </si>
  <si>
    <t>Storey Shear Resistance and Stiffness (Strong Single Infill)</t>
  </si>
  <si>
    <t>StrongSingle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</si>
</sst>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sz val="12"/>
      <color theme="8" tint="-0.249977111117893"/>
      <name val="Times New Roman"/>
      <family val="1"/>
    </font>
    <font>
      <sz val="12"/>
      <name val="Times New Roman"/>
      <family val="1"/>
    </font>
    <font>
      <i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color theme="7" tint="-0.499984740745262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rgb="FF7030A0"/>
      <name val="Times New Roman"/>
      <family val="1"/>
    </font>
    <font>
      <sz val="12"/>
      <color rgb="FF7030A0"/>
      <name val="Times New Roman"/>
      <family val="1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i/>
      <sz val="12"/>
      <color rgb="FF0070C0"/>
      <name val="Times New Roman"/>
      <family val="1"/>
    </font>
    <font>
      <b/>
      <sz val="11"/>
      <color theme="0"/>
      <name val="Times New Roman"/>
      <family val="1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3">
    <xf numFmtId="0" fontId="0" fillId="0" borderId="0" xfId="0"/>
    <xf numFmtId="0" fontId="1" fillId="0" borderId="0" xfId="0" applyFont="1"/>
    <xf numFmtId="0" fontId="1" fillId="2" borderId="0" xfId="0" applyFont="1" applyFill="1"/>
    <xf numFmtId="0" fontId="3" fillId="18" borderId="62" xfId="0" applyFont="1" applyFill="1" applyBorder="1" applyAlignment="1">
      <alignment horizontal="center" vertical="center" wrapText="1"/>
    </xf>
    <xf numFmtId="0" fontId="4" fillId="0" borderId="0" xfId="0" applyFont="1"/>
    <xf numFmtId="0" fontId="4" fillId="2" borderId="13" xfId="0" applyFont="1" applyFill="1" applyBorder="1"/>
    <xf numFmtId="0" fontId="4" fillId="2" borderId="12" xfId="0" applyFont="1" applyFill="1" applyBorder="1"/>
    <xf numFmtId="0" fontId="1" fillId="0" borderId="39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1" fillId="0" borderId="73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166" fontId="4" fillId="0" borderId="23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/>
    </xf>
    <xf numFmtId="167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2" fontId="4" fillId="0" borderId="23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2" fontId="4" fillId="0" borderId="12" xfId="0" applyNumberFormat="1" applyFont="1" applyBorder="1" applyAlignment="1">
      <alignment horizontal="center"/>
    </xf>
    <xf numFmtId="10" fontId="4" fillId="0" borderId="0" xfId="0" applyNumberFormat="1" applyFont="1" applyAlignment="1">
      <alignment horizontal="center" vertical="center"/>
    </xf>
    <xf numFmtId="1" fontId="1" fillId="0" borderId="73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35" xfId="0" applyNumberFormat="1" applyFont="1" applyBorder="1" applyAlignment="1">
      <alignment horizontal="center" vertical="center"/>
    </xf>
    <xf numFmtId="166" fontId="4" fillId="0" borderId="36" xfId="0" applyNumberFormat="1" applyFont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/>
    </xf>
    <xf numFmtId="0" fontId="4" fillId="2" borderId="0" xfId="0" applyFont="1" applyFill="1"/>
    <xf numFmtId="0" fontId="4" fillId="2" borderId="11" xfId="0" applyFont="1" applyFill="1" applyBorder="1"/>
    <xf numFmtId="0" fontId="4" fillId="2" borderId="2" xfId="0" applyFont="1" applyFill="1" applyBorder="1"/>
    <xf numFmtId="0" fontId="4" fillId="2" borderId="15" xfId="0" applyFont="1" applyFill="1" applyBorder="1"/>
    <xf numFmtId="0" fontId="3" fillId="0" borderId="2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73" xfId="0" applyFont="1" applyBorder="1" applyAlignment="1">
      <alignment horizontal="center"/>
    </xf>
    <xf numFmtId="0" fontId="8" fillId="18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8" fillId="18" borderId="15" xfId="0" applyFont="1" applyFill="1" applyBorder="1" applyAlignment="1">
      <alignment horizontal="center" vertical="center"/>
    </xf>
    <xf numFmtId="2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4" fillId="0" borderId="0" xfId="0" applyFont="1" applyBorder="1"/>
    <xf numFmtId="0" fontId="1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10" fillId="0" borderId="0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1" fontId="4" fillId="0" borderId="36" xfId="0" applyNumberFormat="1" applyFont="1" applyBorder="1" applyAlignment="1">
      <alignment horizontal="center" vertical="center"/>
    </xf>
    <xf numFmtId="0" fontId="1" fillId="0" borderId="44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/>
    </xf>
    <xf numFmtId="2" fontId="4" fillId="0" borderId="14" xfId="0" applyNumberFormat="1" applyFont="1" applyBorder="1" applyAlignment="1">
      <alignment horizontal="center" vertical="center"/>
    </xf>
    <xf numFmtId="164" fontId="4" fillId="0" borderId="14" xfId="0" applyNumberFormat="1" applyFont="1" applyBorder="1" applyAlignment="1">
      <alignment horizontal="center" vertical="center"/>
    </xf>
    <xf numFmtId="2" fontId="4" fillId="0" borderId="40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8" fontId="4" fillId="0" borderId="17" xfId="0" applyNumberFormat="1" applyFont="1" applyBorder="1" applyAlignment="1">
      <alignment horizontal="center" vertical="center"/>
    </xf>
    <xf numFmtId="168" fontId="4" fillId="0" borderId="23" xfId="0" applyNumberFormat="1" applyFont="1" applyBorder="1" applyAlignment="1">
      <alignment horizontal="center" vertical="center"/>
    </xf>
    <xf numFmtId="168" fontId="4" fillId="0" borderId="17" xfId="0" applyNumberFormat="1" applyFont="1" applyBorder="1" applyAlignment="1">
      <alignment horizontal="center"/>
    </xf>
    <xf numFmtId="168" fontId="4" fillId="0" borderId="23" xfId="0" applyNumberFormat="1" applyFont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0" fontId="4" fillId="0" borderId="12" xfId="0" applyFont="1" applyBorder="1"/>
    <xf numFmtId="2" fontId="11" fillId="0" borderId="7" xfId="0" applyNumberFormat="1" applyFont="1" applyBorder="1" applyAlignment="1">
      <alignment horizontal="center" vertical="center"/>
    </xf>
    <xf numFmtId="2" fontId="11" fillId="0" borderId="5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2" fontId="4" fillId="0" borderId="2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/>
    </xf>
    <xf numFmtId="164" fontId="4" fillId="0" borderId="21" xfId="0" applyNumberFormat="1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4" fillId="0" borderId="19" xfId="0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164" fontId="4" fillId="0" borderId="19" xfId="0" applyNumberFormat="1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2" fontId="4" fillId="0" borderId="31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 vertical="center"/>
    </xf>
    <xf numFmtId="2" fontId="4" fillId="0" borderId="45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 vertical="center"/>
    </xf>
    <xf numFmtId="168" fontId="4" fillId="0" borderId="24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/>
    </xf>
    <xf numFmtId="168" fontId="4" fillId="0" borderId="24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/>
    </xf>
    <xf numFmtId="0" fontId="4" fillId="0" borderId="62" xfId="0" applyFont="1" applyBorder="1"/>
    <xf numFmtId="168" fontId="4" fillId="0" borderId="20" xfId="0" applyNumberFormat="1" applyFont="1" applyBorder="1" applyAlignment="1">
      <alignment horizontal="center" vertical="center"/>
    </xf>
    <xf numFmtId="168" fontId="4" fillId="0" borderId="22" xfId="0" applyNumberFormat="1" applyFont="1" applyBorder="1" applyAlignment="1">
      <alignment horizontal="center" vertical="center"/>
    </xf>
    <xf numFmtId="168" fontId="4" fillId="0" borderId="20" xfId="0" applyNumberFormat="1" applyFont="1" applyBorder="1" applyAlignment="1">
      <alignment horizontal="center"/>
    </xf>
    <xf numFmtId="168" fontId="4" fillId="0" borderId="2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/>
    </xf>
    <xf numFmtId="0" fontId="4" fillId="0" borderId="64" xfId="0" applyFont="1" applyBorder="1"/>
    <xf numFmtId="2" fontId="11" fillId="0" borderId="77" xfId="0" applyNumberFormat="1" applyFont="1" applyBorder="1" applyAlignment="1">
      <alignment horizontal="center" vertical="center"/>
    </xf>
    <xf numFmtId="2" fontId="11" fillId="0" borderId="60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 vertical="center"/>
    </xf>
    <xf numFmtId="168" fontId="4" fillId="0" borderId="36" xfId="0" applyNumberFormat="1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/>
    </xf>
    <xf numFmtId="168" fontId="4" fillId="0" borderId="36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/>
    </xf>
    <xf numFmtId="0" fontId="4" fillId="0" borderId="15" xfId="0" applyFont="1" applyBorder="1"/>
    <xf numFmtId="2" fontId="4" fillId="0" borderId="12" xfId="0" applyNumberFormat="1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 vertical="center"/>
    </xf>
    <xf numFmtId="167" fontId="4" fillId="0" borderId="23" xfId="0" applyNumberFormat="1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/>
    </xf>
    <xf numFmtId="167" fontId="4" fillId="0" borderId="23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2" fontId="4" fillId="0" borderId="19" xfId="0" applyNumberFormat="1" applyFont="1" applyBorder="1" applyAlignment="1">
      <alignment horizontal="center"/>
    </xf>
    <xf numFmtId="2" fontId="4" fillId="0" borderId="21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/>
    </xf>
    <xf numFmtId="167" fontId="4" fillId="0" borderId="18" xfId="0" applyNumberFormat="1" applyFont="1" applyBorder="1" applyAlignment="1">
      <alignment horizontal="center" vertical="center"/>
    </xf>
    <xf numFmtId="167" fontId="4" fillId="0" borderId="24" xfId="0" applyNumberFormat="1" applyFont="1" applyBorder="1" applyAlignment="1">
      <alignment horizontal="center" vertical="center"/>
    </xf>
    <xf numFmtId="167" fontId="4" fillId="0" borderId="18" xfId="0" applyNumberFormat="1" applyFont="1" applyBorder="1" applyAlignment="1">
      <alignment horizontal="center"/>
    </xf>
    <xf numFmtId="167" fontId="4" fillId="0" borderId="24" xfId="0" applyNumberFormat="1" applyFont="1" applyBorder="1" applyAlignment="1">
      <alignment horizontal="center"/>
    </xf>
    <xf numFmtId="164" fontId="4" fillId="0" borderId="18" xfId="0" applyNumberFormat="1" applyFont="1" applyBorder="1" applyAlignment="1">
      <alignment horizontal="center"/>
    </xf>
    <xf numFmtId="164" fontId="4" fillId="0" borderId="62" xfId="0" applyNumberFormat="1" applyFont="1" applyBorder="1" applyAlignment="1">
      <alignment horizontal="center"/>
    </xf>
    <xf numFmtId="167" fontId="4" fillId="0" borderId="20" xfId="0" applyNumberFormat="1" applyFont="1" applyBorder="1" applyAlignment="1">
      <alignment horizontal="center" vertical="center"/>
    </xf>
    <xf numFmtId="167" fontId="4" fillId="0" borderId="22" xfId="0" applyNumberFormat="1" applyFont="1" applyBorder="1" applyAlignment="1">
      <alignment horizontal="center" vertical="center"/>
    </xf>
    <xf numFmtId="167" fontId="4" fillId="0" borderId="20" xfId="0" applyNumberFormat="1" applyFont="1" applyBorder="1" applyAlignment="1">
      <alignment horizontal="center"/>
    </xf>
    <xf numFmtId="167" fontId="4" fillId="0" borderId="22" xfId="0" applyNumberFormat="1" applyFont="1" applyBorder="1" applyAlignment="1">
      <alignment horizontal="center"/>
    </xf>
    <xf numFmtId="164" fontId="4" fillId="0" borderId="20" xfId="0" applyNumberFormat="1" applyFont="1" applyBorder="1" applyAlignment="1">
      <alignment horizontal="center"/>
    </xf>
    <xf numFmtId="167" fontId="4" fillId="0" borderId="35" xfId="0" applyNumberFormat="1" applyFont="1" applyBorder="1" applyAlignment="1">
      <alignment horizontal="center" vertical="center"/>
    </xf>
    <xf numFmtId="167" fontId="4" fillId="0" borderId="36" xfId="0" applyNumberFormat="1" applyFont="1" applyBorder="1" applyAlignment="1">
      <alignment horizontal="center" vertical="center"/>
    </xf>
    <xf numFmtId="167" fontId="4" fillId="0" borderId="35" xfId="0" applyNumberFormat="1" applyFont="1" applyBorder="1" applyAlignment="1">
      <alignment horizontal="center"/>
    </xf>
    <xf numFmtId="167" fontId="4" fillId="0" borderId="36" xfId="0" applyNumberFormat="1" applyFont="1" applyBorder="1" applyAlignment="1">
      <alignment horizontal="center"/>
    </xf>
    <xf numFmtId="164" fontId="4" fillId="0" borderId="35" xfId="0" applyNumberFormat="1" applyFont="1" applyBorder="1" applyAlignment="1">
      <alignment horizontal="center"/>
    </xf>
    <xf numFmtId="0" fontId="4" fillId="2" borderId="5" xfId="0" applyFont="1" applyFill="1" applyBorder="1"/>
    <xf numFmtId="0" fontId="4" fillId="2" borderId="10" xfId="0" applyFont="1" applyFill="1" applyBorder="1"/>
    <xf numFmtId="0" fontId="4" fillId="2" borderId="9" xfId="0" applyFont="1" applyFill="1" applyBorder="1"/>
    <xf numFmtId="168" fontId="4" fillId="0" borderId="0" xfId="0" applyNumberFormat="1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7" fontId="4" fillId="0" borderId="12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 vertical="center"/>
    </xf>
    <xf numFmtId="167" fontId="4" fillId="0" borderId="19" xfId="0" applyNumberFormat="1" applyFont="1" applyBorder="1" applyAlignment="1">
      <alignment horizontal="center" vertical="center"/>
    </xf>
    <xf numFmtId="167" fontId="4" fillId="0" borderId="6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 vertical="center"/>
    </xf>
    <xf numFmtId="167" fontId="4" fillId="0" borderId="21" xfId="0" applyNumberFormat="1" applyFont="1" applyBorder="1" applyAlignment="1">
      <alignment horizontal="center" vertical="center"/>
    </xf>
    <xf numFmtId="167" fontId="4" fillId="0" borderId="64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 vertical="center"/>
    </xf>
    <xf numFmtId="167" fontId="4" fillId="0" borderId="2" xfId="0" applyNumberFormat="1" applyFont="1" applyBorder="1" applyAlignment="1">
      <alignment horizontal="center" vertical="center"/>
    </xf>
    <xf numFmtId="167" fontId="4" fillId="0" borderId="15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167" fontId="4" fillId="0" borderId="53" xfId="0" applyNumberFormat="1" applyFont="1" applyBorder="1" applyAlignment="1">
      <alignment horizontal="center" vertical="center"/>
    </xf>
    <xf numFmtId="167" fontId="4" fillId="0" borderId="33" xfId="0" applyNumberFormat="1" applyFont="1" applyBorder="1" applyAlignment="1">
      <alignment horizontal="center" vertical="center"/>
    </xf>
    <xf numFmtId="167" fontId="4" fillId="0" borderId="10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164" fontId="4" fillId="0" borderId="64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21" xfId="0" applyNumberFormat="1" applyFont="1" applyBorder="1" applyAlignment="1">
      <alignment horizontal="center" vertical="center"/>
    </xf>
    <xf numFmtId="0" fontId="12" fillId="0" borderId="0" xfId="0" applyFont="1" applyFill="1" applyBorder="1" applyAlignment="1"/>
    <xf numFmtId="0" fontId="1" fillId="0" borderId="0" xfId="0" applyFont="1" applyFill="1" applyBorder="1" applyAlignment="1"/>
    <xf numFmtId="0" fontId="6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0" borderId="45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16" borderId="33" xfId="0" applyFont="1" applyFill="1" applyBorder="1" applyAlignment="1">
      <alignment horizontal="center" vertical="center"/>
    </xf>
    <xf numFmtId="0" fontId="1" fillId="28" borderId="9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6" fontId="4" fillId="0" borderId="14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4" fillId="0" borderId="26" xfId="0" applyNumberFormat="1" applyFont="1" applyBorder="1" applyAlignment="1">
      <alignment horizontal="center" vertical="center"/>
    </xf>
    <xf numFmtId="2" fontId="4" fillId="0" borderId="27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0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 wrapText="1"/>
    </xf>
    <xf numFmtId="2" fontId="4" fillId="0" borderId="64" xfId="0" applyNumberFormat="1" applyFont="1" applyBorder="1" applyAlignment="1">
      <alignment horizontal="center" vertical="center"/>
    </xf>
    <xf numFmtId="2" fontId="4" fillId="0" borderId="16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38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2" fontId="5" fillId="0" borderId="19" xfId="0" applyNumberFormat="1" applyFont="1" applyBorder="1" applyAlignment="1">
      <alignment horizontal="center" vertical="center"/>
    </xf>
    <xf numFmtId="2" fontId="5" fillId="0" borderId="62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4" fillId="0" borderId="0" xfId="0" applyNumberFormat="1" applyFont="1" applyAlignment="1">
      <alignment horizontal="center" vertical="center"/>
    </xf>
    <xf numFmtId="11" fontId="4" fillId="0" borderId="12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/>
    </xf>
    <xf numFmtId="164" fontId="4" fillId="0" borderId="14" xfId="0" applyNumberFormat="1" applyFont="1" applyBorder="1" applyAlignment="1">
      <alignment horizontal="center"/>
    </xf>
    <xf numFmtId="2" fontId="4" fillId="0" borderId="29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 wrapText="1"/>
    </xf>
    <xf numFmtId="1" fontId="4" fillId="0" borderId="74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5" fillId="0" borderId="22" xfId="0" applyNumberFormat="1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/>
    </xf>
    <xf numFmtId="0" fontId="4" fillId="0" borderId="31" xfId="0" applyFont="1" applyBorder="1" applyAlignment="1">
      <alignment horizontal="center" vertical="center"/>
    </xf>
    <xf numFmtId="166" fontId="4" fillId="0" borderId="31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/>
    </xf>
    <xf numFmtId="2" fontId="4" fillId="0" borderId="18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 wrapText="1"/>
    </xf>
    <xf numFmtId="2" fontId="4" fillId="0" borderId="62" xfId="0" applyNumberFormat="1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2" fontId="14" fillId="0" borderId="23" xfId="0" applyNumberFormat="1" applyFont="1" applyBorder="1" applyAlignment="1">
      <alignment horizontal="center" vertical="center"/>
    </xf>
    <xf numFmtId="2" fontId="9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166" fontId="4" fillId="0" borderId="26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40" xfId="0" applyNumberFormat="1" applyFont="1" applyBorder="1" applyAlignment="1">
      <alignment horizontal="center" vertical="center"/>
    </xf>
    <xf numFmtId="2" fontId="5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1" fontId="4" fillId="0" borderId="22" xfId="0" applyNumberFormat="1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2" fontId="14" fillId="0" borderId="24" xfId="0" applyNumberFormat="1" applyFont="1" applyBorder="1" applyAlignment="1">
      <alignment horizontal="center" vertical="center"/>
    </xf>
    <xf numFmtId="2" fontId="9" fillId="0" borderId="19" xfId="0" applyNumberFormat="1" applyFont="1" applyBorder="1" applyAlignment="1">
      <alignment horizontal="center" vertical="center"/>
    </xf>
    <xf numFmtId="2" fontId="9" fillId="0" borderId="62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4" fillId="0" borderId="19" xfId="0" applyNumberFormat="1" applyFont="1" applyBorder="1" applyAlignment="1">
      <alignment horizontal="center" vertical="center"/>
    </xf>
    <xf numFmtId="11" fontId="4" fillId="0" borderId="62" xfId="0" applyNumberFormat="1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11" fontId="4" fillId="0" borderId="21" xfId="0" applyNumberFormat="1" applyFont="1" applyBorder="1" applyAlignment="1">
      <alignment horizontal="center" vertical="center"/>
    </xf>
    <xf numFmtId="11" fontId="4" fillId="0" borderId="64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2" fontId="4" fillId="0" borderId="44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/>
    </xf>
    <xf numFmtId="1" fontId="4" fillId="0" borderId="2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3" fillId="0" borderId="35" xfId="0" applyFont="1" applyBorder="1" applyAlignment="1">
      <alignment horizontal="center" vertical="center"/>
    </xf>
    <xf numFmtId="2" fontId="14" fillId="0" borderId="36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2" fontId="9" fillId="0" borderId="15" xfId="0" applyNumberFormat="1" applyFont="1" applyBorder="1" applyAlignment="1">
      <alignment horizontal="center" vertical="center"/>
    </xf>
    <xf numFmtId="0" fontId="1" fillId="22" borderId="57" xfId="0" applyFont="1" applyFill="1" applyBorder="1" applyAlignment="1">
      <alignment horizontal="center" vertical="center"/>
    </xf>
    <xf numFmtId="11" fontId="4" fillId="0" borderId="2" xfId="0" applyNumberFormat="1" applyFont="1" applyBorder="1" applyAlignment="1">
      <alignment horizontal="center" vertical="center"/>
    </xf>
    <xf numFmtId="11" fontId="4" fillId="0" borderId="15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 vertical="center"/>
    </xf>
    <xf numFmtId="2" fontId="4" fillId="0" borderId="36" xfId="0" applyNumberFormat="1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166" fontId="4" fillId="0" borderId="0" xfId="0" applyNumberFormat="1" applyFont="1" applyBorder="1" applyAlignment="1">
      <alignment horizontal="center" vertical="center"/>
    </xf>
    <xf numFmtId="167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 wrapText="1"/>
    </xf>
    <xf numFmtId="1" fontId="4" fillId="0" borderId="45" xfId="0" applyNumberFormat="1" applyFont="1" applyBorder="1" applyAlignment="1">
      <alignment horizontal="center" vertical="center"/>
    </xf>
    <xf numFmtId="0" fontId="4" fillId="0" borderId="5" xfId="0" applyFont="1" applyBorder="1"/>
    <xf numFmtId="0" fontId="4" fillId="0" borderId="10" xfId="0" applyFont="1" applyBorder="1"/>
    <xf numFmtId="0" fontId="4" fillId="0" borderId="9" xfId="0" applyFont="1" applyBorder="1"/>
    <xf numFmtId="0" fontId="12" fillId="0" borderId="0" xfId="0" applyFont="1"/>
    <xf numFmtId="0" fontId="4" fillId="0" borderId="13" xfId="0" applyFont="1" applyBorder="1"/>
    <xf numFmtId="0" fontId="1" fillId="16" borderId="65" xfId="0" applyFont="1" applyFill="1" applyBorder="1" applyAlignment="1">
      <alignment horizontal="center" vertical="center" wrapText="1"/>
    </xf>
    <xf numFmtId="0" fontId="1" fillId="28" borderId="9" xfId="0" applyFont="1" applyFill="1" applyBorder="1" applyAlignment="1">
      <alignment horizontal="center" vertical="center" wrapText="1"/>
    </xf>
    <xf numFmtId="2" fontId="4" fillId="0" borderId="51" xfId="0" applyNumberFormat="1" applyFont="1" applyBorder="1" applyAlignment="1">
      <alignment horizontal="center" vertical="center"/>
    </xf>
    <xf numFmtId="1" fontId="4" fillId="0" borderId="69" xfId="0" applyNumberFormat="1" applyFont="1" applyBorder="1" applyAlignment="1">
      <alignment horizontal="center" vertical="center"/>
    </xf>
    <xf numFmtId="2" fontId="4" fillId="0" borderId="56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1" fontId="4" fillId="0" borderId="54" xfId="0" applyNumberFormat="1" applyFont="1" applyBorder="1" applyAlignment="1">
      <alignment horizontal="center" vertical="center"/>
    </xf>
    <xf numFmtId="2" fontId="4" fillId="0" borderId="59" xfId="0" applyNumberFormat="1" applyFont="1" applyBorder="1" applyAlignment="1">
      <alignment horizontal="center" vertical="center"/>
    </xf>
    <xf numFmtId="2" fontId="4" fillId="0" borderId="50" xfId="0" applyNumberFormat="1" applyFont="1" applyBorder="1" applyAlignment="1">
      <alignment horizontal="center" vertical="center"/>
    </xf>
    <xf numFmtId="1" fontId="4" fillId="0" borderId="55" xfId="0" applyNumberFormat="1" applyFont="1" applyBorder="1" applyAlignment="1">
      <alignment horizontal="center" vertical="center"/>
    </xf>
    <xf numFmtId="2" fontId="4" fillId="0" borderId="60" xfId="0" applyNumberFormat="1" applyFont="1" applyBorder="1" applyAlignment="1">
      <alignment horizontal="center" vertical="center"/>
    </xf>
    <xf numFmtId="0" fontId="12" fillId="0" borderId="0" xfId="0" applyFont="1" applyBorder="1"/>
    <xf numFmtId="0" fontId="4" fillId="0" borderId="11" xfId="0" applyFont="1" applyBorder="1"/>
    <xf numFmtId="0" fontId="4" fillId="0" borderId="2" xfId="0" applyFont="1" applyBorder="1"/>
    <xf numFmtId="0" fontId="1" fillId="0" borderId="0" xfId="0" applyFont="1" applyBorder="1"/>
    <xf numFmtId="0" fontId="1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4" fillId="4" borderId="0" xfId="0" applyFont="1" applyFill="1"/>
    <xf numFmtId="0" fontId="12" fillId="4" borderId="3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4" fillId="4" borderId="12" xfId="0" applyFont="1" applyFill="1" applyBorder="1"/>
    <xf numFmtId="164" fontId="15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/>
    </xf>
    <xf numFmtId="2" fontId="10" fillId="18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10" fontId="4" fillId="2" borderId="0" xfId="0" applyNumberFormat="1" applyFont="1" applyFill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18" borderId="1" xfId="0" applyNumberFormat="1" applyFont="1" applyFill="1" applyBorder="1" applyAlignment="1">
      <alignment horizontal="center"/>
    </xf>
    <xf numFmtId="2" fontId="4" fillId="18" borderId="29" xfId="0" applyNumberFormat="1" applyFont="1" applyFill="1" applyBorder="1" applyAlignment="1">
      <alignment horizontal="center"/>
    </xf>
    <xf numFmtId="2" fontId="17" fillId="0" borderId="1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4" fillId="15" borderId="3" xfId="0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/>
    </xf>
    <xf numFmtId="0" fontId="4" fillId="2" borderId="21" xfId="0" applyFont="1" applyFill="1" applyBorder="1"/>
    <xf numFmtId="0" fontId="12" fillId="2" borderId="0" xfId="0" applyFont="1" applyFill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1" fontId="4" fillId="2" borderId="17" xfId="0" applyNumberFormat="1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/>
    </xf>
    <xf numFmtId="2" fontId="4" fillId="2" borderId="23" xfId="0" applyNumberFormat="1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2" fontId="4" fillId="2" borderId="0" xfId="0" applyNumberFormat="1" applyFont="1" applyFill="1" applyAlignment="1">
      <alignment horizontal="center" vertical="center"/>
    </xf>
    <xf numFmtId="1" fontId="4" fillId="2" borderId="17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Alignment="1">
      <alignment horizontal="center" vertical="center"/>
    </xf>
    <xf numFmtId="1" fontId="4" fillId="2" borderId="18" xfId="0" applyNumberFormat="1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2" fontId="4" fillId="2" borderId="19" xfId="0" applyNumberFormat="1" applyFont="1" applyFill="1" applyBorder="1" applyAlignment="1">
      <alignment horizontal="center"/>
    </xf>
    <xf numFmtId="2" fontId="4" fillId="2" borderId="24" xfId="0" applyNumberFormat="1" applyFont="1" applyFill="1" applyBorder="1" applyAlignment="1">
      <alignment horizontal="center" vertical="center" wrapText="1"/>
    </xf>
    <xf numFmtId="2" fontId="4" fillId="2" borderId="0" xfId="0" applyNumberFormat="1" applyFont="1" applyFill="1" applyAlignment="1">
      <alignment horizontal="center"/>
    </xf>
    <xf numFmtId="0" fontId="2" fillId="2" borderId="0" xfId="0" applyFont="1" applyFill="1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165" fontId="18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9" fontId="4" fillId="0" borderId="0" xfId="0" applyNumberFormat="1" applyFont="1" applyAlignment="1">
      <alignment horizontal="center" vertical="center"/>
    </xf>
    <xf numFmtId="0" fontId="1" fillId="18" borderId="1" xfId="0" applyFont="1" applyFill="1" applyBorder="1" applyAlignment="1">
      <alignment horizontal="center"/>
    </xf>
    <xf numFmtId="49" fontId="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10" fillId="0" borderId="4" xfId="0" applyFont="1" applyBorder="1"/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10" fillId="0" borderId="14" xfId="0" applyFont="1" applyBorder="1"/>
    <xf numFmtId="0" fontId="4" fillId="0" borderId="1" xfId="0" applyFont="1" applyBorder="1"/>
    <xf numFmtId="2" fontId="11" fillId="0" borderId="1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/>
    </xf>
    <xf numFmtId="2" fontId="4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/>
    </xf>
    <xf numFmtId="2" fontId="4" fillId="18" borderId="0" xfId="0" applyNumberFormat="1" applyFont="1" applyFill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0" fontId="4" fillId="0" borderId="23" xfId="0" applyFont="1" applyBorder="1"/>
    <xf numFmtId="164" fontId="4" fillId="0" borderId="24" xfId="0" applyNumberFormat="1" applyFont="1" applyBorder="1" applyAlignment="1">
      <alignment horizontal="center" vertical="center"/>
    </xf>
    <xf numFmtId="0" fontId="4" fillId="0" borderId="19" xfId="0" applyFont="1" applyBorder="1"/>
    <xf numFmtId="0" fontId="4" fillId="0" borderId="24" xfId="0" applyFont="1" applyBorder="1"/>
    <xf numFmtId="0" fontId="22" fillId="0" borderId="0" xfId="0" applyFont="1"/>
    <xf numFmtId="0" fontId="23" fillId="0" borderId="0" xfId="0" applyFont="1"/>
    <xf numFmtId="164" fontId="4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24" fillId="0" borderId="1" xfId="0" applyNumberFormat="1" applyFont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7" fontId="4" fillId="0" borderId="0" xfId="0" applyNumberFormat="1" applyFont="1" applyAlignment="1">
      <alignment horizontal="center"/>
    </xf>
    <xf numFmtId="10" fontId="4" fillId="0" borderId="4" xfId="0" applyNumberFormat="1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0" fontId="4" fillId="0" borderId="16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167" fontId="4" fillId="0" borderId="19" xfId="0" applyNumberFormat="1" applyFont="1" applyBorder="1" applyAlignment="1">
      <alignment horizontal="center"/>
    </xf>
    <xf numFmtId="10" fontId="4" fillId="0" borderId="14" xfId="0" applyNumberFormat="1" applyFont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2" fontId="4" fillId="10" borderId="1" xfId="0" applyNumberFormat="1" applyFont="1" applyFill="1" applyBorder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10" fontId="4" fillId="17" borderId="16" xfId="0" applyNumberFormat="1" applyFont="1" applyFill="1" applyBorder="1" applyAlignment="1">
      <alignment horizontal="center"/>
    </xf>
    <xf numFmtId="10" fontId="4" fillId="17" borderId="14" xfId="0" applyNumberFormat="1" applyFont="1" applyFill="1" applyBorder="1" applyAlignment="1">
      <alignment horizontal="center"/>
    </xf>
    <xf numFmtId="0" fontId="4" fillId="2" borderId="20" xfId="0" applyFont="1" applyFill="1" applyBorder="1"/>
    <xf numFmtId="0" fontId="4" fillId="2" borderId="23" xfId="0" applyFont="1" applyFill="1" applyBorder="1"/>
    <xf numFmtId="0" fontId="4" fillId="2" borderId="19" xfId="0" applyFont="1" applyFill="1" applyBorder="1"/>
    <xf numFmtId="0" fontId="4" fillId="2" borderId="24" xfId="0" applyFont="1" applyFill="1" applyBorder="1"/>
    <xf numFmtId="0" fontId="4" fillId="2" borderId="17" xfId="0" applyFont="1" applyFill="1" applyBorder="1"/>
    <xf numFmtId="0" fontId="1" fillId="0" borderId="13" xfId="0" applyFont="1" applyFill="1" applyBorder="1" applyAlignment="1">
      <alignment horizontal="center" vertical="center"/>
    </xf>
    <xf numFmtId="164" fontId="15" fillId="0" borderId="12" xfId="0" applyNumberFormat="1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164" fontId="15" fillId="0" borderId="15" xfId="0" applyNumberFormat="1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/>
    </xf>
    <xf numFmtId="2" fontId="10" fillId="18" borderId="29" xfId="0" applyNumberFormat="1" applyFont="1" applyFill="1" applyBorder="1" applyAlignment="1">
      <alignment horizontal="center" vertical="center"/>
    </xf>
    <xf numFmtId="0" fontId="4" fillId="2" borderId="0" xfId="0" applyFont="1" applyFill="1" applyBorder="1"/>
    <xf numFmtId="0" fontId="1" fillId="2" borderId="0" xfId="0" applyFont="1" applyFill="1" applyBorder="1" applyAlignment="1">
      <alignment wrapText="1"/>
    </xf>
    <xf numFmtId="167" fontId="4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left" vertical="center"/>
    </xf>
    <xf numFmtId="164" fontId="4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/>
    </xf>
    <xf numFmtId="1" fontId="4" fillId="0" borderId="17" xfId="0" applyNumberFormat="1" applyFont="1" applyFill="1" applyBorder="1" applyAlignment="1">
      <alignment horizontal="center" vertical="center"/>
    </xf>
    <xf numFmtId="2" fontId="4" fillId="0" borderId="23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2" fontId="4" fillId="0" borderId="24" xfId="0" applyNumberFormat="1" applyFont="1" applyFill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2" fontId="10" fillId="0" borderId="0" xfId="0" applyNumberFormat="1" applyFont="1" applyBorder="1" applyAlignment="1">
      <alignment horizontal="center" vertical="center"/>
    </xf>
    <xf numFmtId="2" fontId="10" fillId="18" borderId="0" xfId="0" applyNumberFormat="1" applyFont="1" applyFill="1" applyBorder="1" applyAlignment="1">
      <alignment horizontal="center" vertical="center"/>
    </xf>
    <xf numFmtId="2" fontId="10" fillId="18" borderId="23" xfId="0" applyNumberFormat="1" applyFont="1" applyFill="1" applyBorder="1" applyAlignment="1">
      <alignment horizontal="center" vertical="center"/>
    </xf>
    <xf numFmtId="164" fontId="15" fillId="0" borderId="19" xfId="0" applyNumberFormat="1" applyFont="1" applyBorder="1" applyAlignment="1">
      <alignment horizontal="center" vertical="center"/>
    </xf>
    <xf numFmtId="2" fontId="17" fillId="0" borderId="19" xfId="0" applyNumberFormat="1" applyFont="1" applyBorder="1" applyAlignment="1">
      <alignment horizontal="center" vertical="center"/>
    </xf>
    <xf numFmtId="2" fontId="4" fillId="18" borderId="19" xfId="0" applyNumberFormat="1" applyFont="1" applyFill="1" applyBorder="1" applyAlignment="1">
      <alignment horizontal="center"/>
    </xf>
    <xf numFmtId="2" fontId="4" fillId="18" borderId="24" xfId="0" applyNumberFormat="1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164" fontId="11" fillId="0" borderId="24" xfId="0" applyNumberFormat="1" applyFont="1" applyBorder="1" applyAlignment="1">
      <alignment horizontal="center"/>
    </xf>
    <xf numFmtId="164" fontId="9" fillId="0" borderId="23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15" fillId="1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2" fontId="11" fillId="0" borderId="24" xfId="0" applyNumberFormat="1" applyFont="1" applyBorder="1" applyAlignment="1">
      <alignment horizontal="center"/>
    </xf>
    <xf numFmtId="165" fontId="4" fillId="0" borderId="19" xfId="0" applyNumberFormat="1" applyFont="1" applyBorder="1" applyAlignment="1">
      <alignment horizontal="center" vertical="center"/>
    </xf>
    <xf numFmtId="164" fontId="15" fillId="10" borderId="19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17" borderId="7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 wrapText="1"/>
    </xf>
    <xf numFmtId="0" fontId="4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64" fontId="4" fillId="0" borderId="74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0" fontId="4" fillId="0" borderId="0" xfId="0" applyFont="1" applyFill="1"/>
    <xf numFmtId="1" fontId="4" fillId="0" borderId="74" xfId="0" applyNumberFormat="1" applyFont="1" applyBorder="1" applyAlignment="1">
      <alignment horizontal="center"/>
    </xf>
    <xf numFmtId="1" fontId="4" fillId="0" borderId="45" xfId="0" applyNumberFormat="1" applyFont="1" applyBorder="1" applyAlignment="1">
      <alignment horizontal="center"/>
    </xf>
    <xf numFmtId="164" fontId="4" fillId="0" borderId="74" xfId="0" applyNumberFormat="1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/>
    </xf>
    <xf numFmtId="1" fontId="4" fillId="10" borderId="1" xfId="0" applyNumberFormat="1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10" fillId="0" borderId="20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2" fontId="21" fillId="0" borderId="7" xfId="0" applyNumberFormat="1" applyFont="1" applyBorder="1" applyAlignment="1">
      <alignment horizontal="center" vertical="center"/>
    </xf>
    <xf numFmtId="2" fontId="10" fillId="0" borderId="18" xfId="0" applyNumberFormat="1" applyFont="1" applyBorder="1" applyAlignment="1">
      <alignment horizontal="center" vertical="center"/>
    </xf>
    <xf numFmtId="2" fontId="10" fillId="0" borderId="19" xfId="0" applyNumberFormat="1" applyFont="1" applyBorder="1" applyAlignment="1">
      <alignment horizontal="center" vertical="center"/>
    </xf>
    <xf numFmtId="2" fontId="10" fillId="0" borderId="24" xfId="0" applyNumberFormat="1" applyFont="1" applyBorder="1" applyAlignment="1">
      <alignment horizontal="center" vertical="center"/>
    </xf>
    <xf numFmtId="2" fontId="10" fillId="0" borderId="35" xfId="0" applyNumberFormat="1" applyFont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0" borderId="36" xfId="0" applyNumberFormat="1" applyFont="1" applyBorder="1" applyAlignment="1">
      <alignment horizontal="center" vertical="center"/>
    </xf>
    <xf numFmtId="2" fontId="21" fillId="0" borderId="77" xfId="0" applyNumberFormat="1" applyFont="1" applyBorder="1" applyAlignment="1">
      <alignment horizontal="center" vertical="center"/>
    </xf>
    <xf numFmtId="164" fontId="10" fillId="0" borderId="20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/>
    </xf>
    <xf numFmtId="164" fontId="10" fillId="0" borderId="21" xfId="0" applyNumberFormat="1" applyFont="1" applyBorder="1" applyAlignment="1">
      <alignment horizontal="center" vertical="center"/>
    </xf>
    <xf numFmtId="164" fontId="10" fillId="0" borderId="21" xfId="0" applyNumberFormat="1" applyFont="1" applyBorder="1" applyAlignment="1">
      <alignment horizontal="center"/>
    </xf>
    <xf numFmtId="164" fontId="10" fillId="0" borderId="17" xfId="0" applyNumberFormat="1" applyFont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/>
    </xf>
    <xf numFmtId="164" fontId="10" fillId="0" borderId="1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/>
    </xf>
    <xf numFmtId="164" fontId="10" fillId="0" borderId="19" xfId="0" applyNumberFormat="1" applyFont="1" applyBorder="1" applyAlignment="1">
      <alignment horizontal="center" vertical="center"/>
    </xf>
    <xf numFmtId="164" fontId="10" fillId="0" borderId="20" xfId="0" applyNumberFormat="1" applyFont="1" applyBorder="1" applyAlignment="1">
      <alignment horizontal="center"/>
    </xf>
    <xf numFmtId="164" fontId="10" fillId="0" borderId="17" xfId="0" applyNumberFormat="1" applyFont="1" applyBorder="1" applyAlignment="1">
      <alignment horizontal="center"/>
    </xf>
    <xf numFmtId="164" fontId="10" fillId="0" borderId="18" xfId="0" applyNumberFormat="1" applyFont="1" applyBorder="1" applyAlignment="1">
      <alignment horizontal="center"/>
    </xf>
    <xf numFmtId="164" fontId="10" fillId="0" borderId="35" xfId="0" applyNumberFormat="1" applyFont="1" applyBorder="1" applyAlignment="1">
      <alignment horizontal="center" vertical="center"/>
    </xf>
    <xf numFmtId="164" fontId="4" fillId="0" borderId="36" xfId="0" applyNumberFormat="1" applyFont="1" applyBorder="1" applyAlignment="1">
      <alignment horizontal="center"/>
    </xf>
    <xf numFmtId="164" fontId="10" fillId="0" borderId="2" xfId="0" applyNumberFormat="1" applyFont="1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2" fontId="7" fillId="0" borderId="23" xfId="0" applyNumberFormat="1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10" fillId="0" borderId="23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2" fontId="28" fillId="0" borderId="77" xfId="0" applyNumberFormat="1" applyFont="1" applyBorder="1" applyAlignment="1">
      <alignment horizontal="center" vertical="center"/>
    </xf>
    <xf numFmtId="164" fontId="28" fillId="0" borderId="77" xfId="0" applyNumberFormat="1" applyFont="1" applyBorder="1" applyAlignment="1">
      <alignment horizontal="center" vertical="center"/>
    </xf>
    <xf numFmtId="1" fontId="28" fillId="0" borderId="57" xfId="0" applyNumberFormat="1" applyFont="1" applyBorder="1" applyAlignment="1">
      <alignment horizontal="center" vertical="center"/>
    </xf>
    <xf numFmtId="1" fontId="28" fillId="0" borderId="60" xfId="0" applyNumberFormat="1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2" fontId="28" fillId="0" borderId="21" xfId="0" applyNumberFormat="1" applyFont="1" applyBorder="1" applyAlignment="1">
      <alignment horizontal="center" vertical="center"/>
    </xf>
    <xf numFmtId="164" fontId="28" fillId="0" borderId="21" xfId="0" applyNumberFormat="1" applyFont="1" applyBorder="1" applyAlignment="1">
      <alignment horizontal="center" vertical="center"/>
    </xf>
    <xf numFmtId="1" fontId="28" fillId="0" borderId="22" xfId="0" applyNumberFormat="1" applyFont="1" applyBorder="1" applyAlignment="1">
      <alignment horizontal="center" vertical="center"/>
    </xf>
    <xf numFmtId="1" fontId="28" fillId="0" borderId="64" xfId="0" applyNumberFormat="1" applyFont="1" applyBorder="1" applyAlignment="1">
      <alignment horizontal="center" vertical="center"/>
    </xf>
    <xf numFmtId="0" fontId="1" fillId="27" borderId="1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1" fillId="9" borderId="32" xfId="0" applyFont="1" applyFill="1" applyBorder="1" applyAlignment="1">
      <alignment horizontal="center" vertical="center"/>
    </xf>
    <xf numFmtId="0" fontId="4" fillId="0" borderId="52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6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12" fillId="25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2" borderId="75" xfId="0" applyFont="1" applyFill="1" applyBorder="1" applyAlignment="1">
      <alignment horizontal="center" vertical="center"/>
    </xf>
    <xf numFmtId="0" fontId="1" fillId="2" borderId="76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 vertical="center" textRotation="90"/>
    </xf>
    <xf numFmtId="0" fontId="1" fillId="2" borderId="10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46" xfId="0" applyFont="1" applyFill="1" applyBorder="1" applyAlignment="1">
      <alignment horizontal="center" vertical="center" wrapText="1"/>
    </xf>
    <xf numFmtId="0" fontId="1" fillId="23" borderId="47" xfId="0" applyFont="1" applyFill="1" applyBorder="1" applyAlignment="1">
      <alignment horizontal="center" vertical="center" wrapText="1"/>
    </xf>
    <xf numFmtId="0" fontId="1" fillId="23" borderId="48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24" xfId="0" applyFont="1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24" xfId="0" applyFont="1" applyFill="1" applyBorder="1" applyAlignment="1">
      <alignment horizontal="center" vertical="center" wrapText="1"/>
    </xf>
    <xf numFmtId="0" fontId="1" fillId="23" borderId="6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6" fillId="26" borderId="78" xfId="0" applyFont="1" applyFill="1" applyBorder="1" applyAlignment="1">
      <alignment horizontal="center" vertical="center"/>
    </xf>
    <xf numFmtId="0" fontId="6" fillId="26" borderId="52" xfId="0" applyFont="1" applyFill="1" applyBorder="1" applyAlignment="1">
      <alignment horizontal="center" vertical="center"/>
    </xf>
    <xf numFmtId="0" fontId="6" fillId="26" borderId="79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17" borderId="25" xfId="0" applyFont="1" applyFill="1" applyBorder="1" applyAlignment="1">
      <alignment horizontal="center" vertical="center"/>
    </xf>
    <xf numFmtId="0" fontId="1" fillId="17" borderId="26" xfId="0" applyFont="1" applyFill="1" applyBorder="1" applyAlignment="1">
      <alignment horizontal="center" vertical="center"/>
    </xf>
    <xf numFmtId="0" fontId="1" fillId="17" borderId="27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 wrapText="1"/>
    </xf>
    <xf numFmtId="0" fontId="1" fillId="0" borderId="68" xfId="0" applyFont="1" applyBorder="1" applyAlignment="1">
      <alignment horizontal="center" vertical="center" wrapText="1"/>
    </xf>
    <xf numFmtId="0" fontId="1" fillId="28" borderId="28" xfId="0" applyFont="1" applyFill="1" applyBorder="1" applyAlignment="1">
      <alignment horizontal="center"/>
    </xf>
    <xf numFmtId="0" fontId="1" fillId="28" borderId="1" xfId="0" applyFont="1" applyFill="1" applyBorder="1" applyAlignment="1">
      <alignment horizontal="center"/>
    </xf>
    <xf numFmtId="0" fontId="1" fillId="28" borderId="14" xfId="0" applyFont="1" applyFill="1" applyBorder="1" applyAlignment="1">
      <alignment horizontal="center"/>
    </xf>
    <xf numFmtId="0" fontId="1" fillId="28" borderId="29" xfId="0" applyFont="1" applyFill="1" applyBorder="1" applyAlignment="1">
      <alignment horizontal="center"/>
    </xf>
    <xf numFmtId="0" fontId="1" fillId="17" borderId="28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" fillId="17" borderId="14" xfId="0" applyFont="1" applyFill="1" applyBorder="1" applyAlignment="1">
      <alignment horizontal="center"/>
    </xf>
    <xf numFmtId="0" fontId="1" fillId="17" borderId="29" xfId="0" applyFont="1" applyFill="1" applyBorder="1" applyAlignment="1">
      <alignment horizontal="center"/>
    </xf>
    <xf numFmtId="0" fontId="1" fillId="0" borderId="67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28" borderId="25" xfId="0" applyFont="1" applyFill="1" applyBorder="1" applyAlignment="1">
      <alignment horizontal="center" vertical="center"/>
    </xf>
    <xf numFmtId="0" fontId="1" fillId="28" borderId="26" xfId="0" applyFont="1" applyFill="1" applyBorder="1" applyAlignment="1">
      <alignment horizontal="center" vertical="center"/>
    </xf>
    <xf numFmtId="0" fontId="1" fillId="28" borderId="27" xfId="0" applyFont="1" applyFill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0" fontId="1" fillId="16" borderId="28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/>
    </xf>
    <xf numFmtId="0" fontId="1" fillId="16" borderId="29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29" fillId="4" borderId="0" xfId="0" applyFont="1" applyFill="1" applyAlignment="1">
      <alignment horizontal="center" vertical="center" wrapText="1"/>
    </xf>
    <xf numFmtId="0" fontId="29" fillId="4" borderId="12" xfId="0" applyFont="1" applyFill="1" applyBorder="1" applyAlignment="1">
      <alignment horizontal="center" vertical="center" wrapText="1"/>
    </xf>
    <xf numFmtId="0" fontId="1" fillId="28" borderId="14" xfId="0" applyFont="1" applyFill="1" applyBorder="1" applyAlignment="1">
      <alignment horizontal="center" vertical="center" wrapText="1"/>
    </xf>
    <xf numFmtId="0" fontId="1" fillId="28" borderId="1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4" xfId="0" applyFont="1" applyFill="1" applyBorder="1" applyAlignment="1">
      <alignment horizontal="center" vertical="center" wrapText="1"/>
    </xf>
    <xf numFmtId="0" fontId="1" fillId="17" borderId="18" xfId="0" applyFont="1" applyFill="1" applyBorder="1" applyAlignment="1">
      <alignment horizontal="center" vertical="center" wrapText="1"/>
    </xf>
    <xf numFmtId="0" fontId="1" fillId="17" borderId="20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80" xfId="0" applyFont="1" applyBorder="1" applyAlignment="1">
      <alignment horizontal="center" vertical="center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6" fillId="26" borderId="28" xfId="0" applyFont="1" applyFill="1" applyBorder="1" applyAlignment="1">
      <alignment horizontal="center"/>
    </xf>
    <xf numFmtId="0" fontId="6" fillId="26" borderId="1" xfId="0" applyFont="1" applyFill="1" applyBorder="1" applyAlignment="1">
      <alignment horizontal="center"/>
    </xf>
    <xf numFmtId="0" fontId="6" fillId="26" borderId="14" xfId="0" applyFont="1" applyFill="1" applyBorder="1" applyAlignment="1">
      <alignment horizontal="center"/>
    </xf>
    <xf numFmtId="0" fontId="6" fillId="26" borderId="29" xfId="0" applyFont="1" applyFill="1" applyBorder="1" applyAlignment="1">
      <alignment horizont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4" fillId="0" borderId="39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7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6" fillId="12" borderId="46" xfId="0" applyFont="1" applyFill="1" applyBorder="1" applyAlignment="1">
      <alignment horizontal="center"/>
    </xf>
    <xf numFmtId="0" fontId="6" fillId="12" borderId="47" xfId="0" applyFont="1" applyFill="1" applyBorder="1" applyAlignment="1">
      <alignment horizontal="center"/>
    </xf>
    <xf numFmtId="0" fontId="6" fillId="12" borderId="48" xfId="0" applyFont="1" applyFill="1" applyBorder="1" applyAlignment="1">
      <alignment horizont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64" xfId="0" applyNumberFormat="1" applyFont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" fontId="4" fillId="0" borderId="62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30" xfId="0" applyFont="1" applyBorder="1" applyAlignment="1">
      <alignment horizontal="left"/>
    </xf>
    <xf numFmtId="0" fontId="4" fillId="0" borderId="31" xfId="0" applyFont="1" applyBorder="1" applyAlignment="1">
      <alignment horizontal="left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4" fillId="0" borderId="25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4" fillId="0" borderId="71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70" xfId="0" applyFont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7" fillId="18" borderId="17" xfId="0" applyFont="1" applyFill="1" applyBorder="1" applyAlignment="1">
      <alignment horizontal="center" vertical="center" wrapText="1"/>
    </xf>
    <xf numFmtId="0" fontId="7" fillId="18" borderId="0" xfId="0" applyFont="1" applyFill="1" applyBorder="1" applyAlignment="1">
      <alignment horizontal="center" vertical="center" wrapText="1"/>
    </xf>
    <xf numFmtId="0" fontId="7" fillId="18" borderId="23" xfId="0" applyFont="1" applyFill="1" applyBorder="1" applyAlignment="1">
      <alignment horizontal="center" vertical="center" wrapText="1"/>
    </xf>
    <xf numFmtId="0" fontId="7" fillId="18" borderId="35" xfId="0" applyFont="1" applyFill="1" applyBorder="1" applyAlignment="1">
      <alignment horizontal="center" vertical="center" wrapText="1"/>
    </xf>
    <xf numFmtId="0" fontId="7" fillId="18" borderId="2" xfId="0" applyFont="1" applyFill="1" applyBorder="1" applyAlignment="1">
      <alignment horizontal="center" vertical="center" wrapText="1"/>
    </xf>
    <xf numFmtId="0" fontId="7" fillId="18" borderId="36" xfId="0" applyFont="1" applyFill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/>
    </xf>
    <xf numFmtId="0" fontId="1" fillId="18" borderId="14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14" borderId="46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28" xfId="0" applyFont="1" applyFill="1" applyBorder="1" applyAlignment="1">
      <alignment horizontal="center" vertical="center" wrapText="1"/>
    </xf>
    <xf numFmtId="0" fontId="4" fillId="0" borderId="40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41" xfId="0" applyFont="1" applyFill="1" applyBorder="1" applyAlignment="1">
      <alignment horizontal="center"/>
    </xf>
    <xf numFmtId="0" fontId="1" fillId="26" borderId="43" xfId="0" applyFont="1" applyFill="1" applyBorder="1" applyAlignment="1">
      <alignment horizontal="center"/>
    </xf>
    <xf numFmtId="0" fontId="1" fillId="26" borderId="1" xfId="0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15" borderId="41" xfId="0" applyFont="1" applyFill="1" applyBorder="1" applyAlignment="1">
      <alignment horizontal="center" vertical="center"/>
    </xf>
    <xf numFmtId="0" fontId="3" fillId="15" borderId="42" xfId="0" applyFont="1" applyFill="1" applyBorder="1" applyAlignment="1">
      <alignment horizontal="center" vertical="center"/>
    </xf>
    <xf numFmtId="0" fontId="3" fillId="15" borderId="4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26" borderId="1" xfId="0" applyFont="1" applyFill="1" applyBorder="1" applyAlignment="1">
      <alignment horizontal="center" wrapText="1"/>
    </xf>
    <xf numFmtId="0" fontId="12" fillId="15" borderId="5" xfId="0" applyFont="1" applyFill="1" applyBorder="1" applyAlignment="1">
      <alignment horizontal="center" vertical="center"/>
    </xf>
    <xf numFmtId="0" fontId="12" fillId="15" borderId="10" xfId="0" applyFont="1" applyFill="1" applyBorder="1" applyAlignment="1">
      <alignment horizontal="center" vertical="center"/>
    </xf>
    <xf numFmtId="0" fontId="12" fillId="15" borderId="9" xfId="0" applyFont="1" applyFill="1" applyBorder="1" applyAlignment="1">
      <alignment horizontal="center" vertical="center"/>
    </xf>
    <xf numFmtId="0" fontId="12" fillId="15" borderId="13" xfId="0" applyFont="1" applyFill="1" applyBorder="1" applyAlignment="1">
      <alignment horizontal="center" vertical="center"/>
    </xf>
    <xf numFmtId="0" fontId="12" fillId="15" borderId="0" xfId="0" applyFont="1" applyFill="1" applyBorder="1" applyAlignment="1">
      <alignment horizontal="center" vertical="center"/>
    </xf>
    <xf numFmtId="0" fontId="12" fillId="15" borderId="12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14" borderId="47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21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19" fillId="24" borderId="8" xfId="0" applyFont="1" applyFill="1" applyBorder="1" applyAlignment="1">
      <alignment horizontal="center"/>
    </xf>
    <xf numFmtId="0" fontId="19" fillId="24" borderId="7" xfId="0" applyFont="1" applyFill="1" applyBorder="1" applyAlignment="1">
      <alignment horizontal="center"/>
    </xf>
    <xf numFmtId="0" fontId="19" fillId="24" borderId="6" xfId="0" applyFont="1" applyFill="1" applyBorder="1" applyAlignment="1">
      <alignment horizontal="center"/>
    </xf>
    <xf numFmtId="0" fontId="19" fillId="24" borderId="1" xfId="0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2" fontId="4" fillId="0" borderId="17" xfId="0" applyNumberFormat="1" applyFont="1" applyBorder="1" applyAlignment="1">
      <alignment horizontal="center" vertical="center"/>
    </xf>
    <xf numFmtId="2" fontId="4" fillId="18" borderId="0" xfId="0" applyNumberFormat="1" applyFont="1" applyFill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Capacities'!$I$60:$I$69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1.8141308521286454E-3</c:v>
                </c:pt>
                <c:pt idx="2">
                  <c:v>4.7865865456081782E-3</c:v>
                </c:pt>
                <c:pt idx="3">
                  <c:v>6.7523273096129852E-3</c:v>
                </c:pt>
                <c:pt idx="4">
                  <c:v>1.2899482679277225E-2</c:v>
                </c:pt>
                <c:pt idx="5">
                  <c:v>1.9087213236742975E-2</c:v>
                </c:pt>
                <c:pt idx="6">
                  <c:v>3.3289259355561741E-2</c:v>
                </c:pt>
                <c:pt idx="7">
                  <c:v>0.08</c:v>
                </c:pt>
                <c:pt idx="8">
                  <c:v>8.3446945222873076E-2</c:v>
                </c:pt>
                <c:pt idx="9">
                  <c:v>0.1</c:v>
                </c:pt>
              </c:numCache>
            </c:numRef>
          </c:xVal>
          <c:yVal>
            <c:numRef>
              <c:f>'System Capacities'!$H$60:$H$69</c:f>
              <c:numCache>
                <c:formatCode>0.00</c:formatCode>
                <c:ptCount val="10"/>
                <c:pt idx="0">
                  <c:v>0</c:v>
                </c:pt>
                <c:pt idx="1">
                  <c:v>572.45333440850413</c:v>
                </c:pt>
                <c:pt idx="2">
                  <c:v>776.22381003596502</c:v>
                </c:pt>
                <c:pt idx="3">
                  <c:v>679.42547706606479</c:v>
                </c:pt>
                <c:pt idx="4">
                  <c:v>234.92544083753546</c:v>
                </c:pt>
                <c:pt idx="5">
                  <c:v>241.19600000000017</c:v>
                </c:pt>
                <c:pt idx="6">
                  <c:v>206.26266666666683</c:v>
                </c:pt>
                <c:pt idx="7">
                  <c:v>91.99487743423262</c:v>
                </c:pt>
                <c:pt idx="8">
                  <c:v>83.562666666666814</c:v>
                </c:pt>
                <c:pt idx="9">
                  <c:v>83.562666666666814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E-48E4-9635-51F8F2445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44496"/>
        <c:axId val="515534304"/>
      </c:scatterChart>
      <c:valAx>
        <c:axId val="51414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34304"/>
        <c:crosses val="autoZero"/>
        <c:crossBetween val="midCat"/>
      </c:valAx>
      <c:valAx>
        <c:axId val="51553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0.19995986072674579</c:v>
                </c:pt>
                <c:pt idx="1">
                  <c:v>0.19953581834532494</c:v>
                </c:pt>
                <c:pt idx="2">
                  <c:v>0.19887392328964326</c:v>
                </c:pt>
                <c:pt idx="3">
                  <c:v>0.19795080648526586</c:v>
                </c:pt>
                <c:pt idx="4">
                  <c:v>0.19263209112755733</c:v>
                </c:pt>
                <c:pt idx="5">
                  <c:v>6.2315723183639371E-3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0.19995986072668318</c:v>
                </c:pt>
                <c:pt idx="1">
                  <c:v>0.19953581834526582</c:v>
                </c:pt>
                <c:pt idx="2">
                  <c:v>0.19887392328958822</c:v>
                </c:pt>
                <c:pt idx="3">
                  <c:v>0.19795080648521443</c:v>
                </c:pt>
                <c:pt idx="4">
                  <c:v>0.19263209112750784</c:v>
                </c:pt>
                <c:pt idx="5">
                  <c:v>6.2315723183639362E-3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0.19995986072674579</c:v>
                      </c:pt>
                      <c:pt idx="1">
                        <c:v>0.19953581834532494</c:v>
                      </c:pt>
                      <c:pt idx="2">
                        <c:v>0.19887392328964326</c:v>
                      </c:pt>
                      <c:pt idx="3">
                        <c:v>0.19795080648526586</c:v>
                      </c:pt>
                      <c:pt idx="4">
                        <c:v>0.19263209112755733</c:v>
                      </c:pt>
                      <c:pt idx="5">
                        <c:v>6.2315723183639371E-3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Mechanism'!$H$56:$H$62</c:f>
              <c:numCache>
                <c:formatCode>0.00</c:formatCode>
                <c:ptCount val="7"/>
                <c:pt idx="0">
                  <c:v>0.19076735926194319</c:v>
                </c:pt>
                <c:pt idx="1">
                  <c:v>0.20305078096578985</c:v>
                </c:pt>
                <c:pt idx="2">
                  <c:v>0.20237722616702095</c:v>
                </c:pt>
                <c:pt idx="3">
                  <c:v>0.20143784801624501</c:v>
                </c:pt>
                <c:pt idx="4">
                  <c:v>0.19602543977759812</c:v>
                </c:pt>
                <c:pt idx="5">
                  <c:v>6.3413458114028676E-3</c:v>
                </c:pt>
                <c:pt idx="6">
                  <c:v>0</c:v>
                </c:pt>
              </c:numCache>
            </c:numRef>
          </c:xVal>
          <c:yVal>
            <c:numRef>
              <c:f>'Yield Mechanism'!$E$56:$E$62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2.6199995195363E-2</c:v>
                </c:pt>
                <c:pt idx="2">
                  <c:v>2.6599712598064821E-2</c:v>
                </c:pt>
                <c:pt idx="3">
                  <c:v>3.3676562727157675E-2</c:v>
                </c:pt>
                <c:pt idx="4">
                  <c:v>5.0996640018404815E-2</c:v>
                </c:pt>
                <c:pt idx="5">
                  <c:v>5.2991834214731082E-2</c:v>
                </c:pt>
                <c:pt idx="6">
                  <c:v>5.5595061081949393E-2</c:v>
                </c:pt>
                <c:pt idx="7">
                  <c:v>7.3984019950715157E-2</c:v>
                </c:pt>
                <c:pt idx="8">
                  <c:v>0.11566887864649333</c:v>
                </c:pt>
                <c:pt idx="9">
                  <c:v>0.19995986072668318</c:v>
                </c:pt>
                <c:pt idx="10">
                  <c:v>0.19995986072668318</c:v>
                </c:pt>
                <c:pt idx="11">
                  <c:v>0.19995986072668318</c:v>
                </c:pt>
                <c:pt idx="12">
                  <c:v>0.19995986072668318</c:v>
                </c:pt>
                <c:pt idx="13">
                  <c:v>0.19995986072668318</c:v>
                </c:pt>
                <c:pt idx="14">
                  <c:v>0.19995986072668318</c:v>
                </c:pt>
                <c:pt idx="15">
                  <c:v>0.19995986072668318</c:v>
                </c:pt>
                <c:pt idx="16">
                  <c:v>0.19995986072668318</c:v>
                </c:pt>
                <c:pt idx="17">
                  <c:v>0.19995986072668318</c:v>
                </c:pt>
                <c:pt idx="18">
                  <c:v>0.19995986072668318</c:v>
                </c:pt>
                <c:pt idx="19">
                  <c:v>0.19995986072668318</c:v>
                </c:pt>
                <c:pt idx="20">
                  <c:v>0.19995986072668318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-596.65348693088583</c:v>
                </c:pt>
                <c:pt idx="2">
                  <c:v>-603.30179215942894</c:v>
                </c:pt>
                <c:pt idx="3">
                  <c:v>-683.08693544139021</c:v>
                </c:pt>
                <c:pt idx="4">
                  <c:v>-820.94350536051127</c:v>
                </c:pt>
                <c:pt idx="5">
                  <c:v>-710.36818550742998</c:v>
                </c:pt>
                <c:pt idx="6">
                  <c:v>-243.37710888610809</c:v>
                </c:pt>
                <c:pt idx="7">
                  <c:v>-246.01670541714887</c:v>
                </c:pt>
                <c:pt idx="8">
                  <c:v>-208.82053587812428</c:v>
                </c:pt>
                <c:pt idx="9">
                  <c:v>-136.56743632304389</c:v>
                </c:pt>
                <c:pt idx="10">
                  <c:v>-136.56743632304389</c:v>
                </c:pt>
                <c:pt idx="11">
                  <c:v>-136.56743632304389</c:v>
                </c:pt>
                <c:pt idx="12">
                  <c:v>-136.56743632304389</c:v>
                </c:pt>
                <c:pt idx="13">
                  <c:v>-136.56743632304389</c:v>
                </c:pt>
                <c:pt idx="14">
                  <c:v>-136.56743632304389</c:v>
                </c:pt>
                <c:pt idx="15">
                  <c:v>-136.56743632304389</c:v>
                </c:pt>
                <c:pt idx="16">
                  <c:v>-136.56743632304389</c:v>
                </c:pt>
                <c:pt idx="17">
                  <c:v>-136.56743632304389</c:v>
                </c:pt>
                <c:pt idx="18">
                  <c:v>-136.56743632304389</c:v>
                </c:pt>
                <c:pt idx="19">
                  <c:v>-136.56743632304389</c:v>
                </c:pt>
                <c:pt idx="20">
                  <c:v>-136.56743632304389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0F-4490-B4CA-4DDDD4E6D715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'[2]Floor Displacements'!$I$4:$I$5702</c:f>
              <c:numCache>
                <c:formatCode>General</c:formatCode>
                <c:ptCount val="5699"/>
                <c:pt idx="0">
                  <c:v>3.7357200000000002E-5</c:v>
                </c:pt>
                <c:pt idx="1">
                  <c:v>7.7357199999999999E-5</c:v>
                </c:pt>
                <c:pt idx="2">
                  <c:v>1.1735699999999999E-4</c:v>
                </c:pt>
                <c:pt idx="3">
                  <c:v>1.57357E-4</c:v>
                </c:pt>
                <c:pt idx="4">
                  <c:v>1.97357E-4</c:v>
                </c:pt>
                <c:pt idx="5">
                  <c:v>2.37357E-4</c:v>
                </c:pt>
                <c:pt idx="6">
                  <c:v>2.7735699999999999E-4</c:v>
                </c:pt>
                <c:pt idx="7">
                  <c:v>3.1735699999999999E-4</c:v>
                </c:pt>
                <c:pt idx="8">
                  <c:v>3.5735699999999999E-4</c:v>
                </c:pt>
                <c:pt idx="9">
                  <c:v>3.9735699999999998E-4</c:v>
                </c:pt>
                <c:pt idx="10">
                  <c:v>4.3735699999999998E-4</c:v>
                </c:pt>
                <c:pt idx="11">
                  <c:v>4.7735699999999998E-4</c:v>
                </c:pt>
                <c:pt idx="12">
                  <c:v>5.1735699999999997E-4</c:v>
                </c:pt>
                <c:pt idx="13">
                  <c:v>5.5735699999999997E-4</c:v>
                </c:pt>
                <c:pt idx="14">
                  <c:v>5.9735699999999997E-4</c:v>
                </c:pt>
                <c:pt idx="15">
                  <c:v>6.3735699999999996E-4</c:v>
                </c:pt>
                <c:pt idx="16">
                  <c:v>6.7735699999999996E-4</c:v>
                </c:pt>
                <c:pt idx="17">
                  <c:v>7.1735699999999996E-4</c:v>
                </c:pt>
                <c:pt idx="18">
                  <c:v>7.5735699999999995E-4</c:v>
                </c:pt>
                <c:pt idx="19">
                  <c:v>7.9735699999999995E-4</c:v>
                </c:pt>
                <c:pt idx="20">
                  <c:v>8.3735700000000005E-4</c:v>
                </c:pt>
                <c:pt idx="21">
                  <c:v>8.7735700000000005E-4</c:v>
                </c:pt>
                <c:pt idx="22">
                  <c:v>9.1735700000000005E-4</c:v>
                </c:pt>
                <c:pt idx="23">
                  <c:v>9.5735700000000004E-4</c:v>
                </c:pt>
                <c:pt idx="24">
                  <c:v>9.9735699999999993E-4</c:v>
                </c:pt>
                <c:pt idx="25">
                  <c:v>1.03736E-3</c:v>
                </c:pt>
                <c:pt idx="26">
                  <c:v>1.0773600000000001E-3</c:v>
                </c:pt>
                <c:pt idx="27">
                  <c:v>1.11736E-3</c:v>
                </c:pt>
                <c:pt idx="28">
                  <c:v>1.1573600000000001E-3</c:v>
                </c:pt>
                <c:pt idx="29">
                  <c:v>1.19736E-3</c:v>
                </c:pt>
                <c:pt idx="30">
                  <c:v>1.2373600000000001E-3</c:v>
                </c:pt>
                <c:pt idx="31">
                  <c:v>1.27736E-3</c:v>
                </c:pt>
                <c:pt idx="32">
                  <c:v>1.3173600000000001E-3</c:v>
                </c:pt>
                <c:pt idx="33">
                  <c:v>1.3573599999999999E-3</c:v>
                </c:pt>
                <c:pt idx="34">
                  <c:v>1.3973600000000001E-3</c:v>
                </c:pt>
                <c:pt idx="35">
                  <c:v>1.4373599999999999E-3</c:v>
                </c:pt>
                <c:pt idx="36">
                  <c:v>1.47736E-3</c:v>
                </c:pt>
                <c:pt idx="37">
                  <c:v>1.5173599999999999E-3</c:v>
                </c:pt>
                <c:pt idx="38">
                  <c:v>1.55736E-3</c:v>
                </c:pt>
                <c:pt idx="39">
                  <c:v>1.5973599999999999E-3</c:v>
                </c:pt>
                <c:pt idx="40">
                  <c:v>1.63736E-3</c:v>
                </c:pt>
                <c:pt idx="41">
                  <c:v>1.6773599999999999E-3</c:v>
                </c:pt>
                <c:pt idx="42">
                  <c:v>1.71736E-3</c:v>
                </c:pt>
                <c:pt idx="43">
                  <c:v>1.7573599999999999E-3</c:v>
                </c:pt>
                <c:pt idx="44">
                  <c:v>1.79736E-3</c:v>
                </c:pt>
                <c:pt idx="45">
                  <c:v>1.8373599999999999E-3</c:v>
                </c:pt>
                <c:pt idx="46">
                  <c:v>1.87736E-3</c:v>
                </c:pt>
                <c:pt idx="47">
                  <c:v>1.9173599999999999E-3</c:v>
                </c:pt>
                <c:pt idx="48">
                  <c:v>1.95736E-3</c:v>
                </c:pt>
                <c:pt idx="49">
                  <c:v>1.9973600000000001E-3</c:v>
                </c:pt>
                <c:pt idx="50">
                  <c:v>2.0373600000000002E-3</c:v>
                </c:pt>
                <c:pt idx="51">
                  <c:v>2.0773599999999999E-3</c:v>
                </c:pt>
                <c:pt idx="52">
                  <c:v>2.11736E-3</c:v>
                </c:pt>
                <c:pt idx="53">
                  <c:v>2.1573600000000001E-3</c:v>
                </c:pt>
                <c:pt idx="54">
                  <c:v>2.1973600000000002E-3</c:v>
                </c:pt>
                <c:pt idx="55">
                  <c:v>2.2373599999999999E-3</c:v>
                </c:pt>
                <c:pt idx="56">
                  <c:v>2.27736E-3</c:v>
                </c:pt>
                <c:pt idx="57">
                  <c:v>2.3173600000000001E-3</c:v>
                </c:pt>
                <c:pt idx="58">
                  <c:v>2.3573600000000002E-3</c:v>
                </c:pt>
                <c:pt idx="59">
                  <c:v>2.3973599999999999E-3</c:v>
                </c:pt>
                <c:pt idx="60">
                  <c:v>2.43736E-3</c:v>
                </c:pt>
                <c:pt idx="61">
                  <c:v>2.4773600000000001E-3</c:v>
                </c:pt>
                <c:pt idx="62">
                  <c:v>2.5173600000000002E-3</c:v>
                </c:pt>
                <c:pt idx="63">
                  <c:v>2.5573599999999998E-3</c:v>
                </c:pt>
                <c:pt idx="64">
                  <c:v>2.5973599999999999E-3</c:v>
                </c:pt>
                <c:pt idx="65">
                  <c:v>2.6373600000000001E-3</c:v>
                </c:pt>
                <c:pt idx="66">
                  <c:v>2.6773600000000002E-3</c:v>
                </c:pt>
                <c:pt idx="67">
                  <c:v>2.7173599999999998E-3</c:v>
                </c:pt>
                <c:pt idx="68">
                  <c:v>2.7573599999999999E-3</c:v>
                </c:pt>
                <c:pt idx="69">
                  <c:v>2.79736E-3</c:v>
                </c:pt>
                <c:pt idx="70">
                  <c:v>2.8373600000000001E-3</c:v>
                </c:pt>
                <c:pt idx="71">
                  <c:v>2.8773599999999998E-3</c:v>
                </c:pt>
                <c:pt idx="72">
                  <c:v>2.9173599999999999E-3</c:v>
                </c:pt>
                <c:pt idx="73">
                  <c:v>2.95736E-3</c:v>
                </c:pt>
                <c:pt idx="74">
                  <c:v>2.9973600000000001E-3</c:v>
                </c:pt>
                <c:pt idx="75">
                  <c:v>3.0373599999999998E-3</c:v>
                </c:pt>
                <c:pt idx="76">
                  <c:v>3.0773599999999999E-3</c:v>
                </c:pt>
                <c:pt idx="77">
                  <c:v>3.11736E-3</c:v>
                </c:pt>
                <c:pt idx="78">
                  <c:v>3.1573600000000001E-3</c:v>
                </c:pt>
                <c:pt idx="79">
                  <c:v>3.1973599999999998E-3</c:v>
                </c:pt>
                <c:pt idx="80">
                  <c:v>3.2373599999999999E-3</c:v>
                </c:pt>
                <c:pt idx="81">
                  <c:v>3.27736E-3</c:v>
                </c:pt>
                <c:pt idx="82">
                  <c:v>3.3173600000000001E-3</c:v>
                </c:pt>
                <c:pt idx="83">
                  <c:v>3.3573600000000002E-3</c:v>
                </c:pt>
                <c:pt idx="84">
                  <c:v>3.3973599999999999E-3</c:v>
                </c:pt>
                <c:pt idx="85">
                  <c:v>3.43736E-3</c:v>
                </c:pt>
                <c:pt idx="86">
                  <c:v>3.4773600000000001E-3</c:v>
                </c:pt>
                <c:pt idx="87">
                  <c:v>3.5173600000000002E-3</c:v>
                </c:pt>
                <c:pt idx="88">
                  <c:v>3.5573599999999999E-3</c:v>
                </c:pt>
                <c:pt idx="89">
                  <c:v>3.59736E-3</c:v>
                </c:pt>
                <c:pt idx="90">
                  <c:v>3.6373600000000001E-3</c:v>
                </c:pt>
                <c:pt idx="91">
                  <c:v>3.6773600000000002E-3</c:v>
                </c:pt>
                <c:pt idx="92">
                  <c:v>3.7173599999999998E-3</c:v>
                </c:pt>
                <c:pt idx="93">
                  <c:v>3.75736E-3</c:v>
                </c:pt>
                <c:pt idx="94">
                  <c:v>3.7973600000000001E-3</c:v>
                </c:pt>
                <c:pt idx="95">
                  <c:v>3.8373600000000002E-3</c:v>
                </c:pt>
                <c:pt idx="96">
                  <c:v>3.8773599999999998E-3</c:v>
                </c:pt>
                <c:pt idx="97">
                  <c:v>3.9173599999999999E-3</c:v>
                </c:pt>
                <c:pt idx="98">
                  <c:v>3.95736E-3</c:v>
                </c:pt>
                <c:pt idx="99">
                  <c:v>3.9973600000000001E-3</c:v>
                </c:pt>
                <c:pt idx="100">
                  <c:v>4.0373600000000003E-3</c:v>
                </c:pt>
                <c:pt idx="101">
                  <c:v>4.0773600000000004E-3</c:v>
                </c:pt>
                <c:pt idx="102">
                  <c:v>4.1173599999999996E-3</c:v>
                </c:pt>
                <c:pt idx="103">
                  <c:v>4.1573599999999997E-3</c:v>
                </c:pt>
                <c:pt idx="104">
                  <c:v>4.1973599999999998E-3</c:v>
                </c:pt>
                <c:pt idx="105">
                  <c:v>4.2373599999999999E-3</c:v>
                </c:pt>
                <c:pt idx="106">
                  <c:v>4.27736E-3</c:v>
                </c:pt>
                <c:pt idx="107">
                  <c:v>4.3173600000000001E-3</c:v>
                </c:pt>
                <c:pt idx="108">
                  <c:v>4.3573600000000002E-3</c:v>
                </c:pt>
                <c:pt idx="109">
                  <c:v>4.3973600000000003E-3</c:v>
                </c:pt>
                <c:pt idx="110">
                  <c:v>4.4373599999999996E-3</c:v>
                </c:pt>
                <c:pt idx="111">
                  <c:v>4.4773599999999997E-3</c:v>
                </c:pt>
                <c:pt idx="112">
                  <c:v>4.5173599999999998E-3</c:v>
                </c:pt>
                <c:pt idx="113">
                  <c:v>4.5573599999999999E-3</c:v>
                </c:pt>
                <c:pt idx="114">
                  <c:v>4.59736E-3</c:v>
                </c:pt>
                <c:pt idx="115">
                  <c:v>4.6373600000000001E-3</c:v>
                </c:pt>
                <c:pt idx="116">
                  <c:v>4.6773600000000002E-3</c:v>
                </c:pt>
                <c:pt idx="117">
                  <c:v>4.7173600000000003E-3</c:v>
                </c:pt>
                <c:pt idx="118">
                  <c:v>4.7573600000000004E-3</c:v>
                </c:pt>
                <c:pt idx="119">
                  <c:v>4.7973599999999996E-3</c:v>
                </c:pt>
                <c:pt idx="120">
                  <c:v>4.8373599999999998E-3</c:v>
                </c:pt>
                <c:pt idx="121">
                  <c:v>4.8773599999999999E-3</c:v>
                </c:pt>
                <c:pt idx="122">
                  <c:v>4.91736E-3</c:v>
                </c:pt>
                <c:pt idx="123">
                  <c:v>4.9573600000000001E-3</c:v>
                </c:pt>
                <c:pt idx="124">
                  <c:v>4.9973600000000002E-3</c:v>
                </c:pt>
                <c:pt idx="125">
                  <c:v>5.0373600000000003E-3</c:v>
                </c:pt>
                <c:pt idx="126">
                  <c:v>5.0773600000000004E-3</c:v>
                </c:pt>
                <c:pt idx="127">
                  <c:v>5.1173599999999996E-3</c:v>
                </c:pt>
                <c:pt idx="128">
                  <c:v>5.1573599999999997E-3</c:v>
                </c:pt>
                <c:pt idx="129">
                  <c:v>5.1973599999999998E-3</c:v>
                </c:pt>
                <c:pt idx="130">
                  <c:v>5.2373599999999999E-3</c:v>
                </c:pt>
                <c:pt idx="131">
                  <c:v>5.27736E-3</c:v>
                </c:pt>
                <c:pt idx="132">
                  <c:v>5.3173600000000001E-3</c:v>
                </c:pt>
                <c:pt idx="133">
                  <c:v>5.3573600000000002E-3</c:v>
                </c:pt>
                <c:pt idx="134">
                  <c:v>5.3973600000000004E-3</c:v>
                </c:pt>
                <c:pt idx="135">
                  <c:v>5.4373599999999996E-3</c:v>
                </c:pt>
                <c:pt idx="136">
                  <c:v>5.4773599999999997E-3</c:v>
                </c:pt>
                <c:pt idx="137">
                  <c:v>5.5173599999999998E-3</c:v>
                </c:pt>
                <c:pt idx="138">
                  <c:v>5.5573599999999999E-3</c:v>
                </c:pt>
                <c:pt idx="139">
                  <c:v>5.59736E-3</c:v>
                </c:pt>
                <c:pt idx="140">
                  <c:v>5.6373600000000001E-3</c:v>
                </c:pt>
                <c:pt idx="141">
                  <c:v>5.6773600000000002E-3</c:v>
                </c:pt>
                <c:pt idx="142">
                  <c:v>5.7173600000000003E-3</c:v>
                </c:pt>
                <c:pt idx="143">
                  <c:v>5.7573600000000004E-3</c:v>
                </c:pt>
                <c:pt idx="144">
                  <c:v>5.7973599999999997E-3</c:v>
                </c:pt>
                <c:pt idx="145">
                  <c:v>5.8373599999999998E-3</c:v>
                </c:pt>
                <c:pt idx="146">
                  <c:v>5.8773599999999999E-3</c:v>
                </c:pt>
                <c:pt idx="147">
                  <c:v>5.91736E-3</c:v>
                </c:pt>
                <c:pt idx="148">
                  <c:v>5.9573600000000001E-3</c:v>
                </c:pt>
                <c:pt idx="149">
                  <c:v>5.9973600000000002E-3</c:v>
                </c:pt>
                <c:pt idx="150">
                  <c:v>6.0373600000000003E-3</c:v>
                </c:pt>
                <c:pt idx="151">
                  <c:v>6.0773600000000004E-3</c:v>
                </c:pt>
                <c:pt idx="152">
                  <c:v>6.1173599999999996E-3</c:v>
                </c:pt>
                <c:pt idx="153">
                  <c:v>6.1573599999999997E-3</c:v>
                </c:pt>
                <c:pt idx="154">
                  <c:v>6.1973599999999998E-3</c:v>
                </c:pt>
                <c:pt idx="155">
                  <c:v>6.23736E-3</c:v>
                </c:pt>
                <c:pt idx="156">
                  <c:v>6.2773600000000001E-3</c:v>
                </c:pt>
                <c:pt idx="157">
                  <c:v>6.3173600000000002E-3</c:v>
                </c:pt>
                <c:pt idx="158">
                  <c:v>6.3573600000000003E-3</c:v>
                </c:pt>
                <c:pt idx="159">
                  <c:v>6.3973600000000004E-3</c:v>
                </c:pt>
                <c:pt idx="160">
                  <c:v>6.4373599999999996E-3</c:v>
                </c:pt>
                <c:pt idx="161">
                  <c:v>6.4773599999999997E-3</c:v>
                </c:pt>
                <c:pt idx="162">
                  <c:v>6.5173599999999998E-3</c:v>
                </c:pt>
                <c:pt idx="163">
                  <c:v>6.5573599999999999E-3</c:v>
                </c:pt>
                <c:pt idx="164">
                  <c:v>6.59736E-3</c:v>
                </c:pt>
                <c:pt idx="165">
                  <c:v>6.6373600000000001E-3</c:v>
                </c:pt>
                <c:pt idx="166">
                  <c:v>6.6773600000000002E-3</c:v>
                </c:pt>
                <c:pt idx="167">
                  <c:v>6.7173600000000003E-3</c:v>
                </c:pt>
                <c:pt idx="168">
                  <c:v>6.7573599999999996E-3</c:v>
                </c:pt>
                <c:pt idx="169">
                  <c:v>6.7973599999999997E-3</c:v>
                </c:pt>
                <c:pt idx="170">
                  <c:v>6.8373599999999998E-3</c:v>
                </c:pt>
                <c:pt idx="171">
                  <c:v>6.8773599999999999E-3</c:v>
                </c:pt>
                <c:pt idx="172">
                  <c:v>6.91736E-3</c:v>
                </c:pt>
                <c:pt idx="173">
                  <c:v>6.9573600000000001E-3</c:v>
                </c:pt>
                <c:pt idx="174">
                  <c:v>6.9973600000000002E-3</c:v>
                </c:pt>
                <c:pt idx="175">
                  <c:v>7.0373600000000003E-3</c:v>
                </c:pt>
                <c:pt idx="176">
                  <c:v>7.0773600000000004E-3</c:v>
                </c:pt>
                <c:pt idx="177">
                  <c:v>7.1173599999999997E-3</c:v>
                </c:pt>
                <c:pt idx="178">
                  <c:v>7.1573599999999998E-3</c:v>
                </c:pt>
                <c:pt idx="179">
                  <c:v>7.1973599999999999E-3</c:v>
                </c:pt>
                <c:pt idx="180">
                  <c:v>7.23736E-3</c:v>
                </c:pt>
                <c:pt idx="181">
                  <c:v>7.2773600000000001E-3</c:v>
                </c:pt>
                <c:pt idx="182">
                  <c:v>7.3173600000000002E-3</c:v>
                </c:pt>
                <c:pt idx="183">
                  <c:v>7.3573600000000003E-3</c:v>
                </c:pt>
                <c:pt idx="184">
                  <c:v>7.3973600000000004E-3</c:v>
                </c:pt>
                <c:pt idx="185">
                  <c:v>7.4373599999999996E-3</c:v>
                </c:pt>
                <c:pt idx="186">
                  <c:v>7.4773599999999997E-3</c:v>
                </c:pt>
                <c:pt idx="187">
                  <c:v>7.5173599999999998E-3</c:v>
                </c:pt>
                <c:pt idx="188">
                  <c:v>7.5573599999999999E-3</c:v>
                </c:pt>
                <c:pt idx="189">
                  <c:v>7.5973600000000001E-3</c:v>
                </c:pt>
                <c:pt idx="190">
                  <c:v>7.6373600000000002E-3</c:v>
                </c:pt>
                <c:pt idx="191">
                  <c:v>7.6773600000000003E-3</c:v>
                </c:pt>
                <c:pt idx="192">
                  <c:v>7.7173600000000004E-3</c:v>
                </c:pt>
                <c:pt idx="193">
                  <c:v>7.7573599999999996E-3</c:v>
                </c:pt>
                <c:pt idx="194">
                  <c:v>7.7973599999999997E-3</c:v>
                </c:pt>
                <c:pt idx="195">
                  <c:v>7.8373599999999998E-3</c:v>
                </c:pt>
                <c:pt idx="196">
                  <c:v>7.8773599999999999E-3</c:v>
                </c:pt>
                <c:pt idx="197">
                  <c:v>7.91736E-3</c:v>
                </c:pt>
                <c:pt idx="198">
                  <c:v>7.9573600000000001E-3</c:v>
                </c:pt>
                <c:pt idx="199">
                  <c:v>7.9973600000000002E-3</c:v>
                </c:pt>
                <c:pt idx="200">
                  <c:v>8.0373600000000003E-3</c:v>
                </c:pt>
                <c:pt idx="201">
                  <c:v>8.0773600000000004E-3</c:v>
                </c:pt>
                <c:pt idx="202">
                  <c:v>8.1173600000000005E-3</c:v>
                </c:pt>
                <c:pt idx="203">
                  <c:v>8.1573600000000007E-3</c:v>
                </c:pt>
                <c:pt idx="204">
                  <c:v>8.1973600000000008E-3</c:v>
                </c:pt>
                <c:pt idx="205">
                  <c:v>8.2373600000000009E-3</c:v>
                </c:pt>
                <c:pt idx="206">
                  <c:v>8.2773599999999992E-3</c:v>
                </c:pt>
                <c:pt idx="207">
                  <c:v>8.3173599999999993E-3</c:v>
                </c:pt>
                <c:pt idx="208">
                  <c:v>8.3573599999999994E-3</c:v>
                </c:pt>
                <c:pt idx="209">
                  <c:v>8.3973599999999995E-3</c:v>
                </c:pt>
                <c:pt idx="210">
                  <c:v>8.4373599999999997E-3</c:v>
                </c:pt>
                <c:pt idx="211">
                  <c:v>8.4773599999999998E-3</c:v>
                </c:pt>
                <c:pt idx="212">
                  <c:v>8.5173599999999999E-3</c:v>
                </c:pt>
                <c:pt idx="213">
                  <c:v>8.55736E-3</c:v>
                </c:pt>
                <c:pt idx="214">
                  <c:v>8.5973600000000001E-3</c:v>
                </c:pt>
                <c:pt idx="215">
                  <c:v>8.6373600000000002E-3</c:v>
                </c:pt>
                <c:pt idx="216">
                  <c:v>8.6773600000000003E-3</c:v>
                </c:pt>
                <c:pt idx="217">
                  <c:v>8.7173600000000004E-3</c:v>
                </c:pt>
                <c:pt idx="218">
                  <c:v>8.7573600000000005E-3</c:v>
                </c:pt>
                <c:pt idx="219">
                  <c:v>8.7973600000000006E-3</c:v>
                </c:pt>
                <c:pt idx="220">
                  <c:v>8.8373600000000007E-3</c:v>
                </c:pt>
                <c:pt idx="221">
                  <c:v>8.8773600000000008E-3</c:v>
                </c:pt>
                <c:pt idx="222">
                  <c:v>8.9173599999999992E-3</c:v>
                </c:pt>
                <c:pt idx="223">
                  <c:v>8.9573599999999993E-3</c:v>
                </c:pt>
                <c:pt idx="224">
                  <c:v>8.9973599999999994E-3</c:v>
                </c:pt>
                <c:pt idx="225">
                  <c:v>9.0373599999999995E-3</c:v>
                </c:pt>
                <c:pt idx="226">
                  <c:v>9.0773599999999996E-3</c:v>
                </c:pt>
                <c:pt idx="227">
                  <c:v>9.1173599999999997E-3</c:v>
                </c:pt>
                <c:pt idx="228">
                  <c:v>9.1573599999999998E-3</c:v>
                </c:pt>
                <c:pt idx="229">
                  <c:v>9.1973599999999999E-3</c:v>
                </c:pt>
                <c:pt idx="230">
                  <c:v>9.23736E-3</c:v>
                </c:pt>
                <c:pt idx="231">
                  <c:v>9.2773600000000001E-3</c:v>
                </c:pt>
                <c:pt idx="232">
                  <c:v>9.3173600000000002E-3</c:v>
                </c:pt>
                <c:pt idx="233">
                  <c:v>9.3573600000000003E-3</c:v>
                </c:pt>
                <c:pt idx="234">
                  <c:v>9.3973600000000004E-3</c:v>
                </c:pt>
                <c:pt idx="235">
                  <c:v>9.4373600000000005E-3</c:v>
                </c:pt>
                <c:pt idx="236">
                  <c:v>9.4773600000000006E-3</c:v>
                </c:pt>
                <c:pt idx="237">
                  <c:v>9.5173600000000007E-3</c:v>
                </c:pt>
                <c:pt idx="238">
                  <c:v>9.5573600000000009E-3</c:v>
                </c:pt>
                <c:pt idx="239">
                  <c:v>9.5973599999999992E-3</c:v>
                </c:pt>
                <c:pt idx="240">
                  <c:v>9.6373599999999993E-3</c:v>
                </c:pt>
                <c:pt idx="241">
                  <c:v>9.6773599999999994E-3</c:v>
                </c:pt>
                <c:pt idx="242">
                  <c:v>9.7173599999999995E-3</c:v>
                </c:pt>
                <c:pt idx="243">
                  <c:v>9.7573599999999996E-3</c:v>
                </c:pt>
                <c:pt idx="244">
                  <c:v>9.7973599999999997E-3</c:v>
                </c:pt>
                <c:pt idx="245">
                  <c:v>9.8373599999999999E-3</c:v>
                </c:pt>
                <c:pt idx="246">
                  <c:v>9.87736E-3</c:v>
                </c:pt>
                <c:pt idx="247">
                  <c:v>9.9173600000000001E-3</c:v>
                </c:pt>
                <c:pt idx="248">
                  <c:v>9.9573600000000002E-3</c:v>
                </c:pt>
                <c:pt idx="249">
                  <c:v>9.9973600000000003E-3</c:v>
                </c:pt>
                <c:pt idx="250">
                  <c:v>1.00374E-2</c:v>
                </c:pt>
                <c:pt idx="251">
                  <c:v>1.00774E-2</c:v>
                </c:pt>
                <c:pt idx="252">
                  <c:v>1.01174E-2</c:v>
                </c:pt>
                <c:pt idx="253">
                  <c:v>1.01574E-2</c:v>
                </c:pt>
                <c:pt idx="254">
                  <c:v>1.0197400000000001E-2</c:v>
                </c:pt>
                <c:pt idx="255">
                  <c:v>1.0237400000000001E-2</c:v>
                </c:pt>
                <c:pt idx="256">
                  <c:v>1.0277400000000001E-2</c:v>
                </c:pt>
                <c:pt idx="257">
                  <c:v>1.0317399999999999E-2</c:v>
                </c:pt>
                <c:pt idx="258">
                  <c:v>1.0357399999999999E-2</c:v>
                </c:pt>
                <c:pt idx="259">
                  <c:v>1.0397399999999999E-2</c:v>
                </c:pt>
                <c:pt idx="260">
                  <c:v>1.0437399999999999E-2</c:v>
                </c:pt>
                <c:pt idx="261">
                  <c:v>1.04774E-2</c:v>
                </c:pt>
                <c:pt idx="262">
                  <c:v>1.05174E-2</c:v>
                </c:pt>
                <c:pt idx="263">
                  <c:v>1.05574E-2</c:v>
                </c:pt>
                <c:pt idx="264">
                  <c:v>1.05974E-2</c:v>
                </c:pt>
                <c:pt idx="265">
                  <c:v>1.06374E-2</c:v>
                </c:pt>
                <c:pt idx="266">
                  <c:v>1.06774E-2</c:v>
                </c:pt>
                <c:pt idx="267">
                  <c:v>1.07174E-2</c:v>
                </c:pt>
                <c:pt idx="268">
                  <c:v>1.07574E-2</c:v>
                </c:pt>
                <c:pt idx="269">
                  <c:v>1.07974E-2</c:v>
                </c:pt>
                <c:pt idx="270">
                  <c:v>1.0837400000000001E-2</c:v>
                </c:pt>
                <c:pt idx="271">
                  <c:v>1.0877400000000001E-2</c:v>
                </c:pt>
                <c:pt idx="272">
                  <c:v>1.0917400000000001E-2</c:v>
                </c:pt>
                <c:pt idx="273">
                  <c:v>1.0957400000000001E-2</c:v>
                </c:pt>
                <c:pt idx="274">
                  <c:v>1.0997399999999999E-2</c:v>
                </c:pt>
                <c:pt idx="275">
                  <c:v>1.1037399999999999E-2</c:v>
                </c:pt>
                <c:pt idx="276">
                  <c:v>1.1077399999999999E-2</c:v>
                </c:pt>
                <c:pt idx="277">
                  <c:v>1.11174E-2</c:v>
                </c:pt>
                <c:pt idx="278">
                  <c:v>1.11574E-2</c:v>
                </c:pt>
                <c:pt idx="279">
                  <c:v>1.11974E-2</c:v>
                </c:pt>
                <c:pt idx="280">
                  <c:v>1.12374E-2</c:v>
                </c:pt>
                <c:pt idx="281">
                  <c:v>1.12774E-2</c:v>
                </c:pt>
                <c:pt idx="282">
                  <c:v>1.13174E-2</c:v>
                </c:pt>
                <c:pt idx="283">
                  <c:v>1.13574E-2</c:v>
                </c:pt>
                <c:pt idx="284">
                  <c:v>1.13974E-2</c:v>
                </c:pt>
                <c:pt idx="285">
                  <c:v>1.14374E-2</c:v>
                </c:pt>
                <c:pt idx="286">
                  <c:v>1.14774E-2</c:v>
                </c:pt>
                <c:pt idx="287">
                  <c:v>1.1517400000000001E-2</c:v>
                </c:pt>
                <c:pt idx="288">
                  <c:v>1.1557400000000001E-2</c:v>
                </c:pt>
                <c:pt idx="289">
                  <c:v>1.1597400000000001E-2</c:v>
                </c:pt>
                <c:pt idx="290">
                  <c:v>1.1637399999999999E-2</c:v>
                </c:pt>
                <c:pt idx="291">
                  <c:v>1.1677399999999999E-2</c:v>
                </c:pt>
                <c:pt idx="292">
                  <c:v>1.1717399999999999E-2</c:v>
                </c:pt>
                <c:pt idx="293">
                  <c:v>1.1757399999999999E-2</c:v>
                </c:pt>
                <c:pt idx="294">
                  <c:v>1.17974E-2</c:v>
                </c:pt>
                <c:pt idx="295">
                  <c:v>1.18374E-2</c:v>
                </c:pt>
                <c:pt idx="296">
                  <c:v>1.18774E-2</c:v>
                </c:pt>
                <c:pt idx="297">
                  <c:v>1.19174E-2</c:v>
                </c:pt>
                <c:pt idx="298">
                  <c:v>1.19574E-2</c:v>
                </c:pt>
                <c:pt idx="299">
                  <c:v>1.19974E-2</c:v>
                </c:pt>
                <c:pt idx="300">
                  <c:v>1.20374E-2</c:v>
                </c:pt>
                <c:pt idx="301">
                  <c:v>1.20774E-2</c:v>
                </c:pt>
                <c:pt idx="302">
                  <c:v>1.21174E-2</c:v>
                </c:pt>
                <c:pt idx="303">
                  <c:v>1.21574E-2</c:v>
                </c:pt>
                <c:pt idx="304">
                  <c:v>1.2197400000000001E-2</c:v>
                </c:pt>
                <c:pt idx="305">
                  <c:v>1.2237400000000001E-2</c:v>
                </c:pt>
                <c:pt idx="306">
                  <c:v>1.2277400000000001E-2</c:v>
                </c:pt>
                <c:pt idx="307">
                  <c:v>1.2317399999999999E-2</c:v>
                </c:pt>
                <c:pt idx="308">
                  <c:v>1.2357399999999999E-2</c:v>
                </c:pt>
                <c:pt idx="309">
                  <c:v>1.2397399999999999E-2</c:v>
                </c:pt>
                <c:pt idx="310">
                  <c:v>1.2437399999999999E-2</c:v>
                </c:pt>
                <c:pt idx="311">
                  <c:v>1.24774E-2</c:v>
                </c:pt>
                <c:pt idx="312">
                  <c:v>1.25174E-2</c:v>
                </c:pt>
                <c:pt idx="313">
                  <c:v>1.25574E-2</c:v>
                </c:pt>
                <c:pt idx="314">
                  <c:v>1.25974E-2</c:v>
                </c:pt>
                <c:pt idx="315">
                  <c:v>1.26374E-2</c:v>
                </c:pt>
                <c:pt idx="316">
                  <c:v>1.26774E-2</c:v>
                </c:pt>
                <c:pt idx="317">
                  <c:v>1.27174E-2</c:v>
                </c:pt>
                <c:pt idx="318">
                  <c:v>1.27574E-2</c:v>
                </c:pt>
                <c:pt idx="319">
                  <c:v>1.27974E-2</c:v>
                </c:pt>
                <c:pt idx="320">
                  <c:v>1.2837400000000001E-2</c:v>
                </c:pt>
                <c:pt idx="321">
                  <c:v>1.2877400000000001E-2</c:v>
                </c:pt>
                <c:pt idx="322">
                  <c:v>1.2917400000000001E-2</c:v>
                </c:pt>
                <c:pt idx="323">
                  <c:v>1.2957400000000001E-2</c:v>
                </c:pt>
                <c:pt idx="324">
                  <c:v>1.2997399999999999E-2</c:v>
                </c:pt>
                <c:pt idx="325">
                  <c:v>1.3037399999999999E-2</c:v>
                </c:pt>
                <c:pt idx="326">
                  <c:v>1.3077399999999999E-2</c:v>
                </c:pt>
                <c:pt idx="327">
                  <c:v>1.31174E-2</c:v>
                </c:pt>
                <c:pt idx="328">
                  <c:v>1.31574E-2</c:v>
                </c:pt>
                <c:pt idx="329">
                  <c:v>1.31974E-2</c:v>
                </c:pt>
                <c:pt idx="330">
                  <c:v>1.32374E-2</c:v>
                </c:pt>
                <c:pt idx="331">
                  <c:v>1.32774E-2</c:v>
                </c:pt>
                <c:pt idx="332">
                  <c:v>1.33174E-2</c:v>
                </c:pt>
                <c:pt idx="333">
                  <c:v>1.33574E-2</c:v>
                </c:pt>
                <c:pt idx="334">
                  <c:v>1.33974E-2</c:v>
                </c:pt>
                <c:pt idx="335">
                  <c:v>1.34374E-2</c:v>
                </c:pt>
                <c:pt idx="336">
                  <c:v>1.34774E-2</c:v>
                </c:pt>
                <c:pt idx="337">
                  <c:v>1.3517400000000001E-2</c:v>
                </c:pt>
                <c:pt idx="338">
                  <c:v>1.3557400000000001E-2</c:v>
                </c:pt>
                <c:pt idx="339">
                  <c:v>1.3597400000000001E-2</c:v>
                </c:pt>
                <c:pt idx="340">
                  <c:v>1.3637399999999999E-2</c:v>
                </c:pt>
                <c:pt idx="341">
                  <c:v>1.3677399999999999E-2</c:v>
                </c:pt>
                <c:pt idx="342">
                  <c:v>1.3717399999999999E-2</c:v>
                </c:pt>
                <c:pt idx="343">
                  <c:v>1.3757399999999999E-2</c:v>
                </c:pt>
                <c:pt idx="344">
                  <c:v>1.37974E-2</c:v>
                </c:pt>
                <c:pt idx="345">
                  <c:v>1.38374E-2</c:v>
                </c:pt>
                <c:pt idx="346">
                  <c:v>1.38774E-2</c:v>
                </c:pt>
                <c:pt idx="347">
                  <c:v>1.39174E-2</c:v>
                </c:pt>
                <c:pt idx="348">
                  <c:v>1.39574E-2</c:v>
                </c:pt>
                <c:pt idx="349">
                  <c:v>1.39974E-2</c:v>
                </c:pt>
                <c:pt idx="350">
                  <c:v>1.40374E-2</c:v>
                </c:pt>
                <c:pt idx="351">
                  <c:v>1.40774E-2</c:v>
                </c:pt>
                <c:pt idx="352">
                  <c:v>1.41174E-2</c:v>
                </c:pt>
                <c:pt idx="353">
                  <c:v>1.4157400000000001E-2</c:v>
                </c:pt>
                <c:pt idx="354">
                  <c:v>1.4197400000000001E-2</c:v>
                </c:pt>
                <c:pt idx="355">
                  <c:v>1.4237400000000001E-2</c:v>
                </c:pt>
                <c:pt idx="356">
                  <c:v>1.4277400000000001E-2</c:v>
                </c:pt>
                <c:pt idx="357">
                  <c:v>1.4317399999999999E-2</c:v>
                </c:pt>
                <c:pt idx="358">
                  <c:v>1.4357399999999999E-2</c:v>
                </c:pt>
                <c:pt idx="359">
                  <c:v>1.4397399999999999E-2</c:v>
                </c:pt>
                <c:pt idx="360">
                  <c:v>1.44374E-2</c:v>
                </c:pt>
                <c:pt idx="361">
                  <c:v>1.44774E-2</c:v>
                </c:pt>
                <c:pt idx="362">
                  <c:v>1.45174E-2</c:v>
                </c:pt>
                <c:pt idx="363">
                  <c:v>1.45574E-2</c:v>
                </c:pt>
                <c:pt idx="364">
                  <c:v>1.45974E-2</c:v>
                </c:pt>
                <c:pt idx="365">
                  <c:v>1.46374E-2</c:v>
                </c:pt>
                <c:pt idx="366">
                  <c:v>1.46774E-2</c:v>
                </c:pt>
                <c:pt idx="367">
                  <c:v>1.47174E-2</c:v>
                </c:pt>
                <c:pt idx="368">
                  <c:v>1.47574E-2</c:v>
                </c:pt>
                <c:pt idx="369">
                  <c:v>1.47974E-2</c:v>
                </c:pt>
                <c:pt idx="370">
                  <c:v>1.4837400000000001E-2</c:v>
                </c:pt>
                <c:pt idx="371">
                  <c:v>1.4877400000000001E-2</c:v>
                </c:pt>
                <c:pt idx="372">
                  <c:v>1.4917400000000001E-2</c:v>
                </c:pt>
                <c:pt idx="373">
                  <c:v>1.4957399999999999E-2</c:v>
                </c:pt>
                <c:pt idx="374">
                  <c:v>1.4997399999999999E-2</c:v>
                </c:pt>
                <c:pt idx="375">
                  <c:v>1.5037399999999999E-2</c:v>
                </c:pt>
                <c:pt idx="376">
                  <c:v>1.5077399999999999E-2</c:v>
                </c:pt>
                <c:pt idx="377">
                  <c:v>1.51174E-2</c:v>
                </c:pt>
                <c:pt idx="378">
                  <c:v>1.51574E-2</c:v>
                </c:pt>
                <c:pt idx="379">
                  <c:v>1.51974E-2</c:v>
                </c:pt>
                <c:pt idx="380">
                  <c:v>1.52374E-2</c:v>
                </c:pt>
                <c:pt idx="381">
                  <c:v>1.52774E-2</c:v>
                </c:pt>
                <c:pt idx="382">
                  <c:v>1.53174E-2</c:v>
                </c:pt>
                <c:pt idx="383">
                  <c:v>1.53574E-2</c:v>
                </c:pt>
                <c:pt idx="384">
                  <c:v>1.53974E-2</c:v>
                </c:pt>
                <c:pt idx="385">
                  <c:v>1.54374E-2</c:v>
                </c:pt>
                <c:pt idx="386">
                  <c:v>1.5477400000000001E-2</c:v>
                </c:pt>
                <c:pt idx="387">
                  <c:v>1.5517400000000001E-2</c:v>
                </c:pt>
                <c:pt idx="388">
                  <c:v>1.5557400000000001E-2</c:v>
                </c:pt>
                <c:pt idx="389">
                  <c:v>1.5597400000000001E-2</c:v>
                </c:pt>
                <c:pt idx="390">
                  <c:v>1.5637399999999999E-2</c:v>
                </c:pt>
                <c:pt idx="391">
                  <c:v>1.5677400000000001E-2</c:v>
                </c:pt>
                <c:pt idx="392">
                  <c:v>1.5717399999999999E-2</c:v>
                </c:pt>
                <c:pt idx="393">
                  <c:v>1.5757400000000001E-2</c:v>
                </c:pt>
                <c:pt idx="394">
                  <c:v>1.57974E-2</c:v>
                </c:pt>
                <c:pt idx="395">
                  <c:v>1.5837400000000001E-2</c:v>
                </c:pt>
                <c:pt idx="396">
                  <c:v>1.58774E-2</c:v>
                </c:pt>
                <c:pt idx="397">
                  <c:v>1.5917400000000002E-2</c:v>
                </c:pt>
                <c:pt idx="398">
                  <c:v>1.59574E-2</c:v>
                </c:pt>
                <c:pt idx="399">
                  <c:v>1.5997399999999998E-2</c:v>
                </c:pt>
                <c:pt idx="400">
                  <c:v>1.60374E-2</c:v>
                </c:pt>
                <c:pt idx="401">
                  <c:v>1.6077399999999999E-2</c:v>
                </c:pt>
                <c:pt idx="402">
                  <c:v>1.61174E-2</c:v>
                </c:pt>
                <c:pt idx="403">
                  <c:v>1.6157399999999999E-2</c:v>
                </c:pt>
                <c:pt idx="404">
                  <c:v>1.6197400000000001E-2</c:v>
                </c:pt>
                <c:pt idx="405">
                  <c:v>1.6237399999999999E-2</c:v>
                </c:pt>
                <c:pt idx="406">
                  <c:v>1.6277400000000001E-2</c:v>
                </c:pt>
                <c:pt idx="407">
                  <c:v>1.6317399999999999E-2</c:v>
                </c:pt>
                <c:pt idx="408">
                  <c:v>1.6357400000000001E-2</c:v>
                </c:pt>
                <c:pt idx="409">
                  <c:v>1.6397399999999999E-2</c:v>
                </c:pt>
                <c:pt idx="410">
                  <c:v>1.6437400000000001E-2</c:v>
                </c:pt>
                <c:pt idx="411">
                  <c:v>1.64774E-2</c:v>
                </c:pt>
                <c:pt idx="412">
                  <c:v>1.6517400000000002E-2</c:v>
                </c:pt>
                <c:pt idx="413">
                  <c:v>1.65574E-2</c:v>
                </c:pt>
                <c:pt idx="414">
                  <c:v>1.6597399999999998E-2</c:v>
                </c:pt>
                <c:pt idx="415">
                  <c:v>1.66374E-2</c:v>
                </c:pt>
                <c:pt idx="416">
                  <c:v>1.6677399999999998E-2</c:v>
                </c:pt>
                <c:pt idx="417">
                  <c:v>1.67174E-2</c:v>
                </c:pt>
                <c:pt idx="418">
                  <c:v>1.6757399999999999E-2</c:v>
                </c:pt>
                <c:pt idx="419">
                  <c:v>1.6797400000000001E-2</c:v>
                </c:pt>
                <c:pt idx="420">
                  <c:v>1.6837399999999999E-2</c:v>
                </c:pt>
                <c:pt idx="421">
                  <c:v>1.6877400000000001E-2</c:v>
                </c:pt>
                <c:pt idx="422">
                  <c:v>1.6917399999999999E-2</c:v>
                </c:pt>
                <c:pt idx="423">
                  <c:v>1.6957400000000001E-2</c:v>
                </c:pt>
                <c:pt idx="424">
                  <c:v>1.6997399999999999E-2</c:v>
                </c:pt>
                <c:pt idx="425">
                  <c:v>1.7037400000000001E-2</c:v>
                </c:pt>
                <c:pt idx="426">
                  <c:v>1.70774E-2</c:v>
                </c:pt>
                <c:pt idx="427">
                  <c:v>1.7117400000000001E-2</c:v>
                </c:pt>
                <c:pt idx="428">
                  <c:v>1.71574E-2</c:v>
                </c:pt>
                <c:pt idx="429">
                  <c:v>1.7197400000000002E-2</c:v>
                </c:pt>
                <c:pt idx="430">
                  <c:v>1.72374E-2</c:v>
                </c:pt>
                <c:pt idx="431">
                  <c:v>1.7277399999999998E-2</c:v>
                </c:pt>
                <c:pt idx="432">
                  <c:v>1.73174E-2</c:v>
                </c:pt>
                <c:pt idx="433">
                  <c:v>1.7357399999999999E-2</c:v>
                </c:pt>
                <c:pt idx="434">
                  <c:v>1.73974E-2</c:v>
                </c:pt>
                <c:pt idx="435">
                  <c:v>1.7437399999999999E-2</c:v>
                </c:pt>
                <c:pt idx="436">
                  <c:v>1.7477400000000001E-2</c:v>
                </c:pt>
                <c:pt idx="437">
                  <c:v>1.7517399999999999E-2</c:v>
                </c:pt>
                <c:pt idx="438">
                  <c:v>1.7557400000000001E-2</c:v>
                </c:pt>
                <c:pt idx="439">
                  <c:v>1.7597399999999999E-2</c:v>
                </c:pt>
                <c:pt idx="440">
                  <c:v>1.7637400000000001E-2</c:v>
                </c:pt>
                <c:pt idx="441">
                  <c:v>1.7677399999999999E-2</c:v>
                </c:pt>
                <c:pt idx="442">
                  <c:v>1.7717400000000001E-2</c:v>
                </c:pt>
                <c:pt idx="443">
                  <c:v>1.77574E-2</c:v>
                </c:pt>
                <c:pt idx="444">
                  <c:v>1.7797400000000001E-2</c:v>
                </c:pt>
                <c:pt idx="445">
                  <c:v>1.78374E-2</c:v>
                </c:pt>
                <c:pt idx="446">
                  <c:v>1.7877400000000002E-2</c:v>
                </c:pt>
                <c:pt idx="447">
                  <c:v>1.79174E-2</c:v>
                </c:pt>
                <c:pt idx="448">
                  <c:v>1.7957399999999998E-2</c:v>
                </c:pt>
                <c:pt idx="449">
                  <c:v>1.79974E-2</c:v>
                </c:pt>
                <c:pt idx="450">
                  <c:v>1.8037399999999999E-2</c:v>
                </c:pt>
                <c:pt idx="451">
                  <c:v>1.80774E-2</c:v>
                </c:pt>
                <c:pt idx="452">
                  <c:v>1.8117399999999999E-2</c:v>
                </c:pt>
                <c:pt idx="453">
                  <c:v>1.8157400000000001E-2</c:v>
                </c:pt>
                <c:pt idx="454">
                  <c:v>1.8197399999999999E-2</c:v>
                </c:pt>
                <c:pt idx="455">
                  <c:v>1.8237400000000001E-2</c:v>
                </c:pt>
                <c:pt idx="456">
                  <c:v>1.8277399999999999E-2</c:v>
                </c:pt>
                <c:pt idx="457">
                  <c:v>1.8317400000000001E-2</c:v>
                </c:pt>
                <c:pt idx="458">
                  <c:v>1.8357399999999999E-2</c:v>
                </c:pt>
                <c:pt idx="459">
                  <c:v>1.8397400000000001E-2</c:v>
                </c:pt>
                <c:pt idx="460">
                  <c:v>1.84374E-2</c:v>
                </c:pt>
                <c:pt idx="461">
                  <c:v>1.8477400000000001E-2</c:v>
                </c:pt>
                <c:pt idx="462">
                  <c:v>1.85174E-2</c:v>
                </c:pt>
                <c:pt idx="463">
                  <c:v>1.8557400000000002E-2</c:v>
                </c:pt>
                <c:pt idx="464">
                  <c:v>1.85974E-2</c:v>
                </c:pt>
                <c:pt idx="465">
                  <c:v>1.8637399999999998E-2</c:v>
                </c:pt>
                <c:pt idx="466">
                  <c:v>1.86774E-2</c:v>
                </c:pt>
                <c:pt idx="467">
                  <c:v>1.8717399999999999E-2</c:v>
                </c:pt>
                <c:pt idx="468">
                  <c:v>1.87574E-2</c:v>
                </c:pt>
                <c:pt idx="469">
                  <c:v>1.8797399999999999E-2</c:v>
                </c:pt>
                <c:pt idx="470">
                  <c:v>1.8837400000000001E-2</c:v>
                </c:pt>
                <c:pt idx="471">
                  <c:v>1.8877399999999999E-2</c:v>
                </c:pt>
                <c:pt idx="472">
                  <c:v>1.8917400000000001E-2</c:v>
                </c:pt>
                <c:pt idx="473">
                  <c:v>1.8957399999999999E-2</c:v>
                </c:pt>
                <c:pt idx="474">
                  <c:v>1.8997400000000001E-2</c:v>
                </c:pt>
                <c:pt idx="475">
                  <c:v>1.9037399999999999E-2</c:v>
                </c:pt>
                <c:pt idx="476">
                  <c:v>1.9077400000000001E-2</c:v>
                </c:pt>
                <c:pt idx="477">
                  <c:v>1.91174E-2</c:v>
                </c:pt>
                <c:pt idx="478">
                  <c:v>1.9157400000000002E-2</c:v>
                </c:pt>
                <c:pt idx="479">
                  <c:v>1.91974E-2</c:v>
                </c:pt>
                <c:pt idx="480">
                  <c:v>1.9237400000000002E-2</c:v>
                </c:pt>
                <c:pt idx="481">
                  <c:v>1.92774E-2</c:v>
                </c:pt>
                <c:pt idx="482">
                  <c:v>1.9317399999999998E-2</c:v>
                </c:pt>
                <c:pt idx="483">
                  <c:v>1.93574E-2</c:v>
                </c:pt>
                <c:pt idx="484">
                  <c:v>1.9397399999999999E-2</c:v>
                </c:pt>
                <c:pt idx="485">
                  <c:v>1.9437400000000001E-2</c:v>
                </c:pt>
                <c:pt idx="486">
                  <c:v>1.9477399999999999E-2</c:v>
                </c:pt>
                <c:pt idx="487">
                  <c:v>1.9517400000000001E-2</c:v>
                </c:pt>
                <c:pt idx="488">
                  <c:v>1.9557399999999999E-2</c:v>
                </c:pt>
                <c:pt idx="489">
                  <c:v>1.9597400000000001E-2</c:v>
                </c:pt>
                <c:pt idx="490">
                  <c:v>1.9637399999999999E-2</c:v>
                </c:pt>
                <c:pt idx="491">
                  <c:v>1.9677400000000001E-2</c:v>
                </c:pt>
                <c:pt idx="492">
                  <c:v>1.97174E-2</c:v>
                </c:pt>
                <c:pt idx="493">
                  <c:v>1.9757400000000001E-2</c:v>
                </c:pt>
                <c:pt idx="494">
                  <c:v>1.97974E-2</c:v>
                </c:pt>
                <c:pt idx="495">
                  <c:v>1.9837400000000002E-2</c:v>
                </c:pt>
                <c:pt idx="496">
                  <c:v>1.98774E-2</c:v>
                </c:pt>
                <c:pt idx="497">
                  <c:v>1.9917399999999998E-2</c:v>
                </c:pt>
                <c:pt idx="498">
                  <c:v>1.99574E-2</c:v>
                </c:pt>
                <c:pt idx="499">
                  <c:v>1.9997399999999999E-2</c:v>
                </c:pt>
                <c:pt idx="500">
                  <c:v>2.00374E-2</c:v>
                </c:pt>
                <c:pt idx="501">
                  <c:v>2.0077399999999999E-2</c:v>
                </c:pt>
                <c:pt idx="502">
                  <c:v>2.0117400000000001E-2</c:v>
                </c:pt>
                <c:pt idx="503">
                  <c:v>2.0157399999999999E-2</c:v>
                </c:pt>
                <c:pt idx="504">
                  <c:v>2.0197400000000001E-2</c:v>
                </c:pt>
                <c:pt idx="505">
                  <c:v>2.0237399999999999E-2</c:v>
                </c:pt>
                <c:pt idx="506">
                  <c:v>2.0277400000000001E-2</c:v>
                </c:pt>
                <c:pt idx="507">
                  <c:v>2.0317399999999999E-2</c:v>
                </c:pt>
                <c:pt idx="508">
                  <c:v>2.0357400000000001E-2</c:v>
                </c:pt>
                <c:pt idx="509">
                  <c:v>2.03974E-2</c:v>
                </c:pt>
                <c:pt idx="510">
                  <c:v>2.0437400000000001E-2</c:v>
                </c:pt>
                <c:pt idx="511">
                  <c:v>2.04774E-2</c:v>
                </c:pt>
                <c:pt idx="512">
                  <c:v>2.0517400000000002E-2</c:v>
                </c:pt>
                <c:pt idx="513">
                  <c:v>2.05574E-2</c:v>
                </c:pt>
                <c:pt idx="514">
                  <c:v>2.0597399999999998E-2</c:v>
                </c:pt>
                <c:pt idx="515">
                  <c:v>2.06374E-2</c:v>
                </c:pt>
                <c:pt idx="516">
                  <c:v>2.0677399999999999E-2</c:v>
                </c:pt>
                <c:pt idx="517">
                  <c:v>2.07174E-2</c:v>
                </c:pt>
                <c:pt idx="518">
                  <c:v>2.0757399999999999E-2</c:v>
                </c:pt>
                <c:pt idx="519">
                  <c:v>2.0797400000000001E-2</c:v>
                </c:pt>
                <c:pt idx="520">
                  <c:v>2.0837399999999999E-2</c:v>
                </c:pt>
                <c:pt idx="521">
                  <c:v>2.0877400000000001E-2</c:v>
                </c:pt>
                <c:pt idx="522">
                  <c:v>2.0917399999999999E-2</c:v>
                </c:pt>
                <c:pt idx="523">
                  <c:v>2.0957400000000001E-2</c:v>
                </c:pt>
                <c:pt idx="524">
                  <c:v>2.0997399999999999E-2</c:v>
                </c:pt>
                <c:pt idx="525">
                  <c:v>2.1037400000000001E-2</c:v>
                </c:pt>
                <c:pt idx="526">
                  <c:v>2.10774E-2</c:v>
                </c:pt>
                <c:pt idx="527">
                  <c:v>2.1117400000000001E-2</c:v>
                </c:pt>
                <c:pt idx="528">
                  <c:v>2.11574E-2</c:v>
                </c:pt>
                <c:pt idx="529">
                  <c:v>2.1197400000000002E-2</c:v>
                </c:pt>
                <c:pt idx="530">
                  <c:v>2.12374E-2</c:v>
                </c:pt>
                <c:pt idx="531">
                  <c:v>2.1277399999999998E-2</c:v>
                </c:pt>
                <c:pt idx="532">
                  <c:v>2.13174E-2</c:v>
                </c:pt>
                <c:pt idx="533">
                  <c:v>2.1357399999999999E-2</c:v>
                </c:pt>
                <c:pt idx="534">
                  <c:v>2.13974E-2</c:v>
                </c:pt>
                <c:pt idx="535">
                  <c:v>2.1437399999999999E-2</c:v>
                </c:pt>
                <c:pt idx="536">
                  <c:v>2.1477400000000001E-2</c:v>
                </c:pt>
                <c:pt idx="537">
                  <c:v>2.1517399999999999E-2</c:v>
                </c:pt>
                <c:pt idx="538">
                  <c:v>2.1557400000000001E-2</c:v>
                </c:pt>
                <c:pt idx="539">
                  <c:v>2.1597399999999999E-2</c:v>
                </c:pt>
                <c:pt idx="540">
                  <c:v>2.1637400000000001E-2</c:v>
                </c:pt>
                <c:pt idx="541">
                  <c:v>2.1677399999999999E-2</c:v>
                </c:pt>
                <c:pt idx="542">
                  <c:v>2.1717400000000001E-2</c:v>
                </c:pt>
                <c:pt idx="543">
                  <c:v>2.17574E-2</c:v>
                </c:pt>
                <c:pt idx="544">
                  <c:v>2.1797400000000001E-2</c:v>
                </c:pt>
                <c:pt idx="545">
                  <c:v>2.18374E-2</c:v>
                </c:pt>
                <c:pt idx="546">
                  <c:v>2.1877400000000002E-2</c:v>
                </c:pt>
                <c:pt idx="547">
                  <c:v>2.19174E-2</c:v>
                </c:pt>
                <c:pt idx="548">
                  <c:v>2.1957399999999998E-2</c:v>
                </c:pt>
                <c:pt idx="549">
                  <c:v>2.19974E-2</c:v>
                </c:pt>
                <c:pt idx="550">
                  <c:v>2.2037399999999999E-2</c:v>
                </c:pt>
                <c:pt idx="551">
                  <c:v>2.20774E-2</c:v>
                </c:pt>
                <c:pt idx="552">
                  <c:v>2.2117399999999999E-2</c:v>
                </c:pt>
                <c:pt idx="553">
                  <c:v>2.2157400000000001E-2</c:v>
                </c:pt>
                <c:pt idx="554">
                  <c:v>2.2197399999999999E-2</c:v>
                </c:pt>
                <c:pt idx="555">
                  <c:v>2.2237400000000001E-2</c:v>
                </c:pt>
                <c:pt idx="556">
                  <c:v>2.2277399999999999E-2</c:v>
                </c:pt>
                <c:pt idx="557">
                  <c:v>2.2317400000000001E-2</c:v>
                </c:pt>
                <c:pt idx="558">
                  <c:v>2.2357399999999999E-2</c:v>
                </c:pt>
                <c:pt idx="559">
                  <c:v>2.2397400000000001E-2</c:v>
                </c:pt>
                <c:pt idx="560">
                  <c:v>2.24374E-2</c:v>
                </c:pt>
                <c:pt idx="561">
                  <c:v>2.2477400000000002E-2</c:v>
                </c:pt>
                <c:pt idx="562">
                  <c:v>2.25174E-2</c:v>
                </c:pt>
                <c:pt idx="563">
                  <c:v>2.2557399999999998E-2</c:v>
                </c:pt>
                <c:pt idx="564">
                  <c:v>2.25974E-2</c:v>
                </c:pt>
                <c:pt idx="565">
                  <c:v>2.2637399999999998E-2</c:v>
                </c:pt>
                <c:pt idx="566">
                  <c:v>2.26774E-2</c:v>
                </c:pt>
                <c:pt idx="567">
                  <c:v>2.2717399999999999E-2</c:v>
                </c:pt>
                <c:pt idx="568">
                  <c:v>2.2757400000000001E-2</c:v>
                </c:pt>
                <c:pt idx="569">
                  <c:v>2.2797399999999999E-2</c:v>
                </c:pt>
                <c:pt idx="570">
                  <c:v>2.2837400000000001E-2</c:v>
                </c:pt>
                <c:pt idx="571">
                  <c:v>2.2877399999999999E-2</c:v>
                </c:pt>
                <c:pt idx="572">
                  <c:v>2.2917400000000001E-2</c:v>
                </c:pt>
                <c:pt idx="573">
                  <c:v>2.2957399999999999E-2</c:v>
                </c:pt>
                <c:pt idx="574">
                  <c:v>2.2997400000000001E-2</c:v>
                </c:pt>
                <c:pt idx="575">
                  <c:v>2.30374E-2</c:v>
                </c:pt>
                <c:pt idx="576">
                  <c:v>2.3077400000000001E-2</c:v>
                </c:pt>
                <c:pt idx="577">
                  <c:v>2.31174E-2</c:v>
                </c:pt>
                <c:pt idx="578">
                  <c:v>2.3157400000000002E-2</c:v>
                </c:pt>
                <c:pt idx="579">
                  <c:v>2.31974E-2</c:v>
                </c:pt>
                <c:pt idx="580">
                  <c:v>2.3237399999999998E-2</c:v>
                </c:pt>
                <c:pt idx="581">
                  <c:v>2.32774E-2</c:v>
                </c:pt>
                <c:pt idx="582">
                  <c:v>2.3317399999999999E-2</c:v>
                </c:pt>
                <c:pt idx="583">
                  <c:v>2.33574E-2</c:v>
                </c:pt>
                <c:pt idx="584">
                  <c:v>2.3397399999999999E-2</c:v>
                </c:pt>
                <c:pt idx="585">
                  <c:v>2.3437400000000001E-2</c:v>
                </c:pt>
                <c:pt idx="586">
                  <c:v>2.3477399999999999E-2</c:v>
                </c:pt>
                <c:pt idx="587">
                  <c:v>2.3517400000000001E-2</c:v>
                </c:pt>
                <c:pt idx="588">
                  <c:v>2.3557399999999999E-2</c:v>
                </c:pt>
                <c:pt idx="589">
                  <c:v>2.3597400000000001E-2</c:v>
                </c:pt>
                <c:pt idx="590">
                  <c:v>2.3637399999999999E-2</c:v>
                </c:pt>
                <c:pt idx="591">
                  <c:v>2.3677400000000001E-2</c:v>
                </c:pt>
                <c:pt idx="592">
                  <c:v>2.37174E-2</c:v>
                </c:pt>
                <c:pt idx="593">
                  <c:v>2.3757400000000001E-2</c:v>
                </c:pt>
                <c:pt idx="594">
                  <c:v>2.37974E-2</c:v>
                </c:pt>
                <c:pt idx="595">
                  <c:v>2.3837400000000002E-2</c:v>
                </c:pt>
                <c:pt idx="596">
                  <c:v>2.38774E-2</c:v>
                </c:pt>
                <c:pt idx="597">
                  <c:v>2.3917399999999998E-2</c:v>
                </c:pt>
                <c:pt idx="598">
                  <c:v>2.39574E-2</c:v>
                </c:pt>
                <c:pt idx="599">
                  <c:v>2.3997399999999999E-2</c:v>
                </c:pt>
                <c:pt idx="600">
                  <c:v>2.40374E-2</c:v>
                </c:pt>
                <c:pt idx="601">
                  <c:v>2.4077399999999999E-2</c:v>
                </c:pt>
                <c:pt idx="602">
                  <c:v>2.4117400000000001E-2</c:v>
                </c:pt>
                <c:pt idx="603">
                  <c:v>2.4157399999999999E-2</c:v>
                </c:pt>
                <c:pt idx="604">
                  <c:v>2.4197400000000001E-2</c:v>
                </c:pt>
                <c:pt idx="605">
                  <c:v>2.4237399999999999E-2</c:v>
                </c:pt>
                <c:pt idx="606">
                  <c:v>2.4277400000000001E-2</c:v>
                </c:pt>
                <c:pt idx="607">
                  <c:v>2.4317399999999999E-2</c:v>
                </c:pt>
                <c:pt idx="608">
                  <c:v>2.4357400000000001E-2</c:v>
                </c:pt>
                <c:pt idx="609">
                  <c:v>2.43974E-2</c:v>
                </c:pt>
                <c:pt idx="610">
                  <c:v>2.4437400000000001E-2</c:v>
                </c:pt>
                <c:pt idx="611">
                  <c:v>2.44774E-2</c:v>
                </c:pt>
                <c:pt idx="612">
                  <c:v>2.4517400000000002E-2</c:v>
                </c:pt>
                <c:pt idx="613">
                  <c:v>2.45574E-2</c:v>
                </c:pt>
                <c:pt idx="614">
                  <c:v>2.4597399999999998E-2</c:v>
                </c:pt>
                <c:pt idx="615">
                  <c:v>2.46374E-2</c:v>
                </c:pt>
                <c:pt idx="616">
                  <c:v>2.4677399999999999E-2</c:v>
                </c:pt>
                <c:pt idx="617">
                  <c:v>2.47174E-2</c:v>
                </c:pt>
                <c:pt idx="618">
                  <c:v>2.4757399999999999E-2</c:v>
                </c:pt>
                <c:pt idx="619">
                  <c:v>2.4797400000000001E-2</c:v>
                </c:pt>
                <c:pt idx="620">
                  <c:v>2.4837399999999999E-2</c:v>
                </c:pt>
                <c:pt idx="621">
                  <c:v>2.4877400000000001E-2</c:v>
                </c:pt>
                <c:pt idx="622">
                  <c:v>2.4917399999999999E-2</c:v>
                </c:pt>
                <c:pt idx="623">
                  <c:v>2.4957400000000001E-2</c:v>
                </c:pt>
                <c:pt idx="624">
                  <c:v>2.4997399999999999E-2</c:v>
                </c:pt>
                <c:pt idx="625">
                  <c:v>2.5037400000000001E-2</c:v>
                </c:pt>
                <c:pt idx="626">
                  <c:v>2.50774E-2</c:v>
                </c:pt>
                <c:pt idx="627">
                  <c:v>2.5117400000000002E-2</c:v>
                </c:pt>
                <c:pt idx="628">
                  <c:v>2.51574E-2</c:v>
                </c:pt>
                <c:pt idx="629">
                  <c:v>2.5197399999999998E-2</c:v>
                </c:pt>
                <c:pt idx="630">
                  <c:v>2.52374E-2</c:v>
                </c:pt>
                <c:pt idx="631">
                  <c:v>2.5277399999999998E-2</c:v>
                </c:pt>
                <c:pt idx="632">
                  <c:v>2.53174E-2</c:v>
                </c:pt>
                <c:pt idx="633">
                  <c:v>2.5357399999999999E-2</c:v>
                </c:pt>
                <c:pt idx="634">
                  <c:v>2.5397400000000001E-2</c:v>
                </c:pt>
                <c:pt idx="635">
                  <c:v>2.5437399999999999E-2</c:v>
                </c:pt>
                <c:pt idx="636">
                  <c:v>2.5477400000000001E-2</c:v>
                </c:pt>
                <c:pt idx="637">
                  <c:v>2.5517399999999999E-2</c:v>
                </c:pt>
                <c:pt idx="638">
                  <c:v>2.5557400000000001E-2</c:v>
                </c:pt>
                <c:pt idx="639">
                  <c:v>2.5597399999999999E-2</c:v>
                </c:pt>
                <c:pt idx="640">
                  <c:v>2.5637400000000001E-2</c:v>
                </c:pt>
                <c:pt idx="641">
                  <c:v>2.56774E-2</c:v>
                </c:pt>
                <c:pt idx="642">
                  <c:v>2.5717400000000001E-2</c:v>
                </c:pt>
                <c:pt idx="643">
                  <c:v>2.57574E-2</c:v>
                </c:pt>
                <c:pt idx="644">
                  <c:v>2.5797400000000002E-2</c:v>
                </c:pt>
                <c:pt idx="645">
                  <c:v>2.58374E-2</c:v>
                </c:pt>
                <c:pt idx="646">
                  <c:v>2.5877399999999998E-2</c:v>
                </c:pt>
                <c:pt idx="647">
                  <c:v>2.59174E-2</c:v>
                </c:pt>
                <c:pt idx="648">
                  <c:v>2.5957399999999999E-2</c:v>
                </c:pt>
                <c:pt idx="649">
                  <c:v>2.59974E-2</c:v>
                </c:pt>
                <c:pt idx="650">
                  <c:v>2.6037399999999999E-2</c:v>
                </c:pt>
                <c:pt idx="651">
                  <c:v>2.6077400000000001E-2</c:v>
                </c:pt>
                <c:pt idx="652">
                  <c:v>2.6117399999999999E-2</c:v>
                </c:pt>
                <c:pt idx="653">
                  <c:v>2.6157400000000001E-2</c:v>
                </c:pt>
                <c:pt idx="654">
                  <c:v>2.6197399999999999E-2</c:v>
                </c:pt>
                <c:pt idx="655">
                  <c:v>2.6237400000000001E-2</c:v>
                </c:pt>
                <c:pt idx="656">
                  <c:v>2.6277399999999999E-2</c:v>
                </c:pt>
                <c:pt idx="657">
                  <c:v>2.6317400000000001E-2</c:v>
                </c:pt>
                <c:pt idx="658">
                  <c:v>2.63574E-2</c:v>
                </c:pt>
                <c:pt idx="659">
                  <c:v>2.6397400000000001E-2</c:v>
                </c:pt>
                <c:pt idx="660">
                  <c:v>2.64374E-2</c:v>
                </c:pt>
                <c:pt idx="661">
                  <c:v>2.6477400000000002E-2</c:v>
                </c:pt>
                <c:pt idx="662">
                  <c:v>2.65174E-2</c:v>
                </c:pt>
                <c:pt idx="663">
                  <c:v>2.6557399999999998E-2</c:v>
                </c:pt>
                <c:pt idx="664">
                  <c:v>2.65974E-2</c:v>
                </c:pt>
                <c:pt idx="665">
                  <c:v>2.6637399999999999E-2</c:v>
                </c:pt>
                <c:pt idx="666">
                  <c:v>2.66774E-2</c:v>
                </c:pt>
                <c:pt idx="667">
                  <c:v>2.6717399999999999E-2</c:v>
                </c:pt>
                <c:pt idx="668">
                  <c:v>2.6757400000000001E-2</c:v>
                </c:pt>
                <c:pt idx="669">
                  <c:v>2.6797399999999999E-2</c:v>
                </c:pt>
                <c:pt idx="670">
                  <c:v>2.6837400000000001E-2</c:v>
                </c:pt>
                <c:pt idx="671">
                  <c:v>2.6877399999999999E-2</c:v>
                </c:pt>
                <c:pt idx="672">
                  <c:v>2.6917400000000001E-2</c:v>
                </c:pt>
                <c:pt idx="673">
                  <c:v>2.6957399999999999E-2</c:v>
                </c:pt>
                <c:pt idx="674">
                  <c:v>2.6997400000000001E-2</c:v>
                </c:pt>
                <c:pt idx="675">
                  <c:v>2.70374E-2</c:v>
                </c:pt>
                <c:pt idx="676">
                  <c:v>2.7077400000000001E-2</c:v>
                </c:pt>
                <c:pt idx="677">
                  <c:v>2.71174E-2</c:v>
                </c:pt>
                <c:pt idx="678">
                  <c:v>2.7157400000000002E-2</c:v>
                </c:pt>
                <c:pt idx="679">
                  <c:v>2.71974E-2</c:v>
                </c:pt>
                <c:pt idx="680">
                  <c:v>2.7237399999999998E-2</c:v>
                </c:pt>
                <c:pt idx="681">
                  <c:v>2.72774E-2</c:v>
                </c:pt>
                <c:pt idx="682">
                  <c:v>2.7317399999999999E-2</c:v>
                </c:pt>
                <c:pt idx="683">
                  <c:v>2.73574E-2</c:v>
                </c:pt>
                <c:pt idx="684">
                  <c:v>2.7397399999999999E-2</c:v>
                </c:pt>
                <c:pt idx="685">
                  <c:v>2.7437400000000001E-2</c:v>
                </c:pt>
                <c:pt idx="686">
                  <c:v>2.7477399999999999E-2</c:v>
                </c:pt>
                <c:pt idx="687">
                  <c:v>2.7517400000000001E-2</c:v>
                </c:pt>
                <c:pt idx="688">
                  <c:v>2.7557399999999999E-2</c:v>
                </c:pt>
                <c:pt idx="689">
                  <c:v>2.7597400000000001E-2</c:v>
                </c:pt>
                <c:pt idx="690">
                  <c:v>2.7637399999999999E-2</c:v>
                </c:pt>
                <c:pt idx="691">
                  <c:v>2.7677400000000001E-2</c:v>
                </c:pt>
                <c:pt idx="692">
                  <c:v>2.77174E-2</c:v>
                </c:pt>
                <c:pt idx="693">
                  <c:v>2.7757400000000002E-2</c:v>
                </c:pt>
                <c:pt idx="694">
                  <c:v>2.77974E-2</c:v>
                </c:pt>
                <c:pt idx="695">
                  <c:v>2.7837400000000002E-2</c:v>
                </c:pt>
                <c:pt idx="696">
                  <c:v>2.78774E-2</c:v>
                </c:pt>
                <c:pt idx="697">
                  <c:v>2.7917399999999998E-2</c:v>
                </c:pt>
                <c:pt idx="698">
                  <c:v>2.79574E-2</c:v>
                </c:pt>
                <c:pt idx="699">
                  <c:v>2.7997399999999999E-2</c:v>
                </c:pt>
                <c:pt idx="700">
                  <c:v>2.8037400000000001E-2</c:v>
                </c:pt>
                <c:pt idx="701">
                  <c:v>2.8077399999999999E-2</c:v>
                </c:pt>
                <c:pt idx="702">
                  <c:v>2.8117400000000001E-2</c:v>
                </c:pt>
                <c:pt idx="703">
                  <c:v>2.8157399999999999E-2</c:v>
                </c:pt>
                <c:pt idx="704">
                  <c:v>2.8197400000000001E-2</c:v>
                </c:pt>
                <c:pt idx="705">
                  <c:v>2.8237399999999999E-2</c:v>
                </c:pt>
                <c:pt idx="706">
                  <c:v>2.8277400000000001E-2</c:v>
                </c:pt>
                <c:pt idx="707">
                  <c:v>2.83174E-2</c:v>
                </c:pt>
                <c:pt idx="708">
                  <c:v>2.8357400000000001E-2</c:v>
                </c:pt>
                <c:pt idx="709">
                  <c:v>2.83974E-2</c:v>
                </c:pt>
                <c:pt idx="710">
                  <c:v>2.8437400000000002E-2</c:v>
                </c:pt>
                <c:pt idx="711">
                  <c:v>2.84774E-2</c:v>
                </c:pt>
                <c:pt idx="712">
                  <c:v>2.8517399999999998E-2</c:v>
                </c:pt>
                <c:pt idx="713">
                  <c:v>2.85574E-2</c:v>
                </c:pt>
                <c:pt idx="714">
                  <c:v>2.8597399999999999E-2</c:v>
                </c:pt>
                <c:pt idx="715">
                  <c:v>2.86374E-2</c:v>
                </c:pt>
                <c:pt idx="716">
                  <c:v>2.8677399999999999E-2</c:v>
                </c:pt>
                <c:pt idx="717">
                  <c:v>2.8717400000000001E-2</c:v>
                </c:pt>
                <c:pt idx="718">
                  <c:v>2.8757399999999999E-2</c:v>
                </c:pt>
                <c:pt idx="719">
                  <c:v>2.8797400000000001E-2</c:v>
                </c:pt>
                <c:pt idx="720">
                  <c:v>2.8837399999999999E-2</c:v>
                </c:pt>
                <c:pt idx="721">
                  <c:v>2.8877400000000001E-2</c:v>
                </c:pt>
                <c:pt idx="722">
                  <c:v>2.8917399999999999E-2</c:v>
                </c:pt>
                <c:pt idx="723">
                  <c:v>2.8957400000000001E-2</c:v>
                </c:pt>
                <c:pt idx="724">
                  <c:v>2.89974E-2</c:v>
                </c:pt>
                <c:pt idx="725">
                  <c:v>2.9037400000000001E-2</c:v>
                </c:pt>
                <c:pt idx="726">
                  <c:v>2.90774E-2</c:v>
                </c:pt>
                <c:pt idx="727">
                  <c:v>2.9117400000000002E-2</c:v>
                </c:pt>
                <c:pt idx="728">
                  <c:v>2.91574E-2</c:v>
                </c:pt>
                <c:pt idx="729">
                  <c:v>2.9197399999999998E-2</c:v>
                </c:pt>
                <c:pt idx="730">
                  <c:v>2.92374E-2</c:v>
                </c:pt>
                <c:pt idx="731">
                  <c:v>2.9277399999999999E-2</c:v>
                </c:pt>
                <c:pt idx="732">
                  <c:v>2.93174E-2</c:v>
                </c:pt>
                <c:pt idx="733">
                  <c:v>2.9357399999999999E-2</c:v>
                </c:pt>
                <c:pt idx="734">
                  <c:v>2.9397400000000001E-2</c:v>
                </c:pt>
                <c:pt idx="735">
                  <c:v>2.9437399999999999E-2</c:v>
                </c:pt>
                <c:pt idx="736">
                  <c:v>2.9477400000000001E-2</c:v>
                </c:pt>
                <c:pt idx="737">
                  <c:v>2.9517399999999999E-2</c:v>
                </c:pt>
                <c:pt idx="738">
                  <c:v>2.9557400000000001E-2</c:v>
                </c:pt>
                <c:pt idx="739">
                  <c:v>2.9597399999999999E-2</c:v>
                </c:pt>
                <c:pt idx="740">
                  <c:v>2.9637400000000001E-2</c:v>
                </c:pt>
                <c:pt idx="741">
                  <c:v>2.96774E-2</c:v>
                </c:pt>
                <c:pt idx="742">
                  <c:v>2.9717400000000001E-2</c:v>
                </c:pt>
                <c:pt idx="743">
                  <c:v>2.97574E-2</c:v>
                </c:pt>
                <c:pt idx="744">
                  <c:v>2.9797400000000002E-2</c:v>
                </c:pt>
                <c:pt idx="745">
                  <c:v>2.98374E-2</c:v>
                </c:pt>
                <c:pt idx="746">
                  <c:v>2.9877399999999998E-2</c:v>
                </c:pt>
                <c:pt idx="747">
                  <c:v>2.99174E-2</c:v>
                </c:pt>
                <c:pt idx="748">
                  <c:v>2.9957399999999999E-2</c:v>
                </c:pt>
                <c:pt idx="749">
                  <c:v>2.99974E-2</c:v>
                </c:pt>
                <c:pt idx="750">
                  <c:v>3.0037399999999999E-2</c:v>
                </c:pt>
                <c:pt idx="751">
                  <c:v>3.0077400000000001E-2</c:v>
                </c:pt>
                <c:pt idx="752">
                  <c:v>3.0117399999999999E-2</c:v>
                </c:pt>
                <c:pt idx="753">
                  <c:v>3.0157400000000001E-2</c:v>
                </c:pt>
                <c:pt idx="754">
                  <c:v>3.0197399999999999E-2</c:v>
                </c:pt>
                <c:pt idx="755">
                  <c:v>3.0237400000000001E-2</c:v>
                </c:pt>
                <c:pt idx="756">
                  <c:v>3.0277399999999999E-2</c:v>
                </c:pt>
                <c:pt idx="757">
                  <c:v>3.0317400000000001E-2</c:v>
                </c:pt>
                <c:pt idx="758">
                  <c:v>3.03574E-2</c:v>
                </c:pt>
                <c:pt idx="759">
                  <c:v>3.0397400000000002E-2</c:v>
                </c:pt>
                <c:pt idx="760">
                  <c:v>3.04374E-2</c:v>
                </c:pt>
                <c:pt idx="761">
                  <c:v>3.0477400000000002E-2</c:v>
                </c:pt>
                <c:pt idx="762">
                  <c:v>3.05174E-2</c:v>
                </c:pt>
                <c:pt idx="763">
                  <c:v>3.0557399999999998E-2</c:v>
                </c:pt>
                <c:pt idx="764">
                  <c:v>3.05974E-2</c:v>
                </c:pt>
                <c:pt idx="765">
                  <c:v>3.0637399999999999E-2</c:v>
                </c:pt>
                <c:pt idx="766">
                  <c:v>3.0677400000000001E-2</c:v>
                </c:pt>
                <c:pt idx="767">
                  <c:v>3.0717399999999999E-2</c:v>
                </c:pt>
                <c:pt idx="768">
                  <c:v>3.0757400000000001E-2</c:v>
                </c:pt>
                <c:pt idx="769">
                  <c:v>3.0797399999999999E-2</c:v>
                </c:pt>
                <c:pt idx="770">
                  <c:v>3.0837400000000001E-2</c:v>
                </c:pt>
                <c:pt idx="771">
                  <c:v>3.0877399999999999E-2</c:v>
                </c:pt>
                <c:pt idx="772">
                  <c:v>3.0917400000000001E-2</c:v>
                </c:pt>
                <c:pt idx="773">
                  <c:v>3.09574E-2</c:v>
                </c:pt>
                <c:pt idx="774">
                  <c:v>3.0997400000000001E-2</c:v>
                </c:pt>
                <c:pt idx="775">
                  <c:v>3.10374E-2</c:v>
                </c:pt>
                <c:pt idx="776">
                  <c:v>3.1077400000000002E-2</c:v>
                </c:pt>
                <c:pt idx="777">
                  <c:v>3.11174E-2</c:v>
                </c:pt>
                <c:pt idx="778">
                  <c:v>3.1157399999999998E-2</c:v>
                </c:pt>
                <c:pt idx="779">
                  <c:v>3.11974E-2</c:v>
                </c:pt>
                <c:pt idx="780">
                  <c:v>3.1237399999999999E-2</c:v>
                </c:pt>
                <c:pt idx="781">
                  <c:v>3.1277399999999997E-2</c:v>
                </c:pt>
                <c:pt idx="782">
                  <c:v>3.1317400000000002E-2</c:v>
                </c:pt>
                <c:pt idx="783">
                  <c:v>3.1357400000000001E-2</c:v>
                </c:pt>
                <c:pt idx="784">
                  <c:v>3.1397399999999999E-2</c:v>
                </c:pt>
                <c:pt idx="785">
                  <c:v>3.1437399999999997E-2</c:v>
                </c:pt>
                <c:pt idx="786">
                  <c:v>3.1477400000000003E-2</c:v>
                </c:pt>
                <c:pt idx="787">
                  <c:v>3.1517400000000001E-2</c:v>
                </c:pt>
                <c:pt idx="788">
                  <c:v>3.1557399999999999E-2</c:v>
                </c:pt>
                <c:pt idx="789">
                  <c:v>3.1597399999999998E-2</c:v>
                </c:pt>
                <c:pt idx="790">
                  <c:v>3.1637400000000003E-2</c:v>
                </c:pt>
                <c:pt idx="791">
                  <c:v>3.1677400000000001E-2</c:v>
                </c:pt>
                <c:pt idx="792">
                  <c:v>3.17174E-2</c:v>
                </c:pt>
                <c:pt idx="793">
                  <c:v>3.1757399999999998E-2</c:v>
                </c:pt>
                <c:pt idx="794">
                  <c:v>3.1797400000000003E-2</c:v>
                </c:pt>
                <c:pt idx="795">
                  <c:v>3.1837400000000002E-2</c:v>
                </c:pt>
                <c:pt idx="796">
                  <c:v>3.18774E-2</c:v>
                </c:pt>
                <c:pt idx="797">
                  <c:v>3.1917399999999999E-2</c:v>
                </c:pt>
                <c:pt idx="798">
                  <c:v>3.1957399999999997E-2</c:v>
                </c:pt>
                <c:pt idx="799">
                  <c:v>3.1997400000000002E-2</c:v>
                </c:pt>
                <c:pt idx="800">
                  <c:v>3.2037400000000001E-2</c:v>
                </c:pt>
                <c:pt idx="801">
                  <c:v>3.2077399999999999E-2</c:v>
                </c:pt>
                <c:pt idx="802">
                  <c:v>3.2117399999999997E-2</c:v>
                </c:pt>
                <c:pt idx="803">
                  <c:v>3.2157400000000003E-2</c:v>
                </c:pt>
                <c:pt idx="804">
                  <c:v>3.2197400000000001E-2</c:v>
                </c:pt>
                <c:pt idx="805">
                  <c:v>3.2237399999999999E-2</c:v>
                </c:pt>
                <c:pt idx="806">
                  <c:v>3.2277399999999998E-2</c:v>
                </c:pt>
                <c:pt idx="807">
                  <c:v>3.2317400000000003E-2</c:v>
                </c:pt>
                <c:pt idx="808">
                  <c:v>3.2357400000000001E-2</c:v>
                </c:pt>
                <c:pt idx="809">
                  <c:v>3.23974E-2</c:v>
                </c:pt>
                <c:pt idx="810">
                  <c:v>3.2437399999999998E-2</c:v>
                </c:pt>
                <c:pt idx="811">
                  <c:v>3.2477399999999997E-2</c:v>
                </c:pt>
                <c:pt idx="812">
                  <c:v>3.2517400000000002E-2</c:v>
                </c:pt>
                <c:pt idx="813">
                  <c:v>3.25574E-2</c:v>
                </c:pt>
                <c:pt idx="814">
                  <c:v>3.2597399999999999E-2</c:v>
                </c:pt>
                <c:pt idx="815">
                  <c:v>3.2637399999999997E-2</c:v>
                </c:pt>
                <c:pt idx="816">
                  <c:v>3.2677400000000002E-2</c:v>
                </c:pt>
                <c:pt idx="817">
                  <c:v>3.2717400000000001E-2</c:v>
                </c:pt>
                <c:pt idx="818">
                  <c:v>3.2757399999999999E-2</c:v>
                </c:pt>
                <c:pt idx="819">
                  <c:v>3.2797399999999997E-2</c:v>
                </c:pt>
                <c:pt idx="820">
                  <c:v>3.2837400000000003E-2</c:v>
                </c:pt>
                <c:pt idx="821">
                  <c:v>3.2877400000000001E-2</c:v>
                </c:pt>
                <c:pt idx="822">
                  <c:v>3.2917399999999999E-2</c:v>
                </c:pt>
                <c:pt idx="823">
                  <c:v>3.2957399999999998E-2</c:v>
                </c:pt>
                <c:pt idx="824">
                  <c:v>3.2997400000000003E-2</c:v>
                </c:pt>
                <c:pt idx="825">
                  <c:v>3.3037400000000001E-2</c:v>
                </c:pt>
                <c:pt idx="826">
                  <c:v>3.30774E-2</c:v>
                </c:pt>
                <c:pt idx="827">
                  <c:v>3.3117399999999998E-2</c:v>
                </c:pt>
                <c:pt idx="828">
                  <c:v>3.3157399999999997E-2</c:v>
                </c:pt>
                <c:pt idx="829">
                  <c:v>3.3197400000000002E-2</c:v>
                </c:pt>
                <c:pt idx="830">
                  <c:v>3.32374E-2</c:v>
                </c:pt>
                <c:pt idx="831">
                  <c:v>3.3277399999999999E-2</c:v>
                </c:pt>
                <c:pt idx="832">
                  <c:v>3.3317399999999997E-2</c:v>
                </c:pt>
                <c:pt idx="833">
                  <c:v>3.3357400000000002E-2</c:v>
                </c:pt>
                <c:pt idx="834">
                  <c:v>3.3397400000000001E-2</c:v>
                </c:pt>
                <c:pt idx="835">
                  <c:v>3.3437399999999999E-2</c:v>
                </c:pt>
                <c:pt idx="836">
                  <c:v>3.3477399999999997E-2</c:v>
                </c:pt>
                <c:pt idx="837">
                  <c:v>3.3517400000000003E-2</c:v>
                </c:pt>
                <c:pt idx="838">
                  <c:v>3.3557400000000001E-2</c:v>
                </c:pt>
                <c:pt idx="839">
                  <c:v>3.3597399999999999E-2</c:v>
                </c:pt>
                <c:pt idx="840">
                  <c:v>3.3637399999999998E-2</c:v>
                </c:pt>
                <c:pt idx="841">
                  <c:v>3.3677400000000003E-2</c:v>
                </c:pt>
                <c:pt idx="842">
                  <c:v>3.3717400000000002E-2</c:v>
                </c:pt>
                <c:pt idx="843">
                  <c:v>3.37574E-2</c:v>
                </c:pt>
                <c:pt idx="844">
                  <c:v>3.3797399999999998E-2</c:v>
                </c:pt>
                <c:pt idx="845">
                  <c:v>3.3837399999999997E-2</c:v>
                </c:pt>
                <c:pt idx="846">
                  <c:v>3.3877400000000002E-2</c:v>
                </c:pt>
                <c:pt idx="847">
                  <c:v>3.39174E-2</c:v>
                </c:pt>
                <c:pt idx="848">
                  <c:v>3.3957399999999999E-2</c:v>
                </c:pt>
                <c:pt idx="849">
                  <c:v>3.3997399999999997E-2</c:v>
                </c:pt>
                <c:pt idx="850">
                  <c:v>3.4037400000000002E-2</c:v>
                </c:pt>
                <c:pt idx="851">
                  <c:v>3.4077400000000001E-2</c:v>
                </c:pt>
                <c:pt idx="852">
                  <c:v>3.4117399999999999E-2</c:v>
                </c:pt>
                <c:pt idx="853">
                  <c:v>3.4157399999999997E-2</c:v>
                </c:pt>
                <c:pt idx="854">
                  <c:v>3.4197400000000003E-2</c:v>
                </c:pt>
                <c:pt idx="855">
                  <c:v>3.4237400000000001E-2</c:v>
                </c:pt>
                <c:pt idx="856">
                  <c:v>3.42774E-2</c:v>
                </c:pt>
                <c:pt idx="857">
                  <c:v>3.4317399999999998E-2</c:v>
                </c:pt>
                <c:pt idx="858">
                  <c:v>3.4357400000000003E-2</c:v>
                </c:pt>
                <c:pt idx="859">
                  <c:v>3.4397400000000002E-2</c:v>
                </c:pt>
                <c:pt idx="860">
                  <c:v>3.44374E-2</c:v>
                </c:pt>
                <c:pt idx="861">
                  <c:v>3.4477399999999998E-2</c:v>
                </c:pt>
                <c:pt idx="862">
                  <c:v>3.4517399999999997E-2</c:v>
                </c:pt>
                <c:pt idx="863">
                  <c:v>3.4557400000000002E-2</c:v>
                </c:pt>
                <c:pt idx="864">
                  <c:v>3.45974E-2</c:v>
                </c:pt>
                <c:pt idx="865">
                  <c:v>3.4637399999999999E-2</c:v>
                </c:pt>
                <c:pt idx="866">
                  <c:v>3.4677399999999997E-2</c:v>
                </c:pt>
                <c:pt idx="867">
                  <c:v>3.4717400000000002E-2</c:v>
                </c:pt>
                <c:pt idx="868">
                  <c:v>3.4757400000000001E-2</c:v>
                </c:pt>
                <c:pt idx="869">
                  <c:v>3.4797399999999999E-2</c:v>
                </c:pt>
                <c:pt idx="870">
                  <c:v>3.4837399999999998E-2</c:v>
                </c:pt>
                <c:pt idx="871">
                  <c:v>3.4877400000000003E-2</c:v>
                </c:pt>
                <c:pt idx="872">
                  <c:v>3.4917400000000001E-2</c:v>
                </c:pt>
                <c:pt idx="873">
                  <c:v>3.49574E-2</c:v>
                </c:pt>
                <c:pt idx="874">
                  <c:v>3.4997399999999998E-2</c:v>
                </c:pt>
                <c:pt idx="875">
                  <c:v>3.5037400000000003E-2</c:v>
                </c:pt>
                <c:pt idx="876">
                  <c:v>3.5077400000000002E-2</c:v>
                </c:pt>
                <c:pt idx="877">
                  <c:v>3.51174E-2</c:v>
                </c:pt>
                <c:pt idx="878">
                  <c:v>3.5157399999999998E-2</c:v>
                </c:pt>
                <c:pt idx="879">
                  <c:v>3.5197399999999997E-2</c:v>
                </c:pt>
                <c:pt idx="880">
                  <c:v>3.5237400000000002E-2</c:v>
                </c:pt>
                <c:pt idx="881">
                  <c:v>3.52774E-2</c:v>
                </c:pt>
                <c:pt idx="882">
                  <c:v>3.5317399999999999E-2</c:v>
                </c:pt>
                <c:pt idx="883">
                  <c:v>3.5357399999999997E-2</c:v>
                </c:pt>
                <c:pt idx="884">
                  <c:v>3.5397400000000002E-2</c:v>
                </c:pt>
                <c:pt idx="885">
                  <c:v>3.5437400000000001E-2</c:v>
                </c:pt>
                <c:pt idx="886">
                  <c:v>3.5477399999999999E-2</c:v>
                </c:pt>
                <c:pt idx="887">
                  <c:v>3.5517399999999998E-2</c:v>
                </c:pt>
                <c:pt idx="888">
                  <c:v>3.5557400000000003E-2</c:v>
                </c:pt>
                <c:pt idx="889">
                  <c:v>3.5597400000000001E-2</c:v>
                </c:pt>
                <c:pt idx="890">
                  <c:v>3.56374E-2</c:v>
                </c:pt>
                <c:pt idx="891">
                  <c:v>3.5677399999999998E-2</c:v>
                </c:pt>
                <c:pt idx="892">
                  <c:v>3.5717400000000003E-2</c:v>
                </c:pt>
                <c:pt idx="893">
                  <c:v>3.5757400000000002E-2</c:v>
                </c:pt>
                <c:pt idx="894">
                  <c:v>3.57974E-2</c:v>
                </c:pt>
                <c:pt idx="895">
                  <c:v>3.5837399999999998E-2</c:v>
                </c:pt>
                <c:pt idx="896">
                  <c:v>3.5877399999999997E-2</c:v>
                </c:pt>
                <c:pt idx="897">
                  <c:v>3.5917400000000002E-2</c:v>
                </c:pt>
                <c:pt idx="898">
                  <c:v>3.59574E-2</c:v>
                </c:pt>
                <c:pt idx="899">
                  <c:v>3.5997399999999999E-2</c:v>
                </c:pt>
                <c:pt idx="900">
                  <c:v>3.6037399999999997E-2</c:v>
                </c:pt>
                <c:pt idx="901">
                  <c:v>3.6077400000000003E-2</c:v>
                </c:pt>
                <c:pt idx="902">
                  <c:v>3.6117400000000001E-2</c:v>
                </c:pt>
                <c:pt idx="903">
                  <c:v>3.6157399999999999E-2</c:v>
                </c:pt>
                <c:pt idx="904">
                  <c:v>3.6197399999999998E-2</c:v>
                </c:pt>
                <c:pt idx="905">
                  <c:v>3.6237400000000003E-2</c:v>
                </c:pt>
                <c:pt idx="906">
                  <c:v>3.6277400000000001E-2</c:v>
                </c:pt>
                <c:pt idx="907">
                  <c:v>3.63174E-2</c:v>
                </c:pt>
                <c:pt idx="908">
                  <c:v>3.6357399999999998E-2</c:v>
                </c:pt>
                <c:pt idx="909">
                  <c:v>3.6397400000000003E-2</c:v>
                </c:pt>
                <c:pt idx="910">
                  <c:v>3.6437400000000002E-2</c:v>
                </c:pt>
                <c:pt idx="911">
                  <c:v>3.64774E-2</c:v>
                </c:pt>
                <c:pt idx="912">
                  <c:v>3.6517399999999998E-2</c:v>
                </c:pt>
                <c:pt idx="913">
                  <c:v>3.6557399999999997E-2</c:v>
                </c:pt>
                <c:pt idx="914">
                  <c:v>3.6597400000000002E-2</c:v>
                </c:pt>
                <c:pt idx="915">
                  <c:v>3.6637400000000001E-2</c:v>
                </c:pt>
                <c:pt idx="916">
                  <c:v>3.6677399999999999E-2</c:v>
                </c:pt>
                <c:pt idx="917">
                  <c:v>3.6717399999999997E-2</c:v>
                </c:pt>
                <c:pt idx="918">
                  <c:v>3.6757400000000003E-2</c:v>
                </c:pt>
                <c:pt idx="919">
                  <c:v>3.6797400000000001E-2</c:v>
                </c:pt>
                <c:pt idx="920">
                  <c:v>3.6837399999999999E-2</c:v>
                </c:pt>
                <c:pt idx="921">
                  <c:v>3.6877399999999998E-2</c:v>
                </c:pt>
                <c:pt idx="922">
                  <c:v>3.6917400000000003E-2</c:v>
                </c:pt>
                <c:pt idx="923">
                  <c:v>3.6957400000000001E-2</c:v>
                </c:pt>
                <c:pt idx="924">
                  <c:v>3.69974E-2</c:v>
                </c:pt>
                <c:pt idx="925">
                  <c:v>3.7037399999999998E-2</c:v>
                </c:pt>
                <c:pt idx="926">
                  <c:v>3.7077400000000003E-2</c:v>
                </c:pt>
                <c:pt idx="927">
                  <c:v>3.7117400000000002E-2</c:v>
                </c:pt>
                <c:pt idx="928">
                  <c:v>3.71574E-2</c:v>
                </c:pt>
                <c:pt idx="929">
                  <c:v>3.7197399999999999E-2</c:v>
                </c:pt>
                <c:pt idx="930">
                  <c:v>3.7237399999999997E-2</c:v>
                </c:pt>
                <c:pt idx="931">
                  <c:v>3.7277400000000002E-2</c:v>
                </c:pt>
                <c:pt idx="932">
                  <c:v>3.7317400000000001E-2</c:v>
                </c:pt>
                <c:pt idx="933">
                  <c:v>3.7357399999999999E-2</c:v>
                </c:pt>
                <c:pt idx="934">
                  <c:v>3.7397399999999997E-2</c:v>
                </c:pt>
                <c:pt idx="935">
                  <c:v>3.7437400000000003E-2</c:v>
                </c:pt>
                <c:pt idx="936">
                  <c:v>3.7477400000000001E-2</c:v>
                </c:pt>
                <c:pt idx="937">
                  <c:v>3.7517399999999999E-2</c:v>
                </c:pt>
                <c:pt idx="938">
                  <c:v>3.7557399999999998E-2</c:v>
                </c:pt>
                <c:pt idx="939">
                  <c:v>3.7597400000000003E-2</c:v>
                </c:pt>
                <c:pt idx="940">
                  <c:v>3.7637400000000001E-2</c:v>
                </c:pt>
                <c:pt idx="941">
                  <c:v>3.76774E-2</c:v>
                </c:pt>
                <c:pt idx="942">
                  <c:v>3.7717399999999998E-2</c:v>
                </c:pt>
                <c:pt idx="943">
                  <c:v>3.7757400000000003E-2</c:v>
                </c:pt>
                <c:pt idx="944">
                  <c:v>3.7797400000000002E-2</c:v>
                </c:pt>
                <c:pt idx="945">
                  <c:v>3.78374E-2</c:v>
                </c:pt>
                <c:pt idx="946">
                  <c:v>3.7877399999999999E-2</c:v>
                </c:pt>
                <c:pt idx="947">
                  <c:v>3.7917399999999997E-2</c:v>
                </c:pt>
                <c:pt idx="948">
                  <c:v>3.7957400000000002E-2</c:v>
                </c:pt>
                <c:pt idx="949">
                  <c:v>3.7997400000000001E-2</c:v>
                </c:pt>
                <c:pt idx="950">
                  <c:v>3.8037399999999999E-2</c:v>
                </c:pt>
                <c:pt idx="951">
                  <c:v>3.8077399999999997E-2</c:v>
                </c:pt>
                <c:pt idx="952">
                  <c:v>3.8117400000000003E-2</c:v>
                </c:pt>
                <c:pt idx="953">
                  <c:v>3.8157400000000001E-2</c:v>
                </c:pt>
                <c:pt idx="954">
                  <c:v>3.8197399999999999E-2</c:v>
                </c:pt>
                <c:pt idx="955">
                  <c:v>3.8237399999999998E-2</c:v>
                </c:pt>
                <c:pt idx="956">
                  <c:v>3.8277400000000003E-2</c:v>
                </c:pt>
                <c:pt idx="957">
                  <c:v>3.8317400000000001E-2</c:v>
                </c:pt>
                <c:pt idx="958">
                  <c:v>3.83574E-2</c:v>
                </c:pt>
                <c:pt idx="959">
                  <c:v>3.8397399999999998E-2</c:v>
                </c:pt>
                <c:pt idx="960">
                  <c:v>3.8437399999999997E-2</c:v>
                </c:pt>
                <c:pt idx="961">
                  <c:v>3.8477400000000002E-2</c:v>
                </c:pt>
                <c:pt idx="962">
                  <c:v>3.85174E-2</c:v>
                </c:pt>
                <c:pt idx="963">
                  <c:v>3.8557399999999999E-2</c:v>
                </c:pt>
                <c:pt idx="964">
                  <c:v>3.8597399999999997E-2</c:v>
                </c:pt>
                <c:pt idx="965">
                  <c:v>3.8637400000000002E-2</c:v>
                </c:pt>
                <c:pt idx="966">
                  <c:v>3.8677400000000001E-2</c:v>
                </c:pt>
                <c:pt idx="967">
                  <c:v>3.8717399999999999E-2</c:v>
                </c:pt>
                <c:pt idx="968">
                  <c:v>3.8757399999999997E-2</c:v>
                </c:pt>
                <c:pt idx="969">
                  <c:v>3.8797400000000003E-2</c:v>
                </c:pt>
                <c:pt idx="970">
                  <c:v>3.8837400000000001E-2</c:v>
                </c:pt>
                <c:pt idx="971">
                  <c:v>3.8877399999999999E-2</c:v>
                </c:pt>
                <c:pt idx="972">
                  <c:v>3.8917399999999998E-2</c:v>
                </c:pt>
                <c:pt idx="973">
                  <c:v>3.8957400000000003E-2</c:v>
                </c:pt>
                <c:pt idx="974">
                  <c:v>3.8997400000000002E-2</c:v>
                </c:pt>
                <c:pt idx="975">
                  <c:v>3.90374E-2</c:v>
                </c:pt>
                <c:pt idx="976">
                  <c:v>3.9077399999999998E-2</c:v>
                </c:pt>
                <c:pt idx="977">
                  <c:v>3.9117399999999997E-2</c:v>
                </c:pt>
                <c:pt idx="978">
                  <c:v>3.9157400000000002E-2</c:v>
                </c:pt>
                <c:pt idx="979">
                  <c:v>3.91974E-2</c:v>
                </c:pt>
                <c:pt idx="980">
                  <c:v>3.9237399999999999E-2</c:v>
                </c:pt>
                <c:pt idx="981">
                  <c:v>3.9277399999999997E-2</c:v>
                </c:pt>
                <c:pt idx="982">
                  <c:v>3.9317400000000002E-2</c:v>
                </c:pt>
                <c:pt idx="983">
                  <c:v>3.9357400000000001E-2</c:v>
                </c:pt>
                <c:pt idx="984">
                  <c:v>3.9397399999999999E-2</c:v>
                </c:pt>
                <c:pt idx="985">
                  <c:v>3.9437399999999997E-2</c:v>
                </c:pt>
                <c:pt idx="986">
                  <c:v>3.9477400000000003E-2</c:v>
                </c:pt>
                <c:pt idx="987">
                  <c:v>3.9517400000000001E-2</c:v>
                </c:pt>
                <c:pt idx="988">
                  <c:v>3.95574E-2</c:v>
                </c:pt>
                <c:pt idx="989">
                  <c:v>3.9597399999999998E-2</c:v>
                </c:pt>
                <c:pt idx="990">
                  <c:v>3.9637400000000003E-2</c:v>
                </c:pt>
                <c:pt idx="991">
                  <c:v>3.9677400000000002E-2</c:v>
                </c:pt>
                <c:pt idx="992">
                  <c:v>3.97174E-2</c:v>
                </c:pt>
                <c:pt idx="993">
                  <c:v>3.9757399999999998E-2</c:v>
                </c:pt>
                <c:pt idx="994">
                  <c:v>3.9797399999999997E-2</c:v>
                </c:pt>
                <c:pt idx="995">
                  <c:v>3.9837400000000002E-2</c:v>
                </c:pt>
                <c:pt idx="996">
                  <c:v>3.98774E-2</c:v>
                </c:pt>
                <c:pt idx="997">
                  <c:v>3.9917399999999999E-2</c:v>
                </c:pt>
                <c:pt idx="998">
                  <c:v>3.9957399999999997E-2</c:v>
                </c:pt>
                <c:pt idx="999">
                  <c:v>3.9997400000000002E-2</c:v>
                </c:pt>
                <c:pt idx="1000">
                  <c:v>4.0037400000000001E-2</c:v>
                </c:pt>
                <c:pt idx="1001">
                  <c:v>4.0077399999999999E-2</c:v>
                </c:pt>
                <c:pt idx="1002">
                  <c:v>4.0117399999999998E-2</c:v>
                </c:pt>
                <c:pt idx="1003">
                  <c:v>4.0157400000000003E-2</c:v>
                </c:pt>
                <c:pt idx="1004">
                  <c:v>4.0197400000000001E-2</c:v>
                </c:pt>
                <c:pt idx="1005">
                  <c:v>4.02374E-2</c:v>
                </c:pt>
                <c:pt idx="1006">
                  <c:v>4.0277399999999998E-2</c:v>
                </c:pt>
                <c:pt idx="1007">
                  <c:v>4.0317400000000003E-2</c:v>
                </c:pt>
                <c:pt idx="1008">
                  <c:v>4.0357400000000002E-2</c:v>
                </c:pt>
                <c:pt idx="1009">
                  <c:v>4.03974E-2</c:v>
                </c:pt>
                <c:pt idx="1010">
                  <c:v>4.0437399999999998E-2</c:v>
                </c:pt>
                <c:pt idx="1011">
                  <c:v>4.0477399999999997E-2</c:v>
                </c:pt>
                <c:pt idx="1012">
                  <c:v>4.0517400000000002E-2</c:v>
                </c:pt>
                <c:pt idx="1013">
                  <c:v>4.05574E-2</c:v>
                </c:pt>
                <c:pt idx="1014">
                  <c:v>4.0597399999999999E-2</c:v>
                </c:pt>
                <c:pt idx="1015">
                  <c:v>4.0637399999999997E-2</c:v>
                </c:pt>
                <c:pt idx="1016">
                  <c:v>4.0677400000000002E-2</c:v>
                </c:pt>
                <c:pt idx="1017">
                  <c:v>4.0717400000000001E-2</c:v>
                </c:pt>
                <c:pt idx="1018">
                  <c:v>4.0757399999999999E-2</c:v>
                </c:pt>
                <c:pt idx="1019">
                  <c:v>4.0797399999999998E-2</c:v>
                </c:pt>
                <c:pt idx="1020">
                  <c:v>4.0837400000000003E-2</c:v>
                </c:pt>
                <c:pt idx="1021">
                  <c:v>4.0877400000000001E-2</c:v>
                </c:pt>
                <c:pt idx="1022">
                  <c:v>4.09174E-2</c:v>
                </c:pt>
                <c:pt idx="1023">
                  <c:v>4.0957399999999998E-2</c:v>
                </c:pt>
                <c:pt idx="1024">
                  <c:v>4.0997400000000003E-2</c:v>
                </c:pt>
                <c:pt idx="1025">
                  <c:v>4.1037400000000002E-2</c:v>
                </c:pt>
                <c:pt idx="1026">
                  <c:v>4.10774E-2</c:v>
                </c:pt>
                <c:pt idx="1027">
                  <c:v>4.1117399999999998E-2</c:v>
                </c:pt>
                <c:pt idx="1028">
                  <c:v>4.1157399999999997E-2</c:v>
                </c:pt>
                <c:pt idx="1029">
                  <c:v>4.1197400000000002E-2</c:v>
                </c:pt>
                <c:pt idx="1030">
                  <c:v>4.12374E-2</c:v>
                </c:pt>
                <c:pt idx="1031">
                  <c:v>4.1277399999999999E-2</c:v>
                </c:pt>
                <c:pt idx="1032">
                  <c:v>4.1317399999999997E-2</c:v>
                </c:pt>
                <c:pt idx="1033">
                  <c:v>4.1357400000000002E-2</c:v>
                </c:pt>
                <c:pt idx="1034">
                  <c:v>4.1397400000000001E-2</c:v>
                </c:pt>
                <c:pt idx="1035">
                  <c:v>4.1437399999999999E-2</c:v>
                </c:pt>
                <c:pt idx="1036">
                  <c:v>4.1477399999999998E-2</c:v>
                </c:pt>
                <c:pt idx="1037">
                  <c:v>4.1517400000000003E-2</c:v>
                </c:pt>
                <c:pt idx="1038">
                  <c:v>4.1557400000000001E-2</c:v>
                </c:pt>
                <c:pt idx="1039">
                  <c:v>4.15974E-2</c:v>
                </c:pt>
                <c:pt idx="1040">
                  <c:v>4.1637399999999998E-2</c:v>
                </c:pt>
                <c:pt idx="1041">
                  <c:v>4.1677400000000003E-2</c:v>
                </c:pt>
                <c:pt idx="1042">
                  <c:v>4.1717400000000002E-2</c:v>
                </c:pt>
                <c:pt idx="1043">
                  <c:v>4.17574E-2</c:v>
                </c:pt>
                <c:pt idx="1044">
                  <c:v>4.1797399999999998E-2</c:v>
                </c:pt>
                <c:pt idx="1045">
                  <c:v>4.1837399999999997E-2</c:v>
                </c:pt>
                <c:pt idx="1046">
                  <c:v>4.1877400000000002E-2</c:v>
                </c:pt>
                <c:pt idx="1047">
                  <c:v>4.19174E-2</c:v>
                </c:pt>
                <c:pt idx="1048">
                  <c:v>4.1957399999999999E-2</c:v>
                </c:pt>
                <c:pt idx="1049">
                  <c:v>4.1997399999999997E-2</c:v>
                </c:pt>
                <c:pt idx="1050">
                  <c:v>4.2037400000000003E-2</c:v>
                </c:pt>
                <c:pt idx="1051">
                  <c:v>4.2077400000000001E-2</c:v>
                </c:pt>
                <c:pt idx="1052">
                  <c:v>4.2117399999999999E-2</c:v>
                </c:pt>
                <c:pt idx="1053">
                  <c:v>4.2157399999999998E-2</c:v>
                </c:pt>
                <c:pt idx="1054">
                  <c:v>4.2197400000000003E-2</c:v>
                </c:pt>
                <c:pt idx="1055">
                  <c:v>4.2237400000000001E-2</c:v>
                </c:pt>
                <c:pt idx="1056">
                  <c:v>4.22774E-2</c:v>
                </c:pt>
                <c:pt idx="1057">
                  <c:v>4.2317399999999998E-2</c:v>
                </c:pt>
                <c:pt idx="1058">
                  <c:v>4.2357400000000003E-2</c:v>
                </c:pt>
                <c:pt idx="1059">
                  <c:v>4.2397400000000002E-2</c:v>
                </c:pt>
                <c:pt idx="1060">
                  <c:v>4.24374E-2</c:v>
                </c:pt>
                <c:pt idx="1061">
                  <c:v>4.2477399999999998E-2</c:v>
                </c:pt>
                <c:pt idx="1062">
                  <c:v>4.2517399999999997E-2</c:v>
                </c:pt>
                <c:pt idx="1063">
                  <c:v>4.2557400000000002E-2</c:v>
                </c:pt>
                <c:pt idx="1064">
                  <c:v>4.2597400000000001E-2</c:v>
                </c:pt>
                <c:pt idx="1065">
                  <c:v>4.2637399999999999E-2</c:v>
                </c:pt>
                <c:pt idx="1066">
                  <c:v>4.2677399999999997E-2</c:v>
                </c:pt>
                <c:pt idx="1067">
                  <c:v>4.2717400000000003E-2</c:v>
                </c:pt>
                <c:pt idx="1068">
                  <c:v>4.2757400000000001E-2</c:v>
                </c:pt>
                <c:pt idx="1069">
                  <c:v>4.2797399999999999E-2</c:v>
                </c:pt>
                <c:pt idx="1070">
                  <c:v>4.2837399999999998E-2</c:v>
                </c:pt>
                <c:pt idx="1071">
                  <c:v>4.2877400000000003E-2</c:v>
                </c:pt>
                <c:pt idx="1072">
                  <c:v>4.2917400000000001E-2</c:v>
                </c:pt>
                <c:pt idx="1073">
                  <c:v>4.29574E-2</c:v>
                </c:pt>
                <c:pt idx="1074">
                  <c:v>4.2997399999999998E-2</c:v>
                </c:pt>
                <c:pt idx="1075">
                  <c:v>4.3037400000000003E-2</c:v>
                </c:pt>
                <c:pt idx="1076">
                  <c:v>4.3077400000000002E-2</c:v>
                </c:pt>
                <c:pt idx="1077">
                  <c:v>4.31174E-2</c:v>
                </c:pt>
                <c:pt idx="1078">
                  <c:v>4.3157399999999999E-2</c:v>
                </c:pt>
                <c:pt idx="1079">
                  <c:v>4.3197399999999997E-2</c:v>
                </c:pt>
                <c:pt idx="1080">
                  <c:v>4.3237400000000002E-2</c:v>
                </c:pt>
                <c:pt idx="1081">
                  <c:v>4.3277400000000001E-2</c:v>
                </c:pt>
                <c:pt idx="1082">
                  <c:v>4.3317399999999999E-2</c:v>
                </c:pt>
                <c:pt idx="1083">
                  <c:v>4.3357399999999997E-2</c:v>
                </c:pt>
                <c:pt idx="1084">
                  <c:v>4.3397400000000003E-2</c:v>
                </c:pt>
                <c:pt idx="1085">
                  <c:v>4.3437400000000001E-2</c:v>
                </c:pt>
                <c:pt idx="1086">
                  <c:v>4.3477399999999999E-2</c:v>
                </c:pt>
                <c:pt idx="1087">
                  <c:v>4.3517399999999998E-2</c:v>
                </c:pt>
                <c:pt idx="1088">
                  <c:v>4.3557400000000003E-2</c:v>
                </c:pt>
                <c:pt idx="1089">
                  <c:v>4.3597400000000001E-2</c:v>
                </c:pt>
                <c:pt idx="1090">
                  <c:v>4.36374E-2</c:v>
                </c:pt>
                <c:pt idx="1091">
                  <c:v>4.3677399999999998E-2</c:v>
                </c:pt>
                <c:pt idx="1092">
                  <c:v>4.3717399999999997E-2</c:v>
                </c:pt>
                <c:pt idx="1093">
                  <c:v>4.3757400000000002E-2</c:v>
                </c:pt>
                <c:pt idx="1094">
                  <c:v>4.37974E-2</c:v>
                </c:pt>
                <c:pt idx="1095">
                  <c:v>4.3837399999999999E-2</c:v>
                </c:pt>
                <c:pt idx="1096">
                  <c:v>4.3877399999999997E-2</c:v>
                </c:pt>
                <c:pt idx="1097">
                  <c:v>4.3917400000000002E-2</c:v>
                </c:pt>
                <c:pt idx="1098">
                  <c:v>4.3957400000000001E-2</c:v>
                </c:pt>
                <c:pt idx="1099">
                  <c:v>4.3997399999999999E-2</c:v>
                </c:pt>
                <c:pt idx="1100">
                  <c:v>4.4037399999999997E-2</c:v>
                </c:pt>
                <c:pt idx="1101">
                  <c:v>4.4077400000000003E-2</c:v>
                </c:pt>
                <c:pt idx="1102">
                  <c:v>4.4117400000000001E-2</c:v>
                </c:pt>
                <c:pt idx="1103">
                  <c:v>4.4157399999999999E-2</c:v>
                </c:pt>
                <c:pt idx="1104">
                  <c:v>4.4197399999999998E-2</c:v>
                </c:pt>
                <c:pt idx="1105">
                  <c:v>4.4237400000000003E-2</c:v>
                </c:pt>
                <c:pt idx="1106">
                  <c:v>4.4277400000000001E-2</c:v>
                </c:pt>
                <c:pt idx="1107">
                  <c:v>4.43174E-2</c:v>
                </c:pt>
                <c:pt idx="1108">
                  <c:v>4.4357399999999998E-2</c:v>
                </c:pt>
                <c:pt idx="1109">
                  <c:v>4.4397399999999997E-2</c:v>
                </c:pt>
                <c:pt idx="1110">
                  <c:v>4.4437400000000002E-2</c:v>
                </c:pt>
                <c:pt idx="1111">
                  <c:v>4.44774E-2</c:v>
                </c:pt>
                <c:pt idx="1112">
                  <c:v>4.4517399999999999E-2</c:v>
                </c:pt>
                <c:pt idx="1113">
                  <c:v>4.4557399999999997E-2</c:v>
                </c:pt>
                <c:pt idx="1114">
                  <c:v>4.4597400000000002E-2</c:v>
                </c:pt>
                <c:pt idx="1115">
                  <c:v>4.4637400000000001E-2</c:v>
                </c:pt>
                <c:pt idx="1116">
                  <c:v>4.4677399999999999E-2</c:v>
                </c:pt>
                <c:pt idx="1117">
                  <c:v>4.4717399999999997E-2</c:v>
                </c:pt>
                <c:pt idx="1118">
                  <c:v>4.4757400000000003E-2</c:v>
                </c:pt>
                <c:pt idx="1119">
                  <c:v>4.4797400000000001E-2</c:v>
                </c:pt>
                <c:pt idx="1120">
                  <c:v>4.4837399999999999E-2</c:v>
                </c:pt>
                <c:pt idx="1121">
                  <c:v>4.4877399999999998E-2</c:v>
                </c:pt>
                <c:pt idx="1122">
                  <c:v>4.4917400000000003E-2</c:v>
                </c:pt>
                <c:pt idx="1123">
                  <c:v>4.4957400000000002E-2</c:v>
                </c:pt>
                <c:pt idx="1124">
                  <c:v>4.49974E-2</c:v>
                </c:pt>
                <c:pt idx="1125">
                  <c:v>4.5037399999999998E-2</c:v>
                </c:pt>
                <c:pt idx="1126">
                  <c:v>4.5077399999999997E-2</c:v>
                </c:pt>
                <c:pt idx="1127">
                  <c:v>4.5117400000000002E-2</c:v>
                </c:pt>
                <c:pt idx="1128">
                  <c:v>4.51574E-2</c:v>
                </c:pt>
                <c:pt idx="1129">
                  <c:v>4.5197399999999999E-2</c:v>
                </c:pt>
                <c:pt idx="1130">
                  <c:v>4.5237399999999997E-2</c:v>
                </c:pt>
                <c:pt idx="1131">
                  <c:v>4.5277400000000002E-2</c:v>
                </c:pt>
                <c:pt idx="1132">
                  <c:v>4.5317400000000001E-2</c:v>
                </c:pt>
                <c:pt idx="1133">
                  <c:v>4.5357399999999999E-2</c:v>
                </c:pt>
                <c:pt idx="1134">
                  <c:v>4.5397399999999997E-2</c:v>
                </c:pt>
                <c:pt idx="1135">
                  <c:v>4.5437400000000003E-2</c:v>
                </c:pt>
                <c:pt idx="1136">
                  <c:v>4.5477400000000001E-2</c:v>
                </c:pt>
                <c:pt idx="1137">
                  <c:v>4.55174E-2</c:v>
                </c:pt>
                <c:pt idx="1138">
                  <c:v>4.5557399999999998E-2</c:v>
                </c:pt>
                <c:pt idx="1139">
                  <c:v>4.5597400000000003E-2</c:v>
                </c:pt>
                <c:pt idx="1140">
                  <c:v>4.5637400000000002E-2</c:v>
                </c:pt>
                <c:pt idx="1141">
                  <c:v>4.56774E-2</c:v>
                </c:pt>
                <c:pt idx="1142">
                  <c:v>4.5717399999999998E-2</c:v>
                </c:pt>
                <c:pt idx="1143">
                  <c:v>4.5757399999999997E-2</c:v>
                </c:pt>
                <c:pt idx="1144">
                  <c:v>4.5797400000000002E-2</c:v>
                </c:pt>
                <c:pt idx="1145">
                  <c:v>4.58374E-2</c:v>
                </c:pt>
                <c:pt idx="1146">
                  <c:v>4.5877399999999999E-2</c:v>
                </c:pt>
                <c:pt idx="1147">
                  <c:v>4.5917399999999997E-2</c:v>
                </c:pt>
                <c:pt idx="1148">
                  <c:v>4.5957400000000002E-2</c:v>
                </c:pt>
                <c:pt idx="1149">
                  <c:v>4.5997400000000001E-2</c:v>
                </c:pt>
                <c:pt idx="1150">
                  <c:v>4.6037399999999999E-2</c:v>
                </c:pt>
                <c:pt idx="1151">
                  <c:v>4.6077399999999998E-2</c:v>
                </c:pt>
                <c:pt idx="1152">
                  <c:v>4.6117400000000003E-2</c:v>
                </c:pt>
                <c:pt idx="1153">
                  <c:v>4.6157400000000001E-2</c:v>
                </c:pt>
                <c:pt idx="1154">
                  <c:v>4.61974E-2</c:v>
                </c:pt>
                <c:pt idx="1155">
                  <c:v>4.6237399999999998E-2</c:v>
                </c:pt>
                <c:pt idx="1156">
                  <c:v>4.6277400000000003E-2</c:v>
                </c:pt>
                <c:pt idx="1157">
                  <c:v>4.6317400000000002E-2</c:v>
                </c:pt>
                <c:pt idx="1158">
                  <c:v>4.63574E-2</c:v>
                </c:pt>
                <c:pt idx="1159">
                  <c:v>4.6397399999999998E-2</c:v>
                </c:pt>
                <c:pt idx="1160">
                  <c:v>4.6437399999999997E-2</c:v>
                </c:pt>
                <c:pt idx="1161">
                  <c:v>4.6477400000000002E-2</c:v>
                </c:pt>
                <c:pt idx="1162">
                  <c:v>4.65174E-2</c:v>
                </c:pt>
                <c:pt idx="1163">
                  <c:v>4.6557399999999999E-2</c:v>
                </c:pt>
                <c:pt idx="1164">
                  <c:v>4.6597399999999997E-2</c:v>
                </c:pt>
                <c:pt idx="1165">
                  <c:v>4.6637400000000002E-2</c:v>
                </c:pt>
                <c:pt idx="1166">
                  <c:v>4.6677400000000001E-2</c:v>
                </c:pt>
                <c:pt idx="1167">
                  <c:v>4.6717399999999999E-2</c:v>
                </c:pt>
                <c:pt idx="1168">
                  <c:v>4.6757399999999998E-2</c:v>
                </c:pt>
                <c:pt idx="1169">
                  <c:v>4.6797400000000003E-2</c:v>
                </c:pt>
                <c:pt idx="1170">
                  <c:v>4.6837400000000001E-2</c:v>
                </c:pt>
                <c:pt idx="1171">
                  <c:v>4.68774E-2</c:v>
                </c:pt>
                <c:pt idx="1172">
                  <c:v>4.6917399999999998E-2</c:v>
                </c:pt>
                <c:pt idx="1173">
                  <c:v>4.6957400000000003E-2</c:v>
                </c:pt>
                <c:pt idx="1174">
                  <c:v>4.6997400000000002E-2</c:v>
                </c:pt>
                <c:pt idx="1175">
                  <c:v>4.70374E-2</c:v>
                </c:pt>
                <c:pt idx="1176">
                  <c:v>4.7077399999999998E-2</c:v>
                </c:pt>
                <c:pt idx="1177">
                  <c:v>4.7117399999999997E-2</c:v>
                </c:pt>
                <c:pt idx="1178">
                  <c:v>4.7157400000000002E-2</c:v>
                </c:pt>
                <c:pt idx="1179">
                  <c:v>4.71974E-2</c:v>
                </c:pt>
                <c:pt idx="1180">
                  <c:v>4.7237399999999999E-2</c:v>
                </c:pt>
                <c:pt idx="1181">
                  <c:v>4.7277399999999997E-2</c:v>
                </c:pt>
                <c:pt idx="1182">
                  <c:v>4.7317400000000003E-2</c:v>
                </c:pt>
                <c:pt idx="1183">
                  <c:v>4.7357400000000001E-2</c:v>
                </c:pt>
                <c:pt idx="1184">
                  <c:v>4.7397399999999999E-2</c:v>
                </c:pt>
                <c:pt idx="1185">
                  <c:v>4.7437399999999998E-2</c:v>
                </c:pt>
                <c:pt idx="1186">
                  <c:v>4.7477400000000003E-2</c:v>
                </c:pt>
                <c:pt idx="1187">
                  <c:v>4.7517400000000001E-2</c:v>
                </c:pt>
                <c:pt idx="1188">
                  <c:v>4.75574E-2</c:v>
                </c:pt>
                <c:pt idx="1189">
                  <c:v>4.7597399999999998E-2</c:v>
                </c:pt>
                <c:pt idx="1190">
                  <c:v>4.7637400000000003E-2</c:v>
                </c:pt>
                <c:pt idx="1191">
                  <c:v>4.7677400000000002E-2</c:v>
                </c:pt>
                <c:pt idx="1192">
                  <c:v>4.77174E-2</c:v>
                </c:pt>
                <c:pt idx="1193">
                  <c:v>4.7757399999999998E-2</c:v>
                </c:pt>
                <c:pt idx="1194">
                  <c:v>4.7797399999999997E-2</c:v>
                </c:pt>
                <c:pt idx="1195">
                  <c:v>4.7837400000000002E-2</c:v>
                </c:pt>
                <c:pt idx="1196">
                  <c:v>4.7877400000000001E-2</c:v>
                </c:pt>
                <c:pt idx="1197">
                  <c:v>4.7917399999999999E-2</c:v>
                </c:pt>
                <c:pt idx="1198">
                  <c:v>4.7957399999999997E-2</c:v>
                </c:pt>
                <c:pt idx="1199">
                  <c:v>4.7997400000000003E-2</c:v>
                </c:pt>
                <c:pt idx="1200">
                  <c:v>4.8037400000000001E-2</c:v>
                </c:pt>
                <c:pt idx="1201">
                  <c:v>4.8077399999999999E-2</c:v>
                </c:pt>
                <c:pt idx="1202">
                  <c:v>4.8117399999999998E-2</c:v>
                </c:pt>
                <c:pt idx="1203">
                  <c:v>4.8157400000000003E-2</c:v>
                </c:pt>
                <c:pt idx="1204">
                  <c:v>4.8197400000000001E-2</c:v>
                </c:pt>
                <c:pt idx="1205">
                  <c:v>4.82374E-2</c:v>
                </c:pt>
                <c:pt idx="1206">
                  <c:v>4.8277399999999998E-2</c:v>
                </c:pt>
                <c:pt idx="1207">
                  <c:v>4.8317400000000003E-2</c:v>
                </c:pt>
                <c:pt idx="1208">
                  <c:v>4.8357400000000002E-2</c:v>
                </c:pt>
                <c:pt idx="1209">
                  <c:v>4.83974E-2</c:v>
                </c:pt>
                <c:pt idx="1210">
                  <c:v>4.8437399999999999E-2</c:v>
                </c:pt>
                <c:pt idx="1211">
                  <c:v>4.8477399999999997E-2</c:v>
                </c:pt>
                <c:pt idx="1212">
                  <c:v>4.8517400000000002E-2</c:v>
                </c:pt>
                <c:pt idx="1213">
                  <c:v>4.8557400000000001E-2</c:v>
                </c:pt>
                <c:pt idx="1214">
                  <c:v>4.8597399999999999E-2</c:v>
                </c:pt>
                <c:pt idx="1215">
                  <c:v>4.8637399999999997E-2</c:v>
                </c:pt>
                <c:pt idx="1216">
                  <c:v>4.8677400000000003E-2</c:v>
                </c:pt>
                <c:pt idx="1217">
                  <c:v>4.8717400000000001E-2</c:v>
                </c:pt>
                <c:pt idx="1218">
                  <c:v>4.8757399999999999E-2</c:v>
                </c:pt>
                <c:pt idx="1219">
                  <c:v>4.8797399999999998E-2</c:v>
                </c:pt>
                <c:pt idx="1220">
                  <c:v>4.8837400000000003E-2</c:v>
                </c:pt>
                <c:pt idx="1221">
                  <c:v>4.8877400000000001E-2</c:v>
                </c:pt>
                <c:pt idx="1222">
                  <c:v>4.89174E-2</c:v>
                </c:pt>
                <c:pt idx="1223">
                  <c:v>4.8957399999999998E-2</c:v>
                </c:pt>
                <c:pt idx="1224">
                  <c:v>4.8997400000000003E-2</c:v>
                </c:pt>
                <c:pt idx="1225">
                  <c:v>4.9037400000000002E-2</c:v>
                </c:pt>
                <c:pt idx="1226">
                  <c:v>4.90774E-2</c:v>
                </c:pt>
                <c:pt idx="1227">
                  <c:v>4.9117399999999999E-2</c:v>
                </c:pt>
                <c:pt idx="1228">
                  <c:v>4.9157399999999997E-2</c:v>
                </c:pt>
                <c:pt idx="1229">
                  <c:v>4.9197400000000002E-2</c:v>
                </c:pt>
                <c:pt idx="1230">
                  <c:v>4.9237400000000001E-2</c:v>
                </c:pt>
                <c:pt idx="1231">
                  <c:v>4.9277399999999999E-2</c:v>
                </c:pt>
                <c:pt idx="1232">
                  <c:v>4.9317399999999997E-2</c:v>
                </c:pt>
                <c:pt idx="1233">
                  <c:v>4.9357400000000003E-2</c:v>
                </c:pt>
                <c:pt idx="1234">
                  <c:v>4.9397400000000001E-2</c:v>
                </c:pt>
                <c:pt idx="1235">
                  <c:v>4.9437399999999999E-2</c:v>
                </c:pt>
                <c:pt idx="1236">
                  <c:v>4.9477399999999998E-2</c:v>
                </c:pt>
                <c:pt idx="1237">
                  <c:v>4.9517400000000003E-2</c:v>
                </c:pt>
                <c:pt idx="1238">
                  <c:v>4.9557400000000001E-2</c:v>
                </c:pt>
                <c:pt idx="1239">
                  <c:v>4.95974E-2</c:v>
                </c:pt>
                <c:pt idx="1240">
                  <c:v>4.9637399999999998E-2</c:v>
                </c:pt>
                <c:pt idx="1241">
                  <c:v>4.9677399999999997E-2</c:v>
                </c:pt>
                <c:pt idx="1242">
                  <c:v>4.9717400000000002E-2</c:v>
                </c:pt>
                <c:pt idx="1243">
                  <c:v>4.97574E-2</c:v>
                </c:pt>
                <c:pt idx="1244">
                  <c:v>4.9797399999999999E-2</c:v>
                </c:pt>
                <c:pt idx="1245">
                  <c:v>4.9837399999999997E-2</c:v>
                </c:pt>
                <c:pt idx="1246">
                  <c:v>4.9877400000000002E-2</c:v>
                </c:pt>
                <c:pt idx="1247">
                  <c:v>4.9917400000000001E-2</c:v>
                </c:pt>
                <c:pt idx="1248">
                  <c:v>4.9957399999999999E-2</c:v>
                </c:pt>
                <c:pt idx="1249">
                  <c:v>4.9997399999999997E-2</c:v>
                </c:pt>
                <c:pt idx="1250">
                  <c:v>5.0037400000000003E-2</c:v>
                </c:pt>
                <c:pt idx="1251">
                  <c:v>5.0077400000000001E-2</c:v>
                </c:pt>
                <c:pt idx="1252">
                  <c:v>5.0117399999999999E-2</c:v>
                </c:pt>
                <c:pt idx="1253">
                  <c:v>5.0157399999999998E-2</c:v>
                </c:pt>
                <c:pt idx="1254">
                  <c:v>5.0197400000000003E-2</c:v>
                </c:pt>
                <c:pt idx="1255">
                  <c:v>5.0237400000000001E-2</c:v>
                </c:pt>
                <c:pt idx="1256">
                  <c:v>5.02774E-2</c:v>
                </c:pt>
                <c:pt idx="1257">
                  <c:v>5.0317399999999998E-2</c:v>
                </c:pt>
                <c:pt idx="1258">
                  <c:v>5.0357399999999997E-2</c:v>
                </c:pt>
                <c:pt idx="1259">
                  <c:v>5.0397400000000002E-2</c:v>
                </c:pt>
                <c:pt idx="1260">
                  <c:v>5.04374E-2</c:v>
                </c:pt>
                <c:pt idx="1261">
                  <c:v>5.0477399999999999E-2</c:v>
                </c:pt>
                <c:pt idx="1262">
                  <c:v>5.0517399999999997E-2</c:v>
                </c:pt>
                <c:pt idx="1263">
                  <c:v>5.0557400000000002E-2</c:v>
                </c:pt>
                <c:pt idx="1264">
                  <c:v>5.0597400000000001E-2</c:v>
                </c:pt>
                <c:pt idx="1265">
                  <c:v>5.0637399999999999E-2</c:v>
                </c:pt>
                <c:pt idx="1266">
                  <c:v>5.0677399999999997E-2</c:v>
                </c:pt>
                <c:pt idx="1267">
                  <c:v>5.0717400000000003E-2</c:v>
                </c:pt>
                <c:pt idx="1268">
                  <c:v>5.0757400000000001E-2</c:v>
                </c:pt>
                <c:pt idx="1269">
                  <c:v>5.0797399999999999E-2</c:v>
                </c:pt>
                <c:pt idx="1270">
                  <c:v>5.0837399999999998E-2</c:v>
                </c:pt>
                <c:pt idx="1271">
                  <c:v>5.0877400000000003E-2</c:v>
                </c:pt>
                <c:pt idx="1272">
                  <c:v>5.0917400000000002E-2</c:v>
                </c:pt>
                <c:pt idx="1273">
                  <c:v>5.09574E-2</c:v>
                </c:pt>
                <c:pt idx="1274">
                  <c:v>5.0997399999999998E-2</c:v>
                </c:pt>
                <c:pt idx="1275">
                  <c:v>5.1037399999999997E-2</c:v>
                </c:pt>
                <c:pt idx="1276">
                  <c:v>5.1077400000000002E-2</c:v>
                </c:pt>
                <c:pt idx="1277">
                  <c:v>5.11174E-2</c:v>
                </c:pt>
                <c:pt idx="1278">
                  <c:v>5.1157399999999999E-2</c:v>
                </c:pt>
                <c:pt idx="1279">
                  <c:v>5.1197399999999997E-2</c:v>
                </c:pt>
                <c:pt idx="1280">
                  <c:v>5.1237400000000002E-2</c:v>
                </c:pt>
                <c:pt idx="1281">
                  <c:v>5.1277400000000001E-2</c:v>
                </c:pt>
                <c:pt idx="1282">
                  <c:v>5.1317399999999999E-2</c:v>
                </c:pt>
                <c:pt idx="1283">
                  <c:v>5.1357399999999997E-2</c:v>
                </c:pt>
                <c:pt idx="1284">
                  <c:v>5.1397400000000003E-2</c:v>
                </c:pt>
                <c:pt idx="1285">
                  <c:v>5.1437400000000001E-2</c:v>
                </c:pt>
                <c:pt idx="1286">
                  <c:v>5.14774E-2</c:v>
                </c:pt>
                <c:pt idx="1287">
                  <c:v>5.1517399999999998E-2</c:v>
                </c:pt>
                <c:pt idx="1288">
                  <c:v>5.1557400000000003E-2</c:v>
                </c:pt>
                <c:pt idx="1289">
                  <c:v>5.1597400000000002E-2</c:v>
                </c:pt>
                <c:pt idx="1290">
                  <c:v>5.16374E-2</c:v>
                </c:pt>
                <c:pt idx="1291">
                  <c:v>5.1677399999999998E-2</c:v>
                </c:pt>
                <c:pt idx="1292">
                  <c:v>5.1717399999999997E-2</c:v>
                </c:pt>
                <c:pt idx="1293">
                  <c:v>5.1757400000000002E-2</c:v>
                </c:pt>
                <c:pt idx="1294">
                  <c:v>5.17974E-2</c:v>
                </c:pt>
                <c:pt idx="1295">
                  <c:v>5.1837399999999999E-2</c:v>
                </c:pt>
                <c:pt idx="1296">
                  <c:v>5.1877399999999997E-2</c:v>
                </c:pt>
                <c:pt idx="1297">
                  <c:v>5.1917400000000002E-2</c:v>
                </c:pt>
                <c:pt idx="1298">
                  <c:v>5.1957400000000001E-2</c:v>
                </c:pt>
                <c:pt idx="1299">
                  <c:v>5.1997399999999999E-2</c:v>
                </c:pt>
                <c:pt idx="1300">
                  <c:v>5.2037399999999998E-2</c:v>
                </c:pt>
                <c:pt idx="1301">
                  <c:v>5.2077400000000003E-2</c:v>
                </c:pt>
                <c:pt idx="1302">
                  <c:v>5.2117400000000001E-2</c:v>
                </c:pt>
                <c:pt idx="1303">
                  <c:v>5.21574E-2</c:v>
                </c:pt>
                <c:pt idx="1304">
                  <c:v>5.2197399999999998E-2</c:v>
                </c:pt>
                <c:pt idx="1305">
                  <c:v>5.2237400000000003E-2</c:v>
                </c:pt>
                <c:pt idx="1306">
                  <c:v>5.2277400000000002E-2</c:v>
                </c:pt>
                <c:pt idx="1307">
                  <c:v>5.23174E-2</c:v>
                </c:pt>
                <c:pt idx="1308">
                  <c:v>5.2357399999999998E-2</c:v>
                </c:pt>
                <c:pt idx="1309">
                  <c:v>5.2397399999999997E-2</c:v>
                </c:pt>
                <c:pt idx="1310">
                  <c:v>5.2437400000000002E-2</c:v>
                </c:pt>
                <c:pt idx="1311">
                  <c:v>5.24774E-2</c:v>
                </c:pt>
                <c:pt idx="1312">
                  <c:v>5.2517399999999999E-2</c:v>
                </c:pt>
                <c:pt idx="1313">
                  <c:v>5.2557399999999997E-2</c:v>
                </c:pt>
                <c:pt idx="1314">
                  <c:v>5.2597400000000002E-2</c:v>
                </c:pt>
                <c:pt idx="1315">
                  <c:v>5.2637400000000001E-2</c:v>
                </c:pt>
                <c:pt idx="1316">
                  <c:v>5.2677399999999999E-2</c:v>
                </c:pt>
                <c:pt idx="1317">
                  <c:v>5.2717399999999998E-2</c:v>
                </c:pt>
                <c:pt idx="1318">
                  <c:v>5.2757400000000003E-2</c:v>
                </c:pt>
                <c:pt idx="1319">
                  <c:v>5.2797400000000001E-2</c:v>
                </c:pt>
                <c:pt idx="1320">
                  <c:v>5.28374E-2</c:v>
                </c:pt>
                <c:pt idx="1321">
                  <c:v>5.2877399999999998E-2</c:v>
                </c:pt>
                <c:pt idx="1322">
                  <c:v>5.2917400000000003E-2</c:v>
                </c:pt>
                <c:pt idx="1323">
                  <c:v>5.2957400000000002E-2</c:v>
                </c:pt>
                <c:pt idx="1324">
                  <c:v>5.29974E-2</c:v>
                </c:pt>
                <c:pt idx="1325">
                  <c:v>5.3037399999999998E-2</c:v>
                </c:pt>
                <c:pt idx="1326">
                  <c:v>5.3077399999999997E-2</c:v>
                </c:pt>
                <c:pt idx="1327">
                  <c:v>5.3117400000000002E-2</c:v>
                </c:pt>
                <c:pt idx="1328">
                  <c:v>5.31574E-2</c:v>
                </c:pt>
                <c:pt idx="1329">
                  <c:v>5.3197399999999999E-2</c:v>
                </c:pt>
                <c:pt idx="1330">
                  <c:v>5.3237399999999997E-2</c:v>
                </c:pt>
                <c:pt idx="1331">
                  <c:v>5.3277400000000003E-2</c:v>
                </c:pt>
                <c:pt idx="1332">
                  <c:v>5.3317400000000001E-2</c:v>
                </c:pt>
                <c:pt idx="1333">
                  <c:v>5.3357399999999999E-2</c:v>
                </c:pt>
                <c:pt idx="1334">
                  <c:v>5.3397399999999998E-2</c:v>
                </c:pt>
                <c:pt idx="1335">
                  <c:v>5.3437400000000003E-2</c:v>
                </c:pt>
                <c:pt idx="1336">
                  <c:v>5.3477400000000001E-2</c:v>
                </c:pt>
                <c:pt idx="1337">
                  <c:v>5.35174E-2</c:v>
                </c:pt>
                <c:pt idx="1338">
                  <c:v>5.3557399999999998E-2</c:v>
                </c:pt>
                <c:pt idx="1339">
                  <c:v>5.3597400000000003E-2</c:v>
                </c:pt>
                <c:pt idx="1340">
                  <c:v>5.3637400000000002E-2</c:v>
                </c:pt>
                <c:pt idx="1341">
                  <c:v>5.36774E-2</c:v>
                </c:pt>
                <c:pt idx="1342">
                  <c:v>5.3717399999999998E-2</c:v>
                </c:pt>
                <c:pt idx="1343">
                  <c:v>5.3757399999999997E-2</c:v>
                </c:pt>
                <c:pt idx="1344">
                  <c:v>5.3797400000000002E-2</c:v>
                </c:pt>
                <c:pt idx="1345">
                  <c:v>5.3837400000000001E-2</c:v>
                </c:pt>
                <c:pt idx="1346">
                  <c:v>5.3877399999999999E-2</c:v>
                </c:pt>
                <c:pt idx="1347">
                  <c:v>5.3917399999999997E-2</c:v>
                </c:pt>
                <c:pt idx="1348">
                  <c:v>5.3957400000000003E-2</c:v>
                </c:pt>
                <c:pt idx="1349">
                  <c:v>5.3997400000000001E-2</c:v>
                </c:pt>
                <c:pt idx="1350">
                  <c:v>5.4037399999999999E-2</c:v>
                </c:pt>
                <c:pt idx="1351">
                  <c:v>5.4077399999999998E-2</c:v>
                </c:pt>
                <c:pt idx="1352">
                  <c:v>5.4117400000000003E-2</c:v>
                </c:pt>
                <c:pt idx="1353">
                  <c:v>5.4157400000000001E-2</c:v>
                </c:pt>
                <c:pt idx="1354">
                  <c:v>5.41974E-2</c:v>
                </c:pt>
                <c:pt idx="1355">
                  <c:v>5.4237399999999998E-2</c:v>
                </c:pt>
                <c:pt idx="1356">
                  <c:v>5.4277400000000003E-2</c:v>
                </c:pt>
                <c:pt idx="1357">
                  <c:v>5.4317400000000002E-2</c:v>
                </c:pt>
                <c:pt idx="1358">
                  <c:v>5.43574E-2</c:v>
                </c:pt>
                <c:pt idx="1359">
                  <c:v>5.4397399999999999E-2</c:v>
                </c:pt>
                <c:pt idx="1360">
                  <c:v>5.4437399999999997E-2</c:v>
                </c:pt>
                <c:pt idx="1361">
                  <c:v>5.4477400000000002E-2</c:v>
                </c:pt>
                <c:pt idx="1362">
                  <c:v>5.4517400000000001E-2</c:v>
                </c:pt>
                <c:pt idx="1363">
                  <c:v>5.4557399999999999E-2</c:v>
                </c:pt>
                <c:pt idx="1364">
                  <c:v>5.4597399999999997E-2</c:v>
                </c:pt>
                <c:pt idx="1365">
                  <c:v>5.4637400000000003E-2</c:v>
                </c:pt>
                <c:pt idx="1366">
                  <c:v>5.4677400000000001E-2</c:v>
                </c:pt>
                <c:pt idx="1367">
                  <c:v>5.4717399999999999E-2</c:v>
                </c:pt>
                <c:pt idx="1368">
                  <c:v>5.4757399999999998E-2</c:v>
                </c:pt>
                <c:pt idx="1369">
                  <c:v>5.4797400000000003E-2</c:v>
                </c:pt>
                <c:pt idx="1370">
                  <c:v>5.4837400000000001E-2</c:v>
                </c:pt>
                <c:pt idx="1371">
                  <c:v>5.48774E-2</c:v>
                </c:pt>
                <c:pt idx="1372">
                  <c:v>5.4917399999999998E-2</c:v>
                </c:pt>
                <c:pt idx="1373">
                  <c:v>5.4957399999999997E-2</c:v>
                </c:pt>
                <c:pt idx="1374">
                  <c:v>5.4997400000000002E-2</c:v>
                </c:pt>
                <c:pt idx="1375">
                  <c:v>5.50374E-2</c:v>
                </c:pt>
                <c:pt idx="1376">
                  <c:v>5.5077399999999999E-2</c:v>
                </c:pt>
                <c:pt idx="1377">
                  <c:v>5.5117399999999997E-2</c:v>
                </c:pt>
                <c:pt idx="1378">
                  <c:v>5.5157400000000002E-2</c:v>
                </c:pt>
                <c:pt idx="1379">
                  <c:v>5.5197400000000001E-2</c:v>
                </c:pt>
                <c:pt idx="1380">
                  <c:v>5.5237399999999999E-2</c:v>
                </c:pt>
                <c:pt idx="1381">
                  <c:v>5.5277399999999997E-2</c:v>
                </c:pt>
                <c:pt idx="1382">
                  <c:v>5.5317400000000003E-2</c:v>
                </c:pt>
                <c:pt idx="1383">
                  <c:v>5.5357400000000001E-2</c:v>
                </c:pt>
                <c:pt idx="1384">
                  <c:v>5.5397399999999999E-2</c:v>
                </c:pt>
                <c:pt idx="1385">
                  <c:v>5.5437399999999998E-2</c:v>
                </c:pt>
                <c:pt idx="1386">
                  <c:v>5.5477400000000003E-2</c:v>
                </c:pt>
                <c:pt idx="1387">
                  <c:v>5.5517400000000001E-2</c:v>
                </c:pt>
                <c:pt idx="1388">
                  <c:v>5.55574E-2</c:v>
                </c:pt>
                <c:pt idx="1389">
                  <c:v>5.5597399999999998E-2</c:v>
                </c:pt>
                <c:pt idx="1390">
                  <c:v>5.5637399999999997E-2</c:v>
                </c:pt>
                <c:pt idx="1391">
                  <c:v>5.5677400000000002E-2</c:v>
                </c:pt>
                <c:pt idx="1392">
                  <c:v>5.57174E-2</c:v>
                </c:pt>
                <c:pt idx="1393">
                  <c:v>5.5757399999999999E-2</c:v>
                </c:pt>
                <c:pt idx="1394">
                  <c:v>5.5797399999999997E-2</c:v>
                </c:pt>
                <c:pt idx="1395">
                  <c:v>5.5837400000000002E-2</c:v>
                </c:pt>
                <c:pt idx="1396">
                  <c:v>5.5877400000000001E-2</c:v>
                </c:pt>
                <c:pt idx="1397">
                  <c:v>5.5917399999999999E-2</c:v>
                </c:pt>
                <c:pt idx="1398">
                  <c:v>5.5957399999999997E-2</c:v>
                </c:pt>
                <c:pt idx="1399">
                  <c:v>5.5997400000000003E-2</c:v>
                </c:pt>
                <c:pt idx="1400">
                  <c:v>5.6037400000000001E-2</c:v>
                </c:pt>
                <c:pt idx="1401">
                  <c:v>5.6077399999999999E-2</c:v>
                </c:pt>
                <c:pt idx="1402">
                  <c:v>5.6117399999999998E-2</c:v>
                </c:pt>
                <c:pt idx="1403">
                  <c:v>5.6157400000000003E-2</c:v>
                </c:pt>
                <c:pt idx="1404">
                  <c:v>5.6197400000000002E-2</c:v>
                </c:pt>
                <c:pt idx="1405">
                  <c:v>5.62374E-2</c:v>
                </c:pt>
                <c:pt idx="1406">
                  <c:v>5.6277399999999998E-2</c:v>
                </c:pt>
                <c:pt idx="1407">
                  <c:v>5.6317399999999997E-2</c:v>
                </c:pt>
                <c:pt idx="1408">
                  <c:v>5.6357400000000002E-2</c:v>
                </c:pt>
                <c:pt idx="1409">
                  <c:v>5.63974E-2</c:v>
                </c:pt>
                <c:pt idx="1410">
                  <c:v>5.6437399999999999E-2</c:v>
                </c:pt>
                <c:pt idx="1411">
                  <c:v>5.6477399999999997E-2</c:v>
                </c:pt>
                <c:pt idx="1412">
                  <c:v>5.6517400000000002E-2</c:v>
                </c:pt>
                <c:pt idx="1413">
                  <c:v>5.6557400000000001E-2</c:v>
                </c:pt>
                <c:pt idx="1414">
                  <c:v>5.6597399999999999E-2</c:v>
                </c:pt>
                <c:pt idx="1415">
                  <c:v>5.6637399999999997E-2</c:v>
                </c:pt>
                <c:pt idx="1416">
                  <c:v>5.6677400000000003E-2</c:v>
                </c:pt>
                <c:pt idx="1417">
                  <c:v>5.6717400000000001E-2</c:v>
                </c:pt>
                <c:pt idx="1418">
                  <c:v>5.67574E-2</c:v>
                </c:pt>
                <c:pt idx="1419">
                  <c:v>5.6797399999999998E-2</c:v>
                </c:pt>
                <c:pt idx="1420">
                  <c:v>5.6837400000000003E-2</c:v>
                </c:pt>
                <c:pt idx="1421">
                  <c:v>5.6877400000000002E-2</c:v>
                </c:pt>
                <c:pt idx="1422">
                  <c:v>5.69174E-2</c:v>
                </c:pt>
                <c:pt idx="1423">
                  <c:v>5.6957399999999998E-2</c:v>
                </c:pt>
                <c:pt idx="1424">
                  <c:v>5.6997399999999997E-2</c:v>
                </c:pt>
                <c:pt idx="1425">
                  <c:v>5.7037400000000002E-2</c:v>
                </c:pt>
                <c:pt idx="1426">
                  <c:v>5.70774E-2</c:v>
                </c:pt>
                <c:pt idx="1427">
                  <c:v>5.7117399999999999E-2</c:v>
                </c:pt>
                <c:pt idx="1428">
                  <c:v>5.7157399999999997E-2</c:v>
                </c:pt>
                <c:pt idx="1429">
                  <c:v>5.7197400000000002E-2</c:v>
                </c:pt>
                <c:pt idx="1430">
                  <c:v>5.7237400000000001E-2</c:v>
                </c:pt>
                <c:pt idx="1431">
                  <c:v>5.7277399999999999E-2</c:v>
                </c:pt>
                <c:pt idx="1432">
                  <c:v>5.7317399999999998E-2</c:v>
                </c:pt>
                <c:pt idx="1433">
                  <c:v>5.7357400000000003E-2</c:v>
                </c:pt>
                <c:pt idx="1434">
                  <c:v>5.7397400000000001E-2</c:v>
                </c:pt>
                <c:pt idx="1435">
                  <c:v>5.74374E-2</c:v>
                </c:pt>
                <c:pt idx="1436">
                  <c:v>5.7477399999999998E-2</c:v>
                </c:pt>
                <c:pt idx="1437">
                  <c:v>5.7517400000000003E-2</c:v>
                </c:pt>
                <c:pt idx="1438">
                  <c:v>5.7557400000000002E-2</c:v>
                </c:pt>
                <c:pt idx="1439">
                  <c:v>5.75974E-2</c:v>
                </c:pt>
                <c:pt idx="1440">
                  <c:v>5.7637399999999998E-2</c:v>
                </c:pt>
                <c:pt idx="1441">
                  <c:v>5.7677399999999997E-2</c:v>
                </c:pt>
                <c:pt idx="1442">
                  <c:v>5.7717400000000002E-2</c:v>
                </c:pt>
                <c:pt idx="1443">
                  <c:v>5.77574E-2</c:v>
                </c:pt>
                <c:pt idx="1444">
                  <c:v>5.7797399999999999E-2</c:v>
                </c:pt>
                <c:pt idx="1445">
                  <c:v>5.7837399999999997E-2</c:v>
                </c:pt>
                <c:pt idx="1446">
                  <c:v>5.7877400000000002E-2</c:v>
                </c:pt>
                <c:pt idx="1447">
                  <c:v>5.7917400000000001E-2</c:v>
                </c:pt>
                <c:pt idx="1448">
                  <c:v>5.7957399999999999E-2</c:v>
                </c:pt>
                <c:pt idx="1449">
                  <c:v>5.7997399999999998E-2</c:v>
                </c:pt>
                <c:pt idx="1450">
                  <c:v>5.8037400000000003E-2</c:v>
                </c:pt>
                <c:pt idx="1451">
                  <c:v>5.8077400000000001E-2</c:v>
                </c:pt>
                <c:pt idx="1452">
                  <c:v>5.81174E-2</c:v>
                </c:pt>
                <c:pt idx="1453">
                  <c:v>5.8157399999999998E-2</c:v>
                </c:pt>
                <c:pt idx="1454">
                  <c:v>5.8197400000000003E-2</c:v>
                </c:pt>
                <c:pt idx="1455">
                  <c:v>5.8237400000000002E-2</c:v>
                </c:pt>
                <c:pt idx="1456">
                  <c:v>5.82774E-2</c:v>
                </c:pt>
                <c:pt idx="1457">
                  <c:v>5.8317399999999998E-2</c:v>
                </c:pt>
                <c:pt idx="1458">
                  <c:v>5.8357399999999997E-2</c:v>
                </c:pt>
                <c:pt idx="1459">
                  <c:v>5.8397400000000002E-2</c:v>
                </c:pt>
                <c:pt idx="1460">
                  <c:v>5.84374E-2</c:v>
                </c:pt>
                <c:pt idx="1461">
                  <c:v>5.8477399999999999E-2</c:v>
                </c:pt>
                <c:pt idx="1462">
                  <c:v>5.8517399999999997E-2</c:v>
                </c:pt>
                <c:pt idx="1463">
                  <c:v>5.8557400000000003E-2</c:v>
                </c:pt>
                <c:pt idx="1464">
                  <c:v>5.8597400000000001E-2</c:v>
                </c:pt>
                <c:pt idx="1465">
                  <c:v>5.8637399999999999E-2</c:v>
                </c:pt>
                <c:pt idx="1466">
                  <c:v>5.8677399999999998E-2</c:v>
                </c:pt>
                <c:pt idx="1467">
                  <c:v>5.8717400000000003E-2</c:v>
                </c:pt>
                <c:pt idx="1468">
                  <c:v>5.8757400000000001E-2</c:v>
                </c:pt>
                <c:pt idx="1469">
                  <c:v>5.87974E-2</c:v>
                </c:pt>
                <c:pt idx="1470">
                  <c:v>5.8837399999999998E-2</c:v>
                </c:pt>
                <c:pt idx="1471">
                  <c:v>5.8877400000000003E-2</c:v>
                </c:pt>
                <c:pt idx="1472">
                  <c:v>5.8917400000000002E-2</c:v>
                </c:pt>
                <c:pt idx="1473">
                  <c:v>5.89574E-2</c:v>
                </c:pt>
                <c:pt idx="1474">
                  <c:v>5.8997399999999998E-2</c:v>
                </c:pt>
                <c:pt idx="1475">
                  <c:v>5.9037399999999997E-2</c:v>
                </c:pt>
                <c:pt idx="1476">
                  <c:v>5.9077400000000002E-2</c:v>
                </c:pt>
                <c:pt idx="1477">
                  <c:v>5.9117400000000001E-2</c:v>
                </c:pt>
                <c:pt idx="1478">
                  <c:v>5.9157399999999999E-2</c:v>
                </c:pt>
                <c:pt idx="1479">
                  <c:v>5.9197399999999997E-2</c:v>
                </c:pt>
                <c:pt idx="1480">
                  <c:v>5.9237400000000003E-2</c:v>
                </c:pt>
                <c:pt idx="1481">
                  <c:v>5.9277400000000001E-2</c:v>
                </c:pt>
                <c:pt idx="1482">
                  <c:v>5.9317399999999999E-2</c:v>
                </c:pt>
                <c:pt idx="1483">
                  <c:v>5.9357399999999998E-2</c:v>
                </c:pt>
                <c:pt idx="1484">
                  <c:v>5.9397400000000003E-2</c:v>
                </c:pt>
                <c:pt idx="1485">
                  <c:v>5.9437400000000001E-2</c:v>
                </c:pt>
                <c:pt idx="1486">
                  <c:v>5.94774E-2</c:v>
                </c:pt>
                <c:pt idx="1487">
                  <c:v>5.9517399999999998E-2</c:v>
                </c:pt>
                <c:pt idx="1488">
                  <c:v>5.9557400000000003E-2</c:v>
                </c:pt>
                <c:pt idx="1489">
                  <c:v>5.9597400000000002E-2</c:v>
                </c:pt>
                <c:pt idx="1490">
                  <c:v>5.96374E-2</c:v>
                </c:pt>
                <c:pt idx="1491">
                  <c:v>5.9677399999999999E-2</c:v>
                </c:pt>
                <c:pt idx="1492">
                  <c:v>5.9717399999999997E-2</c:v>
                </c:pt>
                <c:pt idx="1493">
                  <c:v>5.9757400000000002E-2</c:v>
                </c:pt>
                <c:pt idx="1494">
                  <c:v>5.9797400000000001E-2</c:v>
                </c:pt>
                <c:pt idx="1495">
                  <c:v>5.9837399999999999E-2</c:v>
                </c:pt>
                <c:pt idx="1496">
                  <c:v>5.9877399999999997E-2</c:v>
                </c:pt>
                <c:pt idx="1497">
                  <c:v>5.9917400000000003E-2</c:v>
                </c:pt>
                <c:pt idx="1498">
                  <c:v>5.9957400000000001E-2</c:v>
                </c:pt>
                <c:pt idx="1499">
                  <c:v>5.9997399999999999E-2</c:v>
                </c:pt>
                <c:pt idx="1500">
                  <c:v>6.0037399999999998E-2</c:v>
                </c:pt>
                <c:pt idx="1501">
                  <c:v>6.0077400000000003E-2</c:v>
                </c:pt>
                <c:pt idx="1502">
                  <c:v>6.0117400000000001E-2</c:v>
                </c:pt>
                <c:pt idx="1503">
                  <c:v>6.01574E-2</c:v>
                </c:pt>
                <c:pt idx="1504">
                  <c:v>6.0197399999999998E-2</c:v>
                </c:pt>
                <c:pt idx="1505">
                  <c:v>6.0237400000000003E-2</c:v>
                </c:pt>
                <c:pt idx="1506">
                  <c:v>6.0277400000000002E-2</c:v>
                </c:pt>
                <c:pt idx="1507">
                  <c:v>6.03174E-2</c:v>
                </c:pt>
                <c:pt idx="1508">
                  <c:v>6.0357399999999999E-2</c:v>
                </c:pt>
                <c:pt idx="1509">
                  <c:v>6.0397399999999997E-2</c:v>
                </c:pt>
                <c:pt idx="1510">
                  <c:v>6.0437400000000002E-2</c:v>
                </c:pt>
                <c:pt idx="1511">
                  <c:v>6.0477400000000001E-2</c:v>
                </c:pt>
                <c:pt idx="1512">
                  <c:v>6.0517399999999999E-2</c:v>
                </c:pt>
                <c:pt idx="1513">
                  <c:v>6.0557399999999997E-2</c:v>
                </c:pt>
                <c:pt idx="1514">
                  <c:v>6.0597400000000003E-2</c:v>
                </c:pt>
                <c:pt idx="1515">
                  <c:v>6.0637400000000001E-2</c:v>
                </c:pt>
                <c:pt idx="1516">
                  <c:v>6.0677399999999999E-2</c:v>
                </c:pt>
                <c:pt idx="1517">
                  <c:v>6.0717399999999998E-2</c:v>
                </c:pt>
                <c:pt idx="1518">
                  <c:v>6.0757400000000003E-2</c:v>
                </c:pt>
                <c:pt idx="1519">
                  <c:v>6.0797400000000001E-2</c:v>
                </c:pt>
                <c:pt idx="1520">
                  <c:v>6.08374E-2</c:v>
                </c:pt>
                <c:pt idx="1521">
                  <c:v>6.0877399999999998E-2</c:v>
                </c:pt>
                <c:pt idx="1522">
                  <c:v>6.0917399999999997E-2</c:v>
                </c:pt>
                <c:pt idx="1523">
                  <c:v>6.0957400000000002E-2</c:v>
                </c:pt>
                <c:pt idx="1524">
                  <c:v>6.09974E-2</c:v>
                </c:pt>
                <c:pt idx="1525">
                  <c:v>6.1037399999999999E-2</c:v>
                </c:pt>
                <c:pt idx="1526">
                  <c:v>6.1077399999999997E-2</c:v>
                </c:pt>
                <c:pt idx="1527">
                  <c:v>6.1117400000000002E-2</c:v>
                </c:pt>
                <c:pt idx="1528">
                  <c:v>6.1157400000000001E-2</c:v>
                </c:pt>
                <c:pt idx="1529">
                  <c:v>6.1197399999999999E-2</c:v>
                </c:pt>
                <c:pt idx="1530">
                  <c:v>6.1237399999999997E-2</c:v>
                </c:pt>
                <c:pt idx="1531">
                  <c:v>6.1277400000000003E-2</c:v>
                </c:pt>
                <c:pt idx="1532">
                  <c:v>6.1317400000000001E-2</c:v>
                </c:pt>
                <c:pt idx="1533">
                  <c:v>6.1357399999999999E-2</c:v>
                </c:pt>
                <c:pt idx="1534">
                  <c:v>6.1397399999999998E-2</c:v>
                </c:pt>
                <c:pt idx="1535">
                  <c:v>6.1437400000000003E-2</c:v>
                </c:pt>
                <c:pt idx="1536">
                  <c:v>6.1477400000000001E-2</c:v>
                </c:pt>
                <c:pt idx="1537">
                  <c:v>6.15174E-2</c:v>
                </c:pt>
                <c:pt idx="1538">
                  <c:v>6.1557399999999998E-2</c:v>
                </c:pt>
                <c:pt idx="1539">
                  <c:v>6.1597399999999997E-2</c:v>
                </c:pt>
                <c:pt idx="1540">
                  <c:v>6.1637400000000002E-2</c:v>
                </c:pt>
                <c:pt idx="1541">
                  <c:v>6.16774E-2</c:v>
                </c:pt>
                <c:pt idx="1542">
                  <c:v>6.1717399999999999E-2</c:v>
                </c:pt>
                <c:pt idx="1543">
                  <c:v>6.1757399999999997E-2</c:v>
                </c:pt>
                <c:pt idx="1544">
                  <c:v>6.1797400000000002E-2</c:v>
                </c:pt>
                <c:pt idx="1545">
                  <c:v>6.1837400000000001E-2</c:v>
                </c:pt>
                <c:pt idx="1546">
                  <c:v>6.1877399999999999E-2</c:v>
                </c:pt>
                <c:pt idx="1547">
                  <c:v>6.1917399999999997E-2</c:v>
                </c:pt>
                <c:pt idx="1548">
                  <c:v>6.1957400000000003E-2</c:v>
                </c:pt>
                <c:pt idx="1549">
                  <c:v>6.1997400000000001E-2</c:v>
                </c:pt>
                <c:pt idx="1550">
                  <c:v>6.2037399999999999E-2</c:v>
                </c:pt>
                <c:pt idx="1551">
                  <c:v>6.2077399999999998E-2</c:v>
                </c:pt>
                <c:pt idx="1552">
                  <c:v>6.2117400000000003E-2</c:v>
                </c:pt>
                <c:pt idx="1553">
                  <c:v>6.2157400000000002E-2</c:v>
                </c:pt>
                <c:pt idx="1554">
                  <c:v>6.21974E-2</c:v>
                </c:pt>
                <c:pt idx="1555">
                  <c:v>6.2237399999999998E-2</c:v>
                </c:pt>
                <c:pt idx="1556">
                  <c:v>6.2277399999999997E-2</c:v>
                </c:pt>
                <c:pt idx="1557">
                  <c:v>6.2317400000000002E-2</c:v>
                </c:pt>
                <c:pt idx="1558">
                  <c:v>6.23574E-2</c:v>
                </c:pt>
                <c:pt idx="1559">
                  <c:v>6.2397399999999999E-2</c:v>
                </c:pt>
                <c:pt idx="1560">
                  <c:v>6.2437399999999997E-2</c:v>
                </c:pt>
                <c:pt idx="1561">
                  <c:v>6.2477400000000002E-2</c:v>
                </c:pt>
                <c:pt idx="1562">
                  <c:v>6.2517400000000001E-2</c:v>
                </c:pt>
                <c:pt idx="1563">
                  <c:v>6.2557399999999999E-2</c:v>
                </c:pt>
                <c:pt idx="1564">
                  <c:v>6.2597399999999997E-2</c:v>
                </c:pt>
                <c:pt idx="1565">
                  <c:v>6.2637399999999996E-2</c:v>
                </c:pt>
                <c:pt idx="1566">
                  <c:v>6.2677399999999994E-2</c:v>
                </c:pt>
                <c:pt idx="1567">
                  <c:v>6.2717400000000006E-2</c:v>
                </c:pt>
                <c:pt idx="1568">
                  <c:v>6.2757400000000005E-2</c:v>
                </c:pt>
                <c:pt idx="1569">
                  <c:v>6.2797400000000003E-2</c:v>
                </c:pt>
                <c:pt idx="1570">
                  <c:v>6.2837400000000002E-2</c:v>
                </c:pt>
                <c:pt idx="1571">
                  <c:v>6.28774E-2</c:v>
                </c:pt>
                <c:pt idx="1572">
                  <c:v>6.2917399999999998E-2</c:v>
                </c:pt>
                <c:pt idx="1573">
                  <c:v>6.2957399999999997E-2</c:v>
                </c:pt>
                <c:pt idx="1574">
                  <c:v>6.2997399999999995E-2</c:v>
                </c:pt>
                <c:pt idx="1575">
                  <c:v>6.3037399999999993E-2</c:v>
                </c:pt>
                <c:pt idx="1576">
                  <c:v>6.3077400000000006E-2</c:v>
                </c:pt>
                <c:pt idx="1577">
                  <c:v>6.3117400000000004E-2</c:v>
                </c:pt>
                <c:pt idx="1578">
                  <c:v>6.3157400000000002E-2</c:v>
                </c:pt>
                <c:pt idx="1579">
                  <c:v>6.3197400000000001E-2</c:v>
                </c:pt>
                <c:pt idx="1580">
                  <c:v>6.3237399999999999E-2</c:v>
                </c:pt>
                <c:pt idx="1581">
                  <c:v>6.3277399999999998E-2</c:v>
                </c:pt>
                <c:pt idx="1582">
                  <c:v>6.3317399999999996E-2</c:v>
                </c:pt>
                <c:pt idx="1583">
                  <c:v>6.3357399999999994E-2</c:v>
                </c:pt>
                <c:pt idx="1584">
                  <c:v>6.3397400000000007E-2</c:v>
                </c:pt>
                <c:pt idx="1585">
                  <c:v>6.3437400000000005E-2</c:v>
                </c:pt>
                <c:pt idx="1586">
                  <c:v>6.3477400000000003E-2</c:v>
                </c:pt>
                <c:pt idx="1587">
                  <c:v>6.3517400000000002E-2</c:v>
                </c:pt>
                <c:pt idx="1588">
                  <c:v>6.35574E-2</c:v>
                </c:pt>
                <c:pt idx="1589">
                  <c:v>6.3597399999999998E-2</c:v>
                </c:pt>
                <c:pt idx="1590">
                  <c:v>6.3637399999999997E-2</c:v>
                </c:pt>
                <c:pt idx="1591">
                  <c:v>6.3677399999999995E-2</c:v>
                </c:pt>
                <c:pt idx="1592">
                  <c:v>6.3717399999999993E-2</c:v>
                </c:pt>
                <c:pt idx="1593">
                  <c:v>6.3757400000000006E-2</c:v>
                </c:pt>
                <c:pt idx="1594">
                  <c:v>6.3797400000000004E-2</c:v>
                </c:pt>
                <c:pt idx="1595">
                  <c:v>6.3837400000000002E-2</c:v>
                </c:pt>
                <c:pt idx="1596">
                  <c:v>6.3877400000000001E-2</c:v>
                </c:pt>
                <c:pt idx="1597">
                  <c:v>6.3917399999999999E-2</c:v>
                </c:pt>
                <c:pt idx="1598">
                  <c:v>6.3957399999999998E-2</c:v>
                </c:pt>
                <c:pt idx="1599">
                  <c:v>6.3997399999999996E-2</c:v>
                </c:pt>
                <c:pt idx="1600">
                  <c:v>6.4037399999999994E-2</c:v>
                </c:pt>
                <c:pt idx="1601">
                  <c:v>6.4077400000000007E-2</c:v>
                </c:pt>
                <c:pt idx="1602">
                  <c:v>6.4117400000000005E-2</c:v>
                </c:pt>
                <c:pt idx="1603">
                  <c:v>6.4157400000000003E-2</c:v>
                </c:pt>
                <c:pt idx="1604">
                  <c:v>6.4197400000000002E-2</c:v>
                </c:pt>
                <c:pt idx="1605">
                  <c:v>6.42374E-2</c:v>
                </c:pt>
                <c:pt idx="1606">
                  <c:v>6.4277399999999998E-2</c:v>
                </c:pt>
                <c:pt idx="1607">
                  <c:v>6.4317399999999997E-2</c:v>
                </c:pt>
                <c:pt idx="1608">
                  <c:v>6.4357399999999995E-2</c:v>
                </c:pt>
                <c:pt idx="1609">
                  <c:v>6.4397399999999994E-2</c:v>
                </c:pt>
                <c:pt idx="1610">
                  <c:v>6.4437400000000006E-2</c:v>
                </c:pt>
                <c:pt idx="1611">
                  <c:v>6.4477400000000004E-2</c:v>
                </c:pt>
                <c:pt idx="1612">
                  <c:v>6.4517400000000003E-2</c:v>
                </c:pt>
                <c:pt idx="1613">
                  <c:v>6.4557400000000001E-2</c:v>
                </c:pt>
                <c:pt idx="1614">
                  <c:v>6.4597399999999999E-2</c:v>
                </c:pt>
                <c:pt idx="1615">
                  <c:v>6.4637399999999998E-2</c:v>
                </c:pt>
                <c:pt idx="1616">
                  <c:v>6.4677399999999996E-2</c:v>
                </c:pt>
                <c:pt idx="1617">
                  <c:v>6.4717399999999994E-2</c:v>
                </c:pt>
                <c:pt idx="1618">
                  <c:v>6.4757400000000007E-2</c:v>
                </c:pt>
                <c:pt idx="1619">
                  <c:v>6.4797400000000005E-2</c:v>
                </c:pt>
                <c:pt idx="1620">
                  <c:v>6.4837400000000003E-2</c:v>
                </c:pt>
                <c:pt idx="1621">
                  <c:v>6.4877400000000002E-2</c:v>
                </c:pt>
                <c:pt idx="1622">
                  <c:v>6.49174E-2</c:v>
                </c:pt>
                <c:pt idx="1623">
                  <c:v>6.4957399999999998E-2</c:v>
                </c:pt>
                <c:pt idx="1624">
                  <c:v>6.4997399999999997E-2</c:v>
                </c:pt>
                <c:pt idx="1625">
                  <c:v>6.5037399999999995E-2</c:v>
                </c:pt>
                <c:pt idx="1626">
                  <c:v>6.5077399999999994E-2</c:v>
                </c:pt>
                <c:pt idx="1627">
                  <c:v>6.5117400000000006E-2</c:v>
                </c:pt>
                <c:pt idx="1628">
                  <c:v>6.5157400000000004E-2</c:v>
                </c:pt>
                <c:pt idx="1629">
                  <c:v>6.5197400000000003E-2</c:v>
                </c:pt>
                <c:pt idx="1630">
                  <c:v>6.5237400000000001E-2</c:v>
                </c:pt>
                <c:pt idx="1631">
                  <c:v>6.5277399999999999E-2</c:v>
                </c:pt>
                <c:pt idx="1632">
                  <c:v>6.5317399999999998E-2</c:v>
                </c:pt>
                <c:pt idx="1633">
                  <c:v>6.5357399999999996E-2</c:v>
                </c:pt>
                <c:pt idx="1634">
                  <c:v>6.5397399999999994E-2</c:v>
                </c:pt>
                <c:pt idx="1635">
                  <c:v>6.5437400000000007E-2</c:v>
                </c:pt>
                <c:pt idx="1636">
                  <c:v>6.5477400000000005E-2</c:v>
                </c:pt>
                <c:pt idx="1637">
                  <c:v>6.5517400000000003E-2</c:v>
                </c:pt>
                <c:pt idx="1638">
                  <c:v>6.5557400000000002E-2</c:v>
                </c:pt>
                <c:pt idx="1639">
                  <c:v>6.55974E-2</c:v>
                </c:pt>
                <c:pt idx="1640">
                  <c:v>6.5637399999999999E-2</c:v>
                </c:pt>
                <c:pt idx="1641">
                  <c:v>6.5677399999999997E-2</c:v>
                </c:pt>
                <c:pt idx="1642">
                  <c:v>6.5717399999999995E-2</c:v>
                </c:pt>
                <c:pt idx="1643">
                  <c:v>6.5757399999999994E-2</c:v>
                </c:pt>
                <c:pt idx="1644">
                  <c:v>6.5797400000000006E-2</c:v>
                </c:pt>
                <c:pt idx="1645">
                  <c:v>6.5837400000000004E-2</c:v>
                </c:pt>
                <c:pt idx="1646">
                  <c:v>6.5877400000000003E-2</c:v>
                </c:pt>
                <c:pt idx="1647">
                  <c:v>6.5917400000000001E-2</c:v>
                </c:pt>
                <c:pt idx="1648">
                  <c:v>6.5957399999999999E-2</c:v>
                </c:pt>
                <c:pt idx="1649">
                  <c:v>6.5997399999999998E-2</c:v>
                </c:pt>
                <c:pt idx="1650">
                  <c:v>6.6037399999999996E-2</c:v>
                </c:pt>
                <c:pt idx="1651">
                  <c:v>6.6077399999999994E-2</c:v>
                </c:pt>
                <c:pt idx="1652">
                  <c:v>6.6117400000000007E-2</c:v>
                </c:pt>
                <c:pt idx="1653">
                  <c:v>6.6157400000000005E-2</c:v>
                </c:pt>
                <c:pt idx="1654">
                  <c:v>6.6197400000000003E-2</c:v>
                </c:pt>
                <c:pt idx="1655">
                  <c:v>6.6237400000000002E-2</c:v>
                </c:pt>
                <c:pt idx="1656">
                  <c:v>6.62774E-2</c:v>
                </c:pt>
                <c:pt idx="1657">
                  <c:v>6.6317399999999999E-2</c:v>
                </c:pt>
                <c:pt idx="1658">
                  <c:v>6.6357399999999997E-2</c:v>
                </c:pt>
                <c:pt idx="1659">
                  <c:v>6.6397399999999995E-2</c:v>
                </c:pt>
                <c:pt idx="1660">
                  <c:v>6.6437399999999994E-2</c:v>
                </c:pt>
                <c:pt idx="1661">
                  <c:v>6.6477400000000006E-2</c:v>
                </c:pt>
                <c:pt idx="1662">
                  <c:v>6.6517400000000004E-2</c:v>
                </c:pt>
                <c:pt idx="1663">
                  <c:v>6.6557400000000003E-2</c:v>
                </c:pt>
                <c:pt idx="1664">
                  <c:v>6.6597400000000001E-2</c:v>
                </c:pt>
                <c:pt idx="1665">
                  <c:v>6.6637399999999999E-2</c:v>
                </c:pt>
                <c:pt idx="1666">
                  <c:v>6.6677399999999998E-2</c:v>
                </c:pt>
                <c:pt idx="1667">
                  <c:v>6.6717399999999996E-2</c:v>
                </c:pt>
                <c:pt idx="1668">
                  <c:v>6.6757399999999995E-2</c:v>
                </c:pt>
                <c:pt idx="1669">
                  <c:v>6.6797400000000007E-2</c:v>
                </c:pt>
                <c:pt idx="1670">
                  <c:v>6.6837400000000005E-2</c:v>
                </c:pt>
                <c:pt idx="1671">
                  <c:v>6.6877400000000004E-2</c:v>
                </c:pt>
                <c:pt idx="1672">
                  <c:v>6.6917400000000002E-2</c:v>
                </c:pt>
                <c:pt idx="1673">
                  <c:v>6.69574E-2</c:v>
                </c:pt>
                <c:pt idx="1674">
                  <c:v>6.6997399999999999E-2</c:v>
                </c:pt>
                <c:pt idx="1675">
                  <c:v>6.7037399999999997E-2</c:v>
                </c:pt>
                <c:pt idx="1676">
                  <c:v>6.7077399999999995E-2</c:v>
                </c:pt>
                <c:pt idx="1677">
                  <c:v>6.7117399999999994E-2</c:v>
                </c:pt>
                <c:pt idx="1678">
                  <c:v>6.7157400000000006E-2</c:v>
                </c:pt>
                <c:pt idx="1679">
                  <c:v>6.7197400000000004E-2</c:v>
                </c:pt>
                <c:pt idx="1680">
                  <c:v>6.7237400000000003E-2</c:v>
                </c:pt>
                <c:pt idx="1681">
                  <c:v>6.7277400000000001E-2</c:v>
                </c:pt>
                <c:pt idx="1682">
                  <c:v>6.7317399999999999E-2</c:v>
                </c:pt>
                <c:pt idx="1683">
                  <c:v>6.7357399999999998E-2</c:v>
                </c:pt>
                <c:pt idx="1684">
                  <c:v>6.7397399999999996E-2</c:v>
                </c:pt>
                <c:pt idx="1685">
                  <c:v>6.7437399999999995E-2</c:v>
                </c:pt>
                <c:pt idx="1686">
                  <c:v>6.7477400000000007E-2</c:v>
                </c:pt>
                <c:pt idx="1687">
                  <c:v>6.7517400000000005E-2</c:v>
                </c:pt>
                <c:pt idx="1688">
                  <c:v>6.7557400000000004E-2</c:v>
                </c:pt>
                <c:pt idx="1689">
                  <c:v>6.7597400000000002E-2</c:v>
                </c:pt>
                <c:pt idx="1690">
                  <c:v>6.76374E-2</c:v>
                </c:pt>
                <c:pt idx="1691">
                  <c:v>6.7677399999999999E-2</c:v>
                </c:pt>
                <c:pt idx="1692">
                  <c:v>6.7717399999999997E-2</c:v>
                </c:pt>
                <c:pt idx="1693">
                  <c:v>6.7757399999999995E-2</c:v>
                </c:pt>
                <c:pt idx="1694">
                  <c:v>6.7797399999999994E-2</c:v>
                </c:pt>
                <c:pt idx="1695">
                  <c:v>6.7837400000000006E-2</c:v>
                </c:pt>
                <c:pt idx="1696">
                  <c:v>6.7877400000000004E-2</c:v>
                </c:pt>
                <c:pt idx="1697">
                  <c:v>6.7917400000000003E-2</c:v>
                </c:pt>
                <c:pt idx="1698">
                  <c:v>6.7957400000000001E-2</c:v>
                </c:pt>
                <c:pt idx="1699">
                  <c:v>6.79974E-2</c:v>
                </c:pt>
                <c:pt idx="1700">
                  <c:v>6.8037399999999998E-2</c:v>
                </c:pt>
                <c:pt idx="1701">
                  <c:v>6.8077399999999996E-2</c:v>
                </c:pt>
                <c:pt idx="1702">
                  <c:v>6.8117399999999995E-2</c:v>
                </c:pt>
                <c:pt idx="1703">
                  <c:v>6.8157400000000007E-2</c:v>
                </c:pt>
                <c:pt idx="1704">
                  <c:v>6.8197400000000005E-2</c:v>
                </c:pt>
                <c:pt idx="1705">
                  <c:v>6.8237400000000004E-2</c:v>
                </c:pt>
                <c:pt idx="1706">
                  <c:v>6.8277400000000002E-2</c:v>
                </c:pt>
                <c:pt idx="1707">
                  <c:v>6.83174E-2</c:v>
                </c:pt>
                <c:pt idx="1708">
                  <c:v>6.8357399999999999E-2</c:v>
                </c:pt>
                <c:pt idx="1709">
                  <c:v>6.8397399999999997E-2</c:v>
                </c:pt>
                <c:pt idx="1710">
                  <c:v>6.8437399999999995E-2</c:v>
                </c:pt>
                <c:pt idx="1711">
                  <c:v>6.8477399999999994E-2</c:v>
                </c:pt>
                <c:pt idx="1712">
                  <c:v>6.8517400000000006E-2</c:v>
                </c:pt>
                <c:pt idx="1713">
                  <c:v>6.8557400000000004E-2</c:v>
                </c:pt>
                <c:pt idx="1714">
                  <c:v>6.8597400000000003E-2</c:v>
                </c:pt>
                <c:pt idx="1715">
                  <c:v>6.8637400000000001E-2</c:v>
                </c:pt>
                <c:pt idx="1716">
                  <c:v>6.86774E-2</c:v>
                </c:pt>
                <c:pt idx="1717">
                  <c:v>6.8717399999999998E-2</c:v>
                </c:pt>
                <c:pt idx="1718">
                  <c:v>6.8757399999999996E-2</c:v>
                </c:pt>
                <c:pt idx="1719">
                  <c:v>6.8797399999999995E-2</c:v>
                </c:pt>
                <c:pt idx="1720">
                  <c:v>6.8837400000000007E-2</c:v>
                </c:pt>
                <c:pt idx="1721">
                  <c:v>6.8877400000000005E-2</c:v>
                </c:pt>
                <c:pt idx="1722">
                  <c:v>6.8917400000000004E-2</c:v>
                </c:pt>
                <c:pt idx="1723">
                  <c:v>6.8957400000000002E-2</c:v>
                </c:pt>
                <c:pt idx="1724">
                  <c:v>6.89974E-2</c:v>
                </c:pt>
                <c:pt idx="1725">
                  <c:v>6.9037399999999999E-2</c:v>
                </c:pt>
                <c:pt idx="1726">
                  <c:v>6.9077399999999997E-2</c:v>
                </c:pt>
                <c:pt idx="1727">
                  <c:v>6.9117399999999996E-2</c:v>
                </c:pt>
                <c:pt idx="1728">
                  <c:v>6.9157399999999994E-2</c:v>
                </c:pt>
                <c:pt idx="1729">
                  <c:v>6.9197400000000006E-2</c:v>
                </c:pt>
                <c:pt idx="1730">
                  <c:v>6.9237400000000004E-2</c:v>
                </c:pt>
                <c:pt idx="1731">
                  <c:v>6.9277400000000003E-2</c:v>
                </c:pt>
                <c:pt idx="1732">
                  <c:v>6.9317400000000001E-2</c:v>
                </c:pt>
                <c:pt idx="1733">
                  <c:v>6.93574E-2</c:v>
                </c:pt>
                <c:pt idx="1734">
                  <c:v>6.9397399999999998E-2</c:v>
                </c:pt>
                <c:pt idx="1735">
                  <c:v>6.9437399999999996E-2</c:v>
                </c:pt>
                <c:pt idx="1736">
                  <c:v>6.9477399999999995E-2</c:v>
                </c:pt>
                <c:pt idx="1737">
                  <c:v>6.9517399999999993E-2</c:v>
                </c:pt>
                <c:pt idx="1738">
                  <c:v>6.9557400000000005E-2</c:v>
                </c:pt>
                <c:pt idx="1739">
                  <c:v>6.9597400000000004E-2</c:v>
                </c:pt>
                <c:pt idx="1740">
                  <c:v>6.9637400000000002E-2</c:v>
                </c:pt>
                <c:pt idx="1741">
                  <c:v>6.96774E-2</c:v>
                </c:pt>
                <c:pt idx="1742">
                  <c:v>6.9717399999999999E-2</c:v>
                </c:pt>
                <c:pt idx="1743">
                  <c:v>6.9757399999999997E-2</c:v>
                </c:pt>
                <c:pt idx="1744">
                  <c:v>6.9797399999999996E-2</c:v>
                </c:pt>
                <c:pt idx="1745">
                  <c:v>6.9837399999999994E-2</c:v>
                </c:pt>
                <c:pt idx="1746">
                  <c:v>6.9877400000000006E-2</c:v>
                </c:pt>
                <c:pt idx="1747">
                  <c:v>6.9917400000000005E-2</c:v>
                </c:pt>
                <c:pt idx="1748">
                  <c:v>6.9957400000000003E-2</c:v>
                </c:pt>
                <c:pt idx="1749">
                  <c:v>6.9997400000000001E-2</c:v>
                </c:pt>
                <c:pt idx="1750">
                  <c:v>7.00374E-2</c:v>
                </c:pt>
                <c:pt idx="1751">
                  <c:v>7.0077399999999998E-2</c:v>
                </c:pt>
                <c:pt idx="1752">
                  <c:v>7.0117399999999996E-2</c:v>
                </c:pt>
                <c:pt idx="1753">
                  <c:v>7.0157399999999995E-2</c:v>
                </c:pt>
                <c:pt idx="1754">
                  <c:v>7.0197399999999993E-2</c:v>
                </c:pt>
                <c:pt idx="1755">
                  <c:v>7.0237400000000005E-2</c:v>
                </c:pt>
                <c:pt idx="1756">
                  <c:v>7.0277400000000004E-2</c:v>
                </c:pt>
                <c:pt idx="1757">
                  <c:v>7.0317400000000002E-2</c:v>
                </c:pt>
                <c:pt idx="1758">
                  <c:v>7.03574E-2</c:v>
                </c:pt>
                <c:pt idx="1759">
                  <c:v>7.0397399999999999E-2</c:v>
                </c:pt>
                <c:pt idx="1760">
                  <c:v>7.0437399999999997E-2</c:v>
                </c:pt>
                <c:pt idx="1761">
                  <c:v>7.0477399999999996E-2</c:v>
                </c:pt>
                <c:pt idx="1762">
                  <c:v>7.0517399999999994E-2</c:v>
                </c:pt>
                <c:pt idx="1763">
                  <c:v>7.0557400000000006E-2</c:v>
                </c:pt>
                <c:pt idx="1764">
                  <c:v>7.0597400000000005E-2</c:v>
                </c:pt>
                <c:pt idx="1765">
                  <c:v>7.0637400000000003E-2</c:v>
                </c:pt>
                <c:pt idx="1766">
                  <c:v>7.0677400000000001E-2</c:v>
                </c:pt>
                <c:pt idx="1767">
                  <c:v>7.07174E-2</c:v>
                </c:pt>
                <c:pt idx="1768">
                  <c:v>7.0757399999999998E-2</c:v>
                </c:pt>
                <c:pt idx="1769">
                  <c:v>7.0797399999999996E-2</c:v>
                </c:pt>
                <c:pt idx="1770">
                  <c:v>7.0837399999999995E-2</c:v>
                </c:pt>
                <c:pt idx="1771">
                  <c:v>7.0877399999999993E-2</c:v>
                </c:pt>
                <c:pt idx="1772">
                  <c:v>7.0917400000000005E-2</c:v>
                </c:pt>
                <c:pt idx="1773">
                  <c:v>7.0957400000000004E-2</c:v>
                </c:pt>
                <c:pt idx="1774">
                  <c:v>7.0997400000000002E-2</c:v>
                </c:pt>
                <c:pt idx="1775">
                  <c:v>7.1037400000000001E-2</c:v>
                </c:pt>
                <c:pt idx="1776">
                  <c:v>7.1077399999999999E-2</c:v>
                </c:pt>
                <c:pt idx="1777">
                  <c:v>7.1117399999999997E-2</c:v>
                </c:pt>
                <c:pt idx="1778">
                  <c:v>7.1157399999999996E-2</c:v>
                </c:pt>
                <c:pt idx="1779">
                  <c:v>7.1197399999999994E-2</c:v>
                </c:pt>
                <c:pt idx="1780">
                  <c:v>7.1237400000000006E-2</c:v>
                </c:pt>
                <c:pt idx="1781">
                  <c:v>7.1277400000000005E-2</c:v>
                </c:pt>
                <c:pt idx="1782">
                  <c:v>7.1317400000000003E-2</c:v>
                </c:pt>
                <c:pt idx="1783">
                  <c:v>7.1357400000000001E-2</c:v>
                </c:pt>
                <c:pt idx="1784">
                  <c:v>7.13974E-2</c:v>
                </c:pt>
                <c:pt idx="1785">
                  <c:v>7.1437399999999998E-2</c:v>
                </c:pt>
                <c:pt idx="1786">
                  <c:v>7.1477399999999996E-2</c:v>
                </c:pt>
                <c:pt idx="1787">
                  <c:v>7.1517399999999995E-2</c:v>
                </c:pt>
                <c:pt idx="1788">
                  <c:v>7.1557399999999993E-2</c:v>
                </c:pt>
                <c:pt idx="1789">
                  <c:v>7.1597400000000005E-2</c:v>
                </c:pt>
                <c:pt idx="1790">
                  <c:v>7.1637400000000004E-2</c:v>
                </c:pt>
                <c:pt idx="1791">
                  <c:v>7.1677400000000002E-2</c:v>
                </c:pt>
                <c:pt idx="1792">
                  <c:v>7.1717400000000001E-2</c:v>
                </c:pt>
                <c:pt idx="1793">
                  <c:v>7.1757399999999999E-2</c:v>
                </c:pt>
                <c:pt idx="1794">
                  <c:v>7.1797399999999997E-2</c:v>
                </c:pt>
                <c:pt idx="1795">
                  <c:v>7.1837399999999996E-2</c:v>
                </c:pt>
                <c:pt idx="1796">
                  <c:v>7.1877399999999994E-2</c:v>
                </c:pt>
                <c:pt idx="1797">
                  <c:v>7.1917400000000006E-2</c:v>
                </c:pt>
                <c:pt idx="1798">
                  <c:v>7.1957400000000005E-2</c:v>
                </c:pt>
                <c:pt idx="1799">
                  <c:v>7.1997400000000003E-2</c:v>
                </c:pt>
                <c:pt idx="1800">
                  <c:v>7.2037400000000001E-2</c:v>
                </c:pt>
                <c:pt idx="1801">
                  <c:v>7.20774E-2</c:v>
                </c:pt>
                <c:pt idx="1802">
                  <c:v>7.2117399999999998E-2</c:v>
                </c:pt>
                <c:pt idx="1803">
                  <c:v>7.2157399999999997E-2</c:v>
                </c:pt>
                <c:pt idx="1804">
                  <c:v>7.2197399999999995E-2</c:v>
                </c:pt>
                <c:pt idx="1805">
                  <c:v>7.2237399999999993E-2</c:v>
                </c:pt>
                <c:pt idx="1806">
                  <c:v>7.2277400000000006E-2</c:v>
                </c:pt>
                <c:pt idx="1807">
                  <c:v>7.2317400000000004E-2</c:v>
                </c:pt>
                <c:pt idx="1808">
                  <c:v>7.2357400000000002E-2</c:v>
                </c:pt>
                <c:pt idx="1809">
                  <c:v>7.2397400000000001E-2</c:v>
                </c:pt>
                <c:pt idx="1810">
                  <c:v>7.2437399999999999E-2</c:v>
                </c:pt>
                <c:pt idx="1811">
                  <c:v>7.2477399999999997E-2</c:v>
                </c:pt>
                <c:pt idx="1812">
                  <c:v>7.2517399999999996E-2</c:v>
                </c:pt>
                <c:pt idx="1813">
                  <c:v>7.2557399999999994E-2</c:v>
                </c:pt>
                <c:pt idx="1814">
                  <c:v>7.2597400000000006E-2</c:v>
                </c:pt>
                <c:pt idx="1815">
                  <c:v>7.2637400000000005E-2</c:v>
                </c:pt>
                <c:pt idx="1816">
                  <c:v>7.2677400000000003E-2</c:v>
                </c:pt>
                <c:pt idx="1817">
                  <c:v>7.2717400000000001E-2</c:v>
                </c:pt>
                <c:pt idx="1818">
                  <c:v>7.27574E-2</c:v>
                </c:pt>
                <c:pt idx="1819">
                  <c:v>7.2797399999999998E-2</c:v>
                </c:pt>
                <c:pt idx="1820">
                  <c:v>7.2837399999999997E-2</c:v>
                </c:pt>
                <c:pt idx="1821">
                  <c:v>7.2877399999999995E-2</c:v>
                </c:pt>
                <c:pt idx="1822">
                  <c:v>7.2917399999999993E-2</c:v>
                </c:pt>
                <c:pt idx="1823">
                  <c:v>7.2957400000000006E-2</c:v>
                </c:pt>
                <c:pt idx="1824">
                  <c:v>7.2997400000000004E-2</c:v>
                </c:pt>
                <c:pt idx="1825">
                  <c:v>7.3037400000000002E-2</c:v>
                </c:pt>
                <c:pt idx="1826">
                  <c:v>7.3077400000000001E-2</c:v>
                </c:pt>
                <c:pt idx="1827">
                  <c:v>7.3117399999999999E-2</c:v>
                </c:pt>
                <c:pt idx="1828">
                  <c:v>7.3157399999999997E-2</c:v>
                </c:pt>
                <c:pt idx="1829">
                  <c:v>7.3197399999999996E-2</c:v>
                </c:pt>
                <c:pt idx="1830">
                  <c:v>7.3237399999999994E-2</c:v>
                </c:pt>
                <c:pt idx="1831">
                  <c:v>7.3277400000000006E-2</c:v>
                </c:pt>
                <c:pt idx="1832">
                  <c:v>7.3317400000000005E-2</c:v>
                </c:pt>
                <c:pt idx="1833">
                  <c:v>7.3357400000000003E-2</c:v>
                </c:pt>
                <c:pt idx="1834">
                  <c:v>7.3397400000000002E-2</c:v>
                </c:pt>
                <c:pt idx="1835">
                  <c:v>7.34374E-2</c:v>
                </c:pt>
                <c:pt idx="1836">
                  <c:v>7.3477399999999998E-2</c:v>
                </c:pt>
                <c:pt idx="1837">
                  <c:v>7.3517399999999997E-2</c:v>
                </c:pt>
                <c:pt idx="1838">
                  <c:v>7.3557399999999995E-2</c:v>
                </c:pt>
                <c:pt idx="1839">
                  <c:v>7.3597399999999993E-2</c:v>
                </c:pt>
                <c:pt idx="1840">
                  <c:v>7.3637400000000006E-2</c:v>
                </c:pt>
                <c:pt idx="1841">
                  <c:v>7.3677400000000004E-2</c:v>
                </c:pt>
                <c:pt idx="1842">
                  <c:v>7.3717400000000002E-2</c:v>
                </c:pt>
                <c:pt idx="1843">
                  <c:v>7.3757400000000001E-2</c:v>
                </c:pt>
                <c:pt idx="1844">
                  <c:v>7.3797399999999999E-2</c:v>
                </c:pt>
                <c:pt idx="1845">
                  <c:v>7.3837399999999997E-2</c:v>
                </c:pt>
                <c:pt idx="1846">
                  <c:v>7.3877399999999996E-2</c:v>
                </c:pt>
                <c:pt idx="1847">
                  <c:v>7.3917399999999994E-2</c:v>
                </c:pt>
                <c:pt idx="1848">
                  <c:v>7.3957400000000006E-2</c:v>
                </c:pt>
                <c:pt idx="1849">
                  <c:v>7.3997400000000005E-2</c:v>
                </c:pt>
                <c:pt idx="1850">
                  <c:v>7.4037400000000003E-2</c:v>
                </c:pt>
                <c:pt idx="1851">
                  <c:v>7.4077400000000002E-2</c:v>
                </c:pt>
                <c:pt idx="1852">
                  <c:v>7.41174E-2</c:v>
                </c:pt>
                <c:pt idx="1853">
                  <c:v>7.4157399999999998E-2</c:v>
                </c:pt>
                <c:pt idx="1854">
                  <c:v>7.4197399999999997E-2</c:v>
                </c:pt>
                <c:pt idx="1855">
                  <c:v>7.4237399999999995E-2</c:v>
                </c:pt>
                <c:pt idx="1856">
                  <c:v>7.4277399999999993E-2</c:v>
                </c:pt>
                <c:pt idx="1857">
                  <c:v>7.4317400000000006E-2</c:v>
                </c:pt>
                <c:pt idx="1858">
                  <c:v>7.4357400000000004E-2</c:v>
                </c:pt>
                <c:pt idx="1859">
                  <c:v>7.4397400000000002E-2</c:v>
                </c:pt>
                <c:pt idx="1860">
                  <c:v>7.4437400000000001E-2</c:v>
                </c:pt>
                <c:pt idx="1861">
                  <c:v>7.4477399999999999E-2</c:v>
                </c:pt>
                <c:pt idx="1862">
                  <c:v>7.4517399999999998E-2</c:v>
                </c:pt>
                <c:pt idx="1863">
                  <c:v>7.4557399999999996E-2</c:v>
                </c:pt>
                <c:pt idx="1864">
                  <c:v>7.4597399999999994E-2</c:v>
                </c:pt>
                <c:pt idx="1865">
                  <c:v>7.4637400000000007E-2</c:v>
                </c:pt>
                <c:pt idx="1866">
                  <c:v>7.4677400000000005E-2</c:v>
                </c:pt>
                <c:pt idx="1867">
                  <c:v>7.4717400000000003E-2</c:v>
                </c:pt>
                <c:pt idx="1868">
                  <c:v>7.4757400000000002E-2</c:v>
                </c:pt>
                <c:pt idx="1869">
                  <c:v>7.47974E-2</c:v>
                </c:pt>
                <c:pt idx="1870">
                  <c:v>7.4837399999999998E-2</c:v>
                </c:pt>
                <c:pt idx="1871">
                  <c:v>7.4877399999999997E-2</c:v>
                </c:pt>
                <c:pt idx="1872">
                  <c:v>7.4917399999999995E-2</c:v>
                </c:pt>
                <c:pt idx="1873">
                  <c:v>7.4957399999999993E-2</c:v>
                </c:pt>
                <c:pt idx="1874">
                  <c:v>7.4997400000000006E-2</c:v>
                </c:pt>
                <c:pt idx="1875">
                  <c:v>7.5037400000000004E-2</c:v>
                </c:pt>
                <c:pt idx="1876">
                  <c:v>7.5077400000000002E-2</c:v>
                </c:pt>
                <c:pt idx="1877">
                  <c:v>7.5117400000000001E-2</c:v>
                </c:pt>
                <c:pt idx="1878">
                  <c:v>7.5157399999999999E-2</c:v>
                </c:pt>
                <c:pt idx="1879">
                  <c:v>7.5197399999999998E-2</c:v>
                </c:pt>
                <c:pt idx="1880">
                  <c:v>7.5237399999999996E-2</c:v>
                </c:pt>
                <c:pt idx="1881">
                  <c:v>7.5277399999999994E-2</c:v>
                </c:pt>
                <c:pt idx="1882">
                  <c:v>7.5317400000000007E-2</c:v>
                </c:pt>
                <c:pt idx="1883">
                  <c:v>7.5357400000000005E-2</c:v>
                </c:pt>
                <c:pt idx="1884">
                  <c:v>7.5397400000000003E-2</c:v>
                </c:pt>
                <c:pt idx="1885">
                  <c:v>7.5437400000000002E-2</c:v>
                </c:pt>
                <c:pt idx="1886">
                  <c:v>7.54774E-2</c:v>
                </c:pt>
                <c:pt idx="1887">
                  <c:v>7.5517399999999998E-2</c:v>
                </c:pt>
                <c:pt idx="1888">
                  <c:v>7.5557399999999997E-2</c:v>
                </c:pt>
                <c:pt idx="1889">
                  <c:v>7.5597399999999995E-2</c:v>
                </c:pt>
                <c:pt idx="1890">
                  <c:v>7.5637399999999994E-2</c:v>
                </c:pt>
                <c:pt idx="1891">
                  <c:v>7.5677400000000006E-2</c:v>
                </c:pt>
                <c:pt idx="1892">
                  <c:v>7.5717400000000004E-2</c:v>
                </c:pt>
                <c:pt idx="1893">
                  <c:v>7.5757400000000003E-2</c:v>
                </c:pt>
                <c:pt idx="1894">
                  <c:v>7.5797400000000001E-2</c:v>
                </c:pt>
                <c:pt idx="1895">
                  <c:v>7.5837399999999999E-2</c:v>
                </c:pt>
                <c:pt idx="1896">
                  <c:v>7.5877399999999998E-2</c:v>
                </c:pt>
                <c:pt idx="1897">
                  <c:v>7.5917399999999996E-2</c:v>
                </c:pt>
                <c:pt idx="1898">
                  <c:v>7.5957399999999994E-2</c:v>
                </c:pt>
                <c:pt idx="1899">
                  <c:v>7.5997400000000007E-2</c:v>
                </c:pt>
                <c:pt idx="1900">
                  <c:v>7.6037400000000005E-2</c:v>
                </c:pt>
                <c:pt idx="1901">
                  <c:v>7.6077400000000003E-2</c:v>
                </c:pt>
                <c:pt idx="1902">
                  <c:v>7.6117400000000002E-2</c:v>
                </c:pt>
                <c:pt idx="1903">
                  <c:v>7.61574E-2</c:v>
                </c:pt>
                <c:pt idx="1904">
                  <c:v>7.6197399999999998E-2</c:v>
                </c:pt>
                <c:pt idx="1905">
                  <c:v>7.6237399999999997E-2</c:v>
                </c:pt>
                <c:pt idx="1906">
                  <c:v>7.6277399999999995E-2</c:v>
                </c:pt>
                <c:pt idx="1907">
                  <c:v>7.6317399999999994E-2</c:v>
                </c:pt>
                <c:pt idx="1908">
                  <c:v>7.6357400000000006E-2</c:v>
                </c:pt>
                <c:pt idx="1909">
                  <c:v>7.6397400000000004E-2</c:v>
                </c:pt>
                <c:pt idx="1910">
                  <c:v>7.6437400000000003E-2</c:v>
                </c:pt>
                <c:pt idx="1911">
                  <c:v>7.6477400000000001E-2</c:v>
                </c:pt>
                <c:pt idx="1912">
                  <c:v>7.6517399999999999E-2</c:v>
                </c:pt>
                <c:pt idx="1913">
                  <c:v>7.6557399999999998E-2</c:v>
                </c:pt>
                <c:pt idx="1914">
                  <c:v>7.6597399999999996E-2</c:v>
                </c:pt>
                <c:pt idx="1915">
                  <c:v>7.6637399999999994E-2</c:v>
                </c:pt>
                <c:pt idx="1916">
                  <c:v>7.6677400000000007E-2</c:v>
                </c:pt>
                <c:pt idx="1917">
                  <c:v>7.6717400000000005E-2</c:v>
                </c:pt>
                <c:pt idx="1918">
                  <c:v>7.6757400000000003E-2</c:v>
                </c:pt>
                <c:pt idx="1919">
                  <c:v>7.6797400000000002E-2</c:v>
                </c:pt>
                <c:pt idx="1920">
                  <c:v>7.68374E-2</c:v>
                </c:pt>
                <c:pt idx="1921">
                  <c:v>7.6877399999999999E-2</c:v>
                </c:pt>
                <c:pt idx="1922">
                  <c:v>7.6917399999999997E-2</c:v>
                </c:pt>
                <c:pt idx="1923">
                  <c:v>7.6957399999999995E-2</c:v>
                </c:pt>
                <c:pt idx="1924">
                  <c:v>7.6997399999999994E-2</c:v>
                </c:pt>
                <c:pt idx="1925">
                  <c:v>7.7037400000000006E-2</c:v>
                </c:pt>
                <c:pt idx="1926">
                  <c:v>7.7077400000000004E-2</c:v>
                </c:pt>
                <c:pt idx="1927">
                  <c:v>7.7117400000000003E-2</c:v>
                </c:pt>
                <c:pt idx="1928">
                  <c:v>7.7157400000000001E-2</c:v>
                </c:pt>
                <c:pt idx="1929">
                  <c:v>7.7197399999999999E-2</c:v>
                </c:pt>
                <c:pt idx="1930">
                  <c:v>7.7237399999999998E-2</c:v>
                </c:pt>
                <c:pt idx="1931">
                  <c:v>7.7277399999999996E-2</c:v>
                </c:pt>
                <c:pt idx="1932">
                  <c:v>7.7317399999999994E-2</c:v>
                </c:pt>
                <c:pt idx="1933">
                  <c:v>7.7357400000000007E-2</c:v>
                </c:pt>
                <c:pt idx="1934">
                  <c:v>7.7397400000000005E-2</c:v>
                </c:pt>
                <c:pt idx="1935">
                  <c:v>7.7437400000000003E-2</c:v>
                </c:pt>
                <c:pt idx="1936">
                  <c:v>7.7477400000000002E-2</c:v>
                </c:pt>
                <c:pt idx="1937">
                  <c:v>7.75174E-2</c:v>
                </c:pt>
                <c:pt idx="1938">
                  <c:v>7.7557399999999999E-2</c:v>
                </c:pt>
                <c:pt idx="1939">
                  <c:v>7.7597399999999997E-2</c:v>
                </c:pt>
                <c:pt idx="1940">
                  <c:v>7.7637399999999995E-2</c:v>
                </c:pt>
                <c:pt idx="1941">
                  <c:v>7.7677399999999994E-2</c:v>
                </c:pt>
                <c:pt idx="1942">
                  <c:v>7.7717400000000006E-2</c:v>
                </c:pt>
                <c:pt idx="1943">
                  <c:v>7.7757400000000004E-2</c:v>
                </c:pt>
                <c:pt idx="1944">
                  <c:v>7.7797400000000003E-2</c:v>
                </c:pt>
                <c:pt idx="1945">
                  <c:v>7.7837400000000001E-2</c:v>
                </c:pt>
                <c:pt idx="1946">
                  <c:v>7.7877399999999999E-2</c:v>
                </c:pt>
                <c:pt idx="1947">
                  <c:v>7.7917399999999998E-2</c:v>
                </c:pt>
                <c:pt idx="1948">
                  <c:v>7.7957399999999996E-2</c:v>
                </c:pt>
                <c:pt idx="1949">
                  <c:v>7.7997399999999995E-2</c:v>
                </c:pt>
                <c:pt idx="1950">
                  <c:v>7.8037400000000007E-2</c:v>
                </c:pt>
                <c:pt idx="1951">
                  <c:v>7.8077400000000005E-2</c:v>
                </c:pt>
                <c:pt idx="1952">
                  <c:v>7.8117400000000004E-2</c:v>
                </c:pt>
                <c:pt idx="1953">
                  <c:v>7.8157400000000002E-2</c:v>
                </c:pt>
                <c:pt idx="1954">
                  <c:v>7.81974E-2</c:v>
                </c:pt>
                <c:pt idx="1955">
                  <c:v>7.8237399999999999E-2</c:v>
                </c:pt>
                <c:pt idx="1956">
                  <c:v>7.8277399999999997E-2</c:v>
                </c:pt>
                <c:pt idx="1957">
                  <c:v>7.8317399999999995E-2</c:v>
                </c:pt>
                <c:pt idx="1958">
                  <c:v>7.8357399999999994E-2</c:v>
                </c:pt>
                <c:pt idx="1959">
                  <c:v>7.8397400000000006E-2</c:v>
                </c:pt>
                <c:pt idx="1960">
                  <c:v>7.8437400000000004E-2</c:v>
                </c:pt>
                <c:pt idx="1961">
                  <c:v>7.8477400000000003E-2</c:v>
                </c:pt>
                <c:pt idx="1962">
                  <c:v>7.8517400000000001E-2</c:v>
                </c:pt>
                <c:pt idx="1963">
                  <c:v>7.8557399999999999E-2</c:v>
                </c:pt>
                <c:pt idx="1964">
                  <c:v>7.8597399999999998E-2</c:v>
                </c:pt>
                <c:pt idx="1965">
                  <c:v>7.8637399999999996E-2</c:v>
                </c:pt>
                <c:pt idx="1966">
                  <c:v>7.8677399999999995E-2</c:v>
                </c:pt>
                <c:pt idx="1967">
                  <c:v>7.8717400000000007E-2</c:v>
                </c:pt>
                <c:pt idx="1968">
                  <c:v>7.8757400000000005E-2</c:v>
                </c:pt>
                <c:pt idx="1969">
                  <c:v>7.8797400000000004E-2</c:v>
                </c:pt>
                <c:pt idx="1970">
                  <c:v>7.8837400000000002E-2</c:v>
                </c:pt>
                <c:pt idx="1971">
                  <c:v>7.88774E-2</c:v>
                </c:pt>
                <c:pt idx="1972">
                  <c:v>7.8917399999999999E-2</c:v>
                </c:pt>
                <c:pt idx="1973">
                  <c:v>7.8957399999999997E-2</c:v>
                </c:pt>
                <c:pt idx="1974">
                  <c:v>7.8997399999999995E-2</c:v>
                </c:pt>
                <c:pt idx="1975">
                  <c:v>7.9037399999999994E-2</c:v>
                </c:pt>
                <c:pt idx="1976">
                  <c:v>7.9077400000000006E-2</c:v>
                </c:pt>
                <c:pt idx="1977">
                  <c:v>7.9117400000000004E-2</c:v>
                </c:pt>
                <c:pt idx="1978">
                  <c:v>7.9157400000000003E-2</c:v>
                </c:pt>
                <c:pt idx="1979">
                  <c:v>7.9197400000000001E-2</c:v>
                </c:pt>
                <c:pt idx="1980">
                  <c:v>7.92374E-2</c:v>
                </c:pt>
                <c:pt idx="1981">
                  <c:v>7.9277399999999998E-2</c:v>
                </c:pt>
                <c:pt idx="1982">
                  <c:v>7.9317399999999996E-2</c:v>
                </c:pt>
                <c:pt idx="1983">
                  <c:v>7.9357399999999995E-2</c:v>
                </c:pt>
                <c:pt idx="1984">
                  <c:v>7.9397400000000007E-2</c:v>
                </c:pt>
                <c:pt idx="1985">
                  <c:v>7.9437400000000005E-2</c:v>
                </c:pt>
                <c:pt idx="1986">
                  <c:v>7.9477400000000004E-2</c:v>
                </c:pt>
                <c:pt idx="1987">
                  <c:v>7.9517400000000002E-2</c:v>
                </c:pt>
                <c:pt idx="1988">
                  <c:v>7.95574E-2</c:v>
                </c:pt>
                <c:pt idx="1989">
                  <c:v>7.9597399999999999E-2</c:v>
                </c:pt>
                <c:pt idx="1990">
                  <c:v>7.9637399999999997E-2</c:v>
                </c:pt>
                <c:pt idx="1991">
                  <c:v>7.9677399999999995E-2</c:v>
                </c:pt>
                <c:pt idx="1992">
                  <c:v>7.9717399999999994E-2</c:v>
                </c:pt>
                <c:pt idx="1993">
                  <c:v>7.9757400000000006E-2</c:v>
                </c:pt>
                <c:pt idx="1994">
                  <c:v>7.9797400000000004E-2</c:v>
                </c:pt>
                <c:pt idx="1995">
                  <c:v>7.9837400000000003E-2</c:v>
                </c:pt>
                <c:pt idx="1996">
                  <c:v>7.9877400000000001E-2</c:v>
                </c:pt>
                <c:pt idx="1997">
                  <c:v>7.99174E-2</c:v>
                </c:pt>
                <c:pt idx="1998">
                  <c:v>7.9957399999999998E-2</c:v>
                </c:pt>
                <c:pt idx="1999">
                  <c:v>7.9997399999999996E-2</c:v>
                </c:pt>
                <c:pt idx="2000">
                  <c:v>8.0037399999999995E-2</c:v>
                </c:pt>
                <c:pt idx="2001">
                  <c:v>8.0077400000000007E-2</c:v>
                </c:pt>
                <c:pt idx="2002">
                  <c:v>8.0117400000000005E-2</c:v>
                </c:pt>
                <c:pt idx="2003">
                  <c:v>8.0157400000000004E-2</c:v>
                </c:pt>
                <c:pt idx="2004">
                  <c:v>8.0197400000000002E-2</c:v>
                </c:pt>
                <c:pt idx="2005">
                  <c:v>8.02374E-2</c:v>
                </c:pt>
                <c:pt idx="2006">
                  <c:v>8.0277399999999999E-2</c:v>
                </c:pt>
                <c:pt idx="2007">
                  <c:v>8.0317399999999997E-2</c:v>
                </c:pt>
                <c:pt idx="2008">
                  <c:v>8.0357399999999995E-2</c:v>
                </c:pt>
                <c:pt idx="2009">
                  <c:v>8.0397399999999994E-2</c:v>
                </c:pt>
                <c:pt idx="2010">
                  <c:v>8.0437400000000006E-2</c:v>
                </c:pt>
                <c:pt idx="2011">
                  <c:v>8.0477400000000004E-2</c:v>
                </c:pt>
                <c:pt idx="2012">
                  <c:v>8.0517400000000003E-2</c:v>
                </c:pt>
                <c:pt idx="2013">
                  <c:v>8.0557400000000001E-2</c:v>
                </c:pt>
                <c:pt idx="2014">
                  <c:v>8.05974E-2</c:v>
                </c:pt>
                <c:pt idx="2015">
                  <c:v>8.0637399999999998E-2</c:v>
                </c:pt>
                <c:pt idx="2016">
                  <c:v>8.0677399999999996E-2</c:v>
                </c:pt>
                <c:pt idx="2017">
                  <c:v>8.0717399999999995E-2</c:v>
                </c:pt>
                <c:pt idx="2018">
                  <c:v>8.0757399999999993E-2</c:v>
                </c:pt>
                <c:pt idx="2019">
                  <c:v>8.0797400000000005E-2</c:v>
                </c:pt>
                <c:pt idx="2020">
                  <c:v>8.0837400000000004E-2</c:v>
                </c:pt>
                <c:pt idx="2021">
                  <c:v>8.0877400000000002E-2</c:v>
                </c:pt>
                <c:pt idx="2022">
                  <c:v>8.09174E-2</c:v>
                </c:pt>
                <c:pt idx="2023">
                  <c:v>8.0957399999999999E-2</c:v>
                </c:pt>
                <c:pt idx="2024">
                  <c:v>8.0997399999999997E-2</c:v>
                </c:pt>
                <c:pt idx="2025">
                  <c:v>8.1037399999999996E-2</c:v>
                </c:pt>
                <c:pt idx="2026">
                  <c:v>8.1077399999999994E-2</c:v>
                </c:pt>
                <c:pt idx="2027">
                  <c:v>8.1117400000000006E-2</c:v>
                </c:pt>
                <c:pt idx="2028">
                  <c:v>8.1157400000000005E-2</c:v>
                </c:pt>
                <c:pt idx="2029">
                  <c:v>8.1197400000000003E-2</c:v>
                </c:pt>
                <c:pt idx="2030">
                  <c:v>8.1237400000000001E-2</c:v>
                </c:pt>
                <c:pt idx="2031">
                  <c:v>8.12774E-2</c:v>
                </c:pt>
                <c:pt idx="2032">
                  <c:v>8.1317399999999998E-2</c:v>
                </c:pt>
                <c:pt idx="2033">
                  <c:v>8.1357399999999996E-2</c:v>
                </c:pt>
                <c:pt idx="2034">
                  <c:v>8.1397399999999995E-2</c:v>
                </c:pt>
                <c:pt idx="2035">
                  <c:v>8.1437399999999993E-2</c:v>
                </c:pt>
                <c:pt idx="2036">
                  <c:v>8.1477400000000005E-2</c:v>
                </c:pt>
                <c:pt idx="2037">
                  <c:v>8.1517400000000004E-2</c:v>
                </c:pt>
                <c:pt idx="2038">
                  <c:v>8.1557400000000002E-2</c:v>
                </c:pt>
                <c:pt idx="2039">
                  <c:v>8.15974E-2</c:v>
                </c:pt>
                <c:pt idx="2040">
                  <c:v>8.1637399999999999E-2</c:v>
                </c:pt>
                <c:pt idx="2041">
                  <c:v>8.1677399999999997E-2</c:v>
                </c:pt>
                <c:pt idx="2042">
                  <c:v>8.1717399999999996E-2</c:v>
                </c:pt>
                <c:pt idx="2043">
                  <c:v>8.1757399999999994E-2</c:v>
                </c:pt>
                <c:pt idx="2044">
                  <c:v>8.1797400000000006E-2</c:v>
                </c:pt>
                <c:pt idx="2045">
                  <c:v>8.1837400000000005E-2</c:v>
                </c:pt>
                <c:pt idx="2046">
                  <c:v>8.1877400000000003E-2</c:v>
                </c:pt>
                <c:pt idx="2047">
                  <c:v>8.1917400000000001E-2</c:v>
                </c:pt>
                <c:pt idx="2048">
                  <c:v>8.19574E-2</c:v>
                </c:pt>
                <c:pt idx="2049">
                  <c:v>8.1997399999999998E-2</c:v>
                </c:pt>
                <c:pt idx="2050">
                  <c:v>8.2037399999999996E-2</c:v>
                </c:pt>
                <c:pt idx="2051">
                  <c:v>8.2077399999999995E-2</c:v>
                </c:pt>
                <c:pt idx="2052">
                  <c:v>8.2117399999999993E-2</c:v>
                </c:pt>
                <c:pt idx="2053">
                  <c:v>8.2157400000000005E-2</c:v>
                </c:pt>
                <c:pt idx="2054">
                  <c:v>8.2197400000000004E-2</c:v>
                </c:pt>
                <c:pt idx="2055">
                  <c:v>8.2237400000000002E-2</c:v>
                </c:pt>
                <c:pt idx="2056">
                  <c:v>8.2277400000000001E-2</c:v>
                </c:pt>
                <c:pt idx="2057">
                  <c:v>8.2317399999999999E-2</c:v>
                </c:pt>
                <c:pt idx="2058">
                  <c:v>8.2357399999999997E-2</c:v>
                </c:pt>
                <c:pt idx="2059">
                  <c:v>8.2397399999999996E-2</c:v>
                </c:pt>
                <c:pt idx="2060">
                  <c:v>8.2437399999999994E-2</c:v>
                </c:pt>
                <c:pt idx="2061">
                  <c:v>8.2477400000000006E-2</c:v>
                </c:pt>
                <c:pt idx="2062">
                  <c:v>8.2517400000000005E-2</c:v>
                </c:pt>
                <c:pt idx="2063">
                  <c:v>8.2557400000000003E-2</c:v>
                </c:pt>
                <c:pt idx="2064">
                  <c:v>8.2597400000000001E-2</c:v>
                </c:pt>
                <c:pt idx="2065">
                  <c:v>8.26374E-2</c:v>
                </c:pt>
                <c:pt idx="2066">
                  <c:v>8.2677399999999998E-2</c:v>
                </c:pt>
                <c:pt idx="2067">
                  <c:v>8.2717399999999996E-2</c:v>
                </c:pt>
                <c:pt idx="2068">
                  <c:v>8.2757399999999995E-2</c:v>
                </c:pt>
                <c:pt idx="2069">
                  <c:v>8.2797399999999993E-2</c:v>
                </c:pt>
                <c:pt idx="2070">
                  <c:v>8.2837400000000005E-2</c:v>
                </c:pt>
                <c:pt idx="2071">
                  <c:v>8.2877400000000004E-2</c:v>
                </c:pt>
                <c:pt idx="2072">
                  <c:v>8.2917400000000002E-2</c:v>
                </c:pt>
                <c:pt idx="2073">
                  <c:v>8.2957400000000001E-2</c:v>
                </c:pt>
                <c:pt idx="2074">
                  <c:v>8.2997399999999999E-2</c:v>
                </c:pt>
                <c:pt idx="2075">
                  <c:v>8.3037399999999997E-2</c:v>
                </c:pt>
                <c:pt idx="2076">
                  <c:v>8.3077399999999996E-2</c:v>
                </c:pt>
                <c:pt idx="2077">
                  <c:v>8.3117399999999994E-2</c:v>
                </c:pt>
                <c:pt idx="2078">
                  <c:v>8.3157400000000006E-2</c:v>
                </c:pt>
                <c:pt idx="2079">
                  <c:v>8.3197400000000005E-2</c:v>
                </c:pt>
                <c:pt idx="2080">
                  <c:v>8.3237400000000003E-2</c:v>
                </c:pt>
                <c:pt idx="2081">
                  <c:v>8.3277400000000001E-2</c:v>
                </c:pt>
                <c:pt idx="2082">
                  <c:v>8.33174E-2</c:v>
                </c:pt>
                <c:pt idx="2083">
                  <c:v>8.3357399999999998E-2</c:v>
                </c:pt>
                <c:pt idx="2084">
                  <c:v>8.3397399999999997E-2</c:v>
                </c:pt>
                <c:pt idx="2085">
                  <c:v>8.3437399999999995E-2</c:v>
                </c:pt>
                <c:pt idx="2086">
                  <c:v>8.3477399999999993E-2</c:v>
                </c:pt>
                <c:pt idx="2087">
                  <c:v>8.3517400000000006E-2</c:v>
                </c:pt>
                <c:pt idx="2088">
                  <c:v>8.3557400000000004E-2</c:v>
                </c:pt>
                <c:pt idx="2089">
                  <c:v>8.3597400000000002E-2</c:v>
                </c:pt>
                <c:pt idx="2090">
                  <c:v>8.3637400000000001E-2</c:v>
                </c:pt>
                <c:pt idx="2091">
                  <c:v>8.3677399999999999E-2</c:v>
                </c:pt>
                <c:pt idx="2092">
                  <c:v>8.3717399999999997E-2</c:v>
                </c:pt>
                <c:pt idx="2093">
                  <c:v>8.3757399999999996E-2</c:v>
                </c:pt>
                <c:pt idx="2094">
                  <c:v>8.3797399999999994E-2</c:v>
                </c:pt>
                <c:pt idx="2095">
                  <c:v>8.3837400000000006E-2</c:v>
                </c:pt>
                <c:pt idx="2096">
                  <c:v>8.3877400000000005E-2</c:v>
                </c:pt>
                <c:pt idx="2097">
                  <c:v>8.3917400000000003E-2</c:v>
                </c:pt>
                <c:pt idx="2098">
                  <c:v>8.3957400000000001E-2</c:v>
                </c:pt>
                <c:pt idx="2099">
                  <c:v>8.39974E-2</c:v>
                </c:pt>
                <c:pt idx="2100">
                  <c:v>8.4037399999999998E-2</c:v>
                </c:pt>
                <c:pt idx="2101">
                  <c:v>8.4077399999999997E-2</c:v>
                </c:pt>
                <c:pt idx="2102">
                  <c:v>8.4117399999999995E-2</c:v>
                </c:pt>
                <c:pt idx="2103">
                  <c:v>8.4157399999999993E-2</c:v>
                </c:pt>
                <c:pt idx="2104">
                  <c:v>8.4197400000000006E-2</c:v>
                </c:pt>
                <c:pt idx="2105">
                  <c:v>8.4237400000000004E-2</c:v>
                </c:pt>
                <c:pt idx="2106">
                  <c:v>8.4277400000000002E-2</c:v>
                </c:pt>
                <c:pt idx="2107">
                  <c:v>8.4317400000000001E-2</c:v>
                </c:pt>
                <c:pt idx="2108">
                  <c:v>8.4357399999999999E-2</c:v>
                </c:pt>
                <c:pt idx="2109">
                  <c:v>8.4397399999999997E-2</c:v>
                </c:pt>
                <c:pt idx="2110">
                  <c:v>8.4437399999999996E-2</c:v>
                </c:pt>
                <c:pt idx="2111">
                  <c:v>8.4477399999999994E-2</c:v>
                </c:pt>
                <c:pt idx="2112">
                  <c:v>8.4517400000000006E-2</c:v>
                </c:pt>
                <c:pt idx="2113">
                  <c:v>8.4557400000000005E-2</c:v>
                </c:pt>
                <c:pt idx="2114">
                  <c:v>8.4597400000000003E-2</c:v>
                </c:pt>
                <c:pt idx="2115">
                  <c:v>8.4637400000000002E-2</c:v>
                </c:pt>
                <c:pt idx="2116">
                  <c:v>8.46774E-2</c:v>
                </c:pt>
                <c:pt idx="2117">
                  <c:v>8.4717399999999998E-2</c:v>
                </c:pt>
                <c:pt idx="2118">
                  <c:v>8.4757399999999997E-2</c:v>
                </c:pt>
                <c:pt idx="2119">
                  <c:v>8.4797399999999995E-2</c:v>
                </c:pt>
                <c:pt idx="2120">
                  <c:v>8.4837399999999993E-2</c:v>
                </c:pt>
                <c:pt idx="2121">
                  <c:v>8.4877400000000006E-2</c:v>
                </c:pt>
                <c:pt idx="2122">
                  <c:v>8.4917400000000004E-2</c:v>
                </c:pt>
                <c:pt idx="2123">
                  <c:v>8.4957400000000002E-2</c:v>
                </c:pt>
                <c:pt idx="2124">
                  <c:v>8.4997400000000001E-2</c:v>
                </c:pt>
                <c:pt idx="2125">
                  <c:v>8.5037399999999999E-2</c:v>
                </c:pt>
                <c:pt idx="2126">
                  <c:v>8.5077399999999997E-2</c:v>
                </c:pt>
                <c:pt idx="2127">
                  <c:v>8.5117399999999996E-2</c:v>
                </c:pt>
                <c:pt idx="2128">
                  <c:v>8.5157399999999994E-2</c:v>
                </c:pt>
                <c:pt idx="2129">
                  <c:v>8.5197400000000006E-2</c:v>
                </c:pt>
                <c:pt idx="2130">
                  <c:v>8.5237400000000005E-2</c:v>
                </c:pt>
                <c:pt idx="2131">
                  <c:v>8.5277400000000003E-2</c:v>
                </c:pt>
                <c:pt idx="2132">
                  <c:v>8.5317400000000002E-2</c:v>
                </c:pt>
                <c:pt idx="2133">
                  <c:v>8.53574E-2</c:v>
                </c:pt>
                <c:pt idx="2134">
                  <c:v>8.5397399999999998E-2</c:v>
                </c:pt>
                <c:pt idx="2135">
                  <c:v>8.5437399999999997E-2</c:v>
                </c:pt>
                <c:pt idx="2136">
                  <c:v>8.5477399999999995E-2</c:v>
                </c:pt>
                <c:pt idx="2137">
                  <c:v>8.5517399999999993E-2</c:v>
                </c:pt>
                <c:pt idx="2138">
                  <c:v>8.5557400000000006E-2</c:v>
                </c:pt>
                <c:pt idx="2139">
                  <c:v>8.5597400000000004E-2</c:v>
                </c:pt>
                <c:pt idx="2140">
                  <c:v>8.5637400000000002E-2</c:v>
                </c:pt>
                <c:pt idx="2141">
                  <c:v>8.5677400000000001E-2</c:v>
                </c:pt>
                <c:pt idx="2142">
                  <c:v>8.5717399999999999E-2</c:v>
                </c:pt>
                <c:pt idx="2143">
                  <c:v>8.5757399999999998E-2</c:v>
                </c:pt>
                <c:pt idx="2144">
                  <c:v>8.5797399999999996E-2</c:v>
                </c:pt>
                <c:pt idx="2145">
                  <c:v>8.5837399999999994E-2</c:v>
                </c:pt>
                <c:pt idx="2146">
                  <c:v>8.5877400000000007E-2</c:v>
                </c:pt>
                <c:pt idx="2147">
                  <c:v>8.5917400000000005E-2</c:v>
                </c:pt>
                <c:pt idx="2148">
                  <c:v>8.5957400000000003E-2</c:v>
                </c:pt>
                <c:pt idx="2149">
                  <c:v>8.5997400000000002E-2</c:v>
                </c:pt>
                <c:pt idx="2150">
                  <c:v>8.60374E-2</c:v>
                </c:pt>
                <c:pt idx="2151">
                  <c:v>8.6077399999999998E-2</c:v>
                </c:pt>
                <c:pt idx="2152">
                  <c:v>8.6117399999999997E-2</c:v>
                </c:pt>
                <c:pt idx="2153">
                  <c:v>8.6157399999999995E-2</c:v>
                </c:pt>
                <c:pt idx="2154">
                  <c:v>8.6197399999999993E-2</c:v>
                </c:pt>
                <c:pt idx="2155">
                  <c:v>8.6237400000000006E-2</c:v>
                </c:pt>
                <c:pt idx="2156">
                  <c:v>8.6277400000000004E-2</c:v>
                </c:pt>
                <c:pt idx="2157">
                  <c:v>8.6317400000000002E-2</c:v>
                </c:pt>
                <c:pt idx="2158">
                  <c:v>8.6357400000000001E-2</c:v>
                </c:pt>
                <c:pt idx="2159">
                  <c:v>8.6397399999999999E-2</c:v>
                </c:pt>
                <c:pt idx="2160">
                  <c:v>8.6437399999999998E-2</c:v>
                </c:pt>
                <c:pt idx="2161">
                  <c:v>8.6477399999999996E-2</c:v>
                </c:pt>
                <c:pt idx="2162">
                  <c:v>8.6517399999999994E-2</c:v>
                </c:pt>
                <c:pt idx="2163">
                  <c:v>8.6557400000000007E-2</c:v>
                </c:pt>
                <c:pt idx="2164">
                  <c:v>8.6597400000000005E-2</c:v>
                </c:pt>
                <c:pt idx="2165">
                  <c:v>8.6637400000000003E-2</c:v>
                </c:pt>
                <c:pt idx="2166">
                  <c:v>8.6677400000000002E-2</c:v>
                </c:pt>
                <c:pt idx="2167">
                  <c:v>8.67174E-2</c:v>
                </c:pt>
                <c:pt idx="2168">
                  <c:v>8.6757399999999998E-2</c:v>
                </c:pt>
                <c:pt idx="2169">
                  <c:v>8.6797399999999997E-2</c:v>
                </c:pt>
                <c:pt idx="2170">
                  <c:v>8.6837399999999995E-2</c:v>
                </c:pt>
                <c:pt idx="2171">
                  <c:v>8.6877399999999994E-2</c:v>
                </c:pt>
                <c:pt idx="2172">
                  <c:v>8.6917400000000006E-2</c:v>
                </c:pt>
                <c:pt idx="2173">
                  <c:v>8.6957400000000004E-2</c:v>
                </c:pt>
                <c:pt idx="2174">
                  <c:v>8.6997400000000003E-2</c:v>
                </c:pt>
                <c:pt idx="2175">
                  <c:v>8.7037400000000001E-2</c:v>
                </c:pt>
                <c:pt idx="2176">
                  <c:v>8.7077399999999999E-2</c:v>
                </c:pt>
                <c:pt idx="2177">
                  <c:v>8.7117399999999998E-2</c:v>
                </c:pt>
                <c:pt idx="2178">
                  <c:v>8.7157399999999996E-2</c:v>
                </c:pt>
                <c:pt idx="2179">
                  <c:v>8.7197399999999994E-2</c:v>
                </c:pt>
                <c:pt idx="2180">
                  <c:v>8.7237400000000007E-2</c:v>
                </c:pt>
                <c:pt idx="2181">
                  <c:v>8.7277400000000005E-2</c:v>
                </c:pt>
                <c:pt idx="2182">
                  <c:v>8.7317400000000003E-2</c:v>
                </c:pt>
                <c:pt idx="2183">
                  <c:v>8.7357400000000002E-2</c:v>
                </c:pt>
                <c:pt idx="2184">
                  <c:v>8.73974E-2</c:v>
                </c:pt>
                <c:pt idx="2185">
                  <c:v>8.7437399999999998E-2</c:v>
                </c:pt>
                <c:pt idx="2186">
                  <c:v>8.7477399999999997E-2</c:v>
                </c:pt>
                <c:pt idx="2187">
                  <c:v>8.7517399999999995E-2</c:v>
                </c:pt>
                <c:pt idx="2188">
                  <c:v>8.7557399999999994E-2</c:v>
                </c:pt>
                <c:pt idx="2189">
                  <c:v>8.7597400000000006E-2</c:v>
                </c:pt>
                <c:pt idx="2190">
                  <c:v>8.7637400000000004E-2</c:v>
                </c:pt>
                <c:pt idx="2191">
                  <c:v>8.7677400000000003E-2</c:v>
                </c:pt>
                <c:pt idx="2192">
                  <c:v>8.7717400000000001E-2</c:v>
                </c:pt>
                <c:pt idx="2193">
                  <c:v>8.7757399999999999E-2</c:v>
                </c:pt>
                <c:pt idx="2194">
                  <c:v>8.7797399999999998E-2</c:v>
                </c:pt>
                <c:pt idx="2195">
                  <c:v>8.7837399999999996E-2</c:v>
                </c:pt>
                <c:pt idx="2196">
                  <c:v>8.7877399999999994E-2</c:v>
                </c:pt>
                <c:pt idx="2197">
                  <c:v>8.7917400000000007E-2</c:v>
                </c:pt>
                <c:pt idx="2198">
                  <c:v>8.7957400000000005E-2</c:v>
                </c:pt>
                <c:pt idx="2199">
                  <c:v>8.7997400000000003E-2</c:v>
                </c:pt>
                <c:pt idx="2200">
                  <c:v>8.8037400000000002E-2</c:v>
                </c:pt>
                <c:pt idx="2201">
                  <c:v>8.80774E-2</c:v>
                </c:pt>
                <c:pt idx="2202">
                  <c:v>8.8117399999999999E-2</c:v>
                </c:pt>
                <c:pt idx="2203">
                  <c:v>8.8157399999999997E-2</c:v>
                </c:pt>
                <c:pt idx="2204">
                  <c:v>8.8197399999999995E-2</c:v>
                </c:pt>
                <c:pt idx="2205">
                  <c:v>8.8237399999999994E-2</c:v>
                </c:pt>
                <c:pt idx="2206">
                  <c:v>8.8277400000000006E-2</c:v>
                </c:pt>
                <c:pt idx="2207">
                  <c:v>8.8317400000000004E-2</c:v>
                </c:pt>
                <c:pt idx="2208">
                  <c:v>8.8357400000000003E-2</c:v>
                </c:pt>
                <c:pt idx="2209">
                  <c:v>8.8397400000000001E-2</c:v>
                </c:pt>
                <c:pt idx="2210">
                  <c:v>8.8437399999999999E-2</c:v>
                </c:pt>
                <c:pt idx="2211">
                  <c:v>8.8477399999999998E-2</c:v>
                </c:pt>
                <c:pt idx="2212">
                  <c:v>8.8517399999999996E-2</c:v>
                </c:pt>
                <c:pt idx="2213">
                  <c:v>8.8557399999999994E-2</c:v>
                </c:pt>
                <c:pt idx="2214">
                  <c:v>8.8597400000000007E-2</c:v>
                </c:pt>
                <c:pt idx="2215">
                  <c:v>8.8637400000000005E-2</c:v>
                </c:pt>
                <c:pt idx="2216">
                  <c:v>8.8677400000000003E-2</c:v>
                </c:pt>
                <c:pt idx="2217">
                  <c:v>8.8717400000000002E-2</c:v>
                </c:pt>
                <c:pt idx="2218">
                  <c:v>8.87574E-2</c:v>
                </c:pt>
                <c:pt idx="2219">
                  <c:v>8.8797399999999999E-2</c:v>
                </c:pt>
                <c:pt idx="2220">
                  <c:v>8.8837399999999997E-2</c:v>
                </c:pt>
                <c:pt idx="2221">
                  <c:v>8.8877399999999995E-2</c:v>
                </c:pt>
                <c:pt idx="2222">
                  <c:v>8.8917399999999994E-2</c:v>
                </c:pt>
                <c:pt idx="2223">
                  <c:v>8.8957400000000006E-2</c:v>
                </c:pt>
                <c:pt idx="2224">
                  <c:v>8.8997400000000004E-2</c:v>
                </c:pt>
                <c:pt idx="2225">
                  <c:v>8.9037400000000003E-2</c:v>
                </c:pt>
                <c:pt idx="2226">
                  <c:v>8.9077400000000001E-2</c:v>
                </c:pt>
                <c:pt idx="2227">
                  <c:v>8.9117399999999999E-2</c:v>
                </c:pt>
                <c:pt idx="2228">
                  <c:v>8.9157399999999998E-2</c:v>
                </c:pt>
                <c:pt idx="2229">
                  <c:v>8.9197399999999996E-2</c:v>
                </c:pt>
                <c:pt idx="2230">
                  <c:v>8.9237399999999995E-2</c:v>
                </c:pt>
                <c:pt idx="2231">
                  <c:v>8.9277400000000007E-2</c:v>
                </c:pt>
                <c:pt idx="2232">
                  <c:v>8.9317400000000005E-2</c:v>
                </c:pt>
                <c:pt idx="2233">
                  <c:v>8.9357400000000003E-2</c:v>
                </c:pt>
                <c:pt idx="2234">
                  <c:v>8.9397400000000002E-2</c:v>
                </c:pt>
                <c:pt idx="2235">
                  <c:v>8.94374E-2</c:v>
                </c:pt>
                <c:pt idx="2236">
                  <c:v>8.9477399999999999E-2</c:v>
                </c:pt>
                <c:pt idx="2237">
                  <c:v>8.9517399999999997E-2</c:v>
                </c:pt>
                <c:pt idx="2238">
                  <c:v>8.9557399999999995E-2</c:v>
                </c:pt>
                <c:pt idx="2239">
                  <c:v>8.9597399999999994E-2</c:v>
                </c:pt>
                <c:pt idx="2240">
                  <c:v>8.9637400000000006E-2</c:v>
                </c:pt>
                <c:pt idx="2241">
                  <c:v>8.9677400000000004E-2</c:v>
                </c:pt>
                <c:pt idx="2242">
                  <c:v>8.9717400000000003E-2</c:v>
                </c:pt>
                <c:pt idx="2243">
                  <c:v>8.9757400000000001E-2</c:v>
                </c:pt>
                <c:pt idx="2244">
                  <c:v>8.9797399999999999E-2</c:v>
                </c:pt>
                <c:pt idx="2245">
                  <c:v>8.9837399999999998E-2</c:v>
                </c:pt>
                <c:pt idx="2246">
                  <c:v>8.9877399999999996E-2</c:v>
                </c:pt>
                <c:pt idx="2247">
                  <c:v>8.9917399999999995E-2</c:v>
                </c:pt>
                <c:pt idx="2248">
                  <c:v>8.9957400000000007E-2</c:v>
                </c:pt>
                <c:pt idx="2249">
                  <c:v>8.9997400000000005E-2</c:v>
                </c:pt>
                <c:pt idx="2250">
                  <c:v>9.0037400000000004E-2</c:v>
                </c:pt>
                <c:pt idx="2251">
                  <c:v>9.0077400000000002E-2</c:v>
                </c:pt>
                <c:pt idx="2252">
                  <c:v>9.01174E-2</c:v>
                </c:pt>
                <c:pt idx="2253">
                  <c:v>9.0157399999999999E-2</c:v>
                </c:pt>
                <c:pt idx="2254">
                  <c:v>9.0197399999999997E-2</c:v>
                </c:pt>
                <c:pt idx="2255">
                  <c:v>9.0237399999999995E-2</c:v>
                </c:pt>
                <c:pt idx="2256">
                  <c:v>9.0277399999999994E-2</c:v>
                </c:pt>
                <c:pt idx="2257">
                  <c:v>9.0317400000000006E-2</c:v>
                </c:pt>
                <c:pt idx="2258">
                  <c:v>9.0357400000000004E-2</c:v>
                </c:pt>
                <c:pt idx="2259">
                  <c:v>9.0397400000000003E-2</c:v>
                </c:pt>
                <c:pt idx="2260">
                  <c:v>9.0437400000000001E-2</c:v>
                </c:pt>
                <c:pt idx="2261">
                  <c:v>9.0477399999999999E-2</c:v>
                </c:pt>
                <c:pt idx="2262">
                  <c:v>9.0517399999999998E-2</c:v>
                </c:pt>
                <c:pt idx="2263">
                  <c:v>9.0557399999999996E-2</c:v>
                </c:pt>
                <c:pt idx="2264">
                  <c:v>9.0597399999999995E-2</c:v>
                </c:pt>
                <c:pt idx="2265">
                  <c:v>9.0637400000000007E-2</c:v>
                </c:pt>
                <c:pt idx="2266">
                  <c:v>9.0677400000000005E-2</c:v>
                </c:pt>
                <c:pt idx="2267">
                  <c:v>9.0717400000000004E-2</c:v>
                </c:pt>
                <c:pt idx="2268">
                  <c:v>9.0757400000000002E-2</c:v>
                </c:pt>
                <c:pt idx="2269">
                  <c:v>9.07974E-2</c:v>
                </c:pt>
                <c:pt idx="2270">
                  <c:v>9.0837399999999999E-2</c:v>
                </c:pt>
                <c:pt idx="2271">
                  <c:v>9.0877399999999997E-2</c:v>
                </c:pt>
                <c:pt idx="2272">
                  <c:v>9.0917399999999995E-2</c:v>
                </c:pt>
                <c:pt idx="2273">
                  <c:v>9.0957399999999994E-2</c:v>
                </c:pt>
                <c:pt idx="2274">
                  <c:v>9.0997400000000006E-2</c:v>
                </c:pt>
                <c:pt idx="2275">
                  <c:v>9.1037400000000004E-2</c:v>
                </c:pt>
                <c:pt idx="2276">
                  <c:v>9.1077400000000003E-2</c:v>
                </c:pt>
                <c:pt idx="2277">
                  <c:v>9.1117400000000001E-2</c:v>
                </c:pt>
                <c:pt idx="2278">
                  <c:v>9.11574E-2</c:v>
                </c:pt>
                <c:pt idx="2279">
                  <c:v>9.1197399999999998E-2</c:v>
                </c:pt>
                <c:pt idx="2280">
                  <c:v>9.1237399999999996E-2</c:v>
                </c:pt>
                <c:pt idx="2281">
                  <c:v>9.1277399999999995E-2</c:v>
                </c:pt>
                <c:pt idx="2282">
                  <c:v>9.1317400000000007E-2</c:v>
                </c:pt>
                <c:pt idx="2283">
                  <c:v>9.1357400000000005E-2</c:v>
                </c:pt>
                <c:pt idx="2284">
                  <c:v>9.1397400000000004E-2</c:v>
                </c:pt>
                <c:pt idx="2285">
                  <c:v>9.1437400000000002E-2</c:v>
                </c:pt>
                <c:pt idx="2286">
                  <c:v>9.14774E-2</c:v>
                </c:pt>
                <c:pt idx="2287">
                  <c:v>9.1517399999999999E-2</c:v>
                </c:pt>
                <c:pt idx="2288">
                  <c:v>9.1557399999999997E-2</c:v>
                </c:pt>
                <c:pt idx="2289">
                  <c:v>9.1597399999999995E-2</c:v>
                </c:pt>
                <c:pt idx="2290">
                  <c:v>9.1637399999999994E-2</c:v>
                </c:pt>
                <c:pt idx="2291">
                  <c:v>9.1677400000000006E-2</c:v>
                </c:pt>
                <c:pt idx="2292">
                  <c:v>9.1717400000000004E-2</c:v>
                </c:pt>
                <c:pt idx="2293">
                  <c:v>9.1757400000000003E-2</c:v>
                </c:pt>
                <c:pt idx="2294">
                  <c:v>9.1797400000000001E-2</c:v>
                </c:pt>
                <c:pt idx="2295">
                  <c:v>9.18374E-2</c:v>
                </c:pt>
                <c:pt idx="2296">
                  <c:v>9.1877399999999998E-2</c:v>
                </c:pt>
                <c:pt idx="2297">
                  <c:v>9.1917399999999996E-2</c:v>
                </c:pt>
                <c:pt idx="2298">
                  <c:v>9.1957399999999995E-2</c:v>
                </c:pt>
                <c:pt idx="2299">
                  <c:v>9.1997399999999993E-2</c:v>
                </c:pt>
                <c:pt idx="2300">
                  <c:v>9.2037400000000005E-2</c:v>
                </c:pt>
                <c:pt idx="2301">
                  <c:v>9.2077400000000004E-2</c:v>
                </c:pt>
                <c:pt idx="2302">
                  <c:v>9.2117400000000002E-2</c:v>
                </c:pt>
                <c:pt idx="2303">
                  <c:v>9.21574E-2</c:v>
                </c:pt>
                <c:pt idx="2304">
                  <c:v>9.2197399999999999E-2</c:v>
                </c:pt>
                <c:pt idx="2305">
                  <c:v>9.2237399999999997E-2</c:v>
                </c:pt>
                <c:pt idx="2306">
                  <c:v>9.2277399999999996E-2</c:v>
                </c:pt>
                <c:pt idx="2307">
                  <c:v>9.2317399999999994E-2</c:v>
                </c:pt>
                <c:pt idx="2308">
                  <c:v>9.2357400000000006E-2</c:v>
                </c:pt>
                <c:pt idx="2309">
                  <c:v>9.2397400000000005E-2</c:v>
                </c:pt>
                <c:pt idx="2310">
                  <c:v>9.2437400000000003E-2</c:v>
                </c:pt>
                <c:pt idx="2311">
                  <c:v>9.2477400000000001E-2</c:v>
                </c:pt>
                <c:pt idx="2312">
                  <c:v>9.25174E-2</c:v>
                </c:pt>
                <c:pt idx="2313">
                  <c:v>9.2557399999999998E-2</c:v>
                </c:pt>
                <c:pt idx="2314">
                  <c:v>9.2597399999999996E-2</c:v>
                </c:pt>
                <c:pt idx="2315">
                  <c:v>9.2637399999999995E-2</c:v>
                </c:pt>
                <c:pt idx="2316">
                  <c:v>9.2677399999999993E-2</c:v>
                </c:pt>
                <c:pt idx="2317">
                  <c:v>9.2717400000000005E-2</c:v>
                </c:pt>
                <c:pt idx="2318">
                  <c:v>9.2757400000000004E-2</c:v>
                </c:pt>
                <c:pt idx="2319">
                  <c:v>9.2797400000000002E-2</c:v>
                </c:pt>
                <c:pt idx="2320">
                  <c:v>9.28374E-2</c:v>
                </c:pt>
                <c:pt idx="2321">
                  <c:v>9.2877399999999999E-2</c:v>
                </c:pt>
                <c:pt idx="2322">
                  <c:v>9.2917399999999997E-2</c:v>
                </c:pt>
                <c:pt idx="2323">
                  <c:v>9.2957399999999996E-2</c:v>
                </c:pt>
                <c:pt idx="2324">
                  <c:v>9.2997399999999994E-2</c:v>
                </c:pt>
                <c:pt idx="2325">
                  <c:v>9.3037400000000006E-2</c:v>
                </c:pt>
                <c:pt idx="2326">
                  <c:v>9.3077400000000005E-2</c:v>
                </c:pt>
                <c:pt idx="2327">
                  <c:v>9.3117400000000003E-2</c:v>
                </c:pt>
                <c:pt idx="2328">
                  <c:v>9.3157400000000001E-2</c:v>
                </c:pt>
                <c:pt idx="2329">
                  <c:v>9.31974E-2</c:v>
                </c:pt>
                <c:pt idx="2330">
                  <c:v>9.3237399999999998E-2</c:v>
                </c:pt>
                <c:pt idx="2331">
                  <c:v>9.3277399999999996E-2</c:v>
                </c:pt>
                <c:pt idx="2332">
                  <c:v>9.3317399999999995E-2</c:v>
                </c:pt>
                <c:pt idx="2333">
                  <c:v>9.3357399999999993E-2</c:v>
                </c:pt>
                <c:pt idx="2334">
                  <c:v>9.3397400000000005E-2</c:v>
                </c:pt>
                <c:pt idx="2335">
                  <c:v>9.3437400000000004E-2</c:v>
                </c:pt>
                <c:pt idx="2336">
                  <c:v>9.3477400000000002E-2</c:v>
                </c:pt>
                <c:pt idx="2337">
                  <c:v>9.3517400000000001E-2</c:v>
                </c:pt>
                <c:pt idx="2338">
                  <c:v>9.3557399999999999E-2</c:v>
                </c:pt>
                <c:pt idx="2339">
                  <c:v>9.3597399999999997E-2</c:v>
                </c:pt>
                <c:pt idx="2340">
                  <c:v>9.3637399999999996E-2</c:v>
                </c:pt>
                <c:pt idx="2341">
                  <c:v>9.3677399999999994E-2</c:v>
                </c:pt>
                <c:pt idx="2342">
                  <c:v>9.3717400000000006E-2</c:v>
                </c:pt>
                <c:pt idx="2343">
                  <c:v>9.3757400000000005E-2</c:v>
                </c:pt>
                <c:pt idx="2344">
                  <c:v>9.3797400000000003E-2</c:v>
                </c:pt>
                <c:pt idx="2345">
                  <c:v>9.3837400000000001E-2</c:v>
                </c:pt>
                <c:pt idx="2346">
                  <c:v>9.38774E-2</c:v>
                </c:pt>
                <c:pt idx="2347">
                  <c:v>9.3917399999999998E-2</c:v>
                </c:pt>
                <c:pt idx="2348">
                  <c:v>9.3957399999999996E-2</c:v>
                </c:pt>
                <c:pt idx="2349">
                  <c:v>9.3997399999999995E-2</c:v>
                </c:pt>
                <c:pt idx="2350">
                  <c:v>9.4037399999999993E-2</c:v>
                </c:pt>
                <c:pt idx="2351">
                  <c:v>9.4077400000000005E-2</c:v>
                </c:pt>
                <c:pt idx="2352">
                  <c:v>9.4117400000000004E-2</c:v>
                </c:pt>
                <c:pt idx="2353">
                  <c:v>9.4157400000000002E-2</c:v>
                </c:pt>
                <c:pt idx="2354">
                  <c:v>9.4197400000000001E-2</c:v>
                </c:pt>
                <c:pt idx="2355">
                  <c:v>9.4237399999999999E-2</c:v>
                </c:pt>
                <c:pt idx="2356">
                  <c:v>9.4277399999999997E-2</c:v>
                </c:pt>
                <c:pt idx="2357">
                  <c:v>9.4317399999999996E-2</c:v>
                </c:pt>
                <c:pt idx="2358">
                  <c:v>9.4357399999999994E-2</c:v>
                </c:pt>
                <c:pt idx="2359">
                  <c:v>9.4397400000000006E-2</c:v>
                </c:pt>
                <c:pt idx="2360">
                  <c:v>9.4437400000000005E-2</c:v>
                </c:pt>
                <c:pt idx="2361">
                  <c:v>9.4477400000000003E-2</c:v>
                </c:pt>
                <c:pt idx="2362">
                  <c:v>9.4517400000000001E-2</c:v>
                </c:pt>
                <c:pt idx="2363">
                  <c:v>9.45574E-2</c:v>
                </c:pt>
                <c:pt idx="2364">
                  <c:v>9.4597399999999998E-2</c:v>
                </c:pt>
                <c:pt idx="2365">
                  <c:v>9.4637399999999997E-2</c:v>
                </c:pt>
                <c:pt idx="2366">
                  <c:v>9.4677399999999995E-2</c:v>
                </c:pt>
                <c:pt idx="2367">
                  <c:v>9.4717399999999993E-2</c:v>
                </c:pt>
                <c:pt idx="2368">
                  <c:v>9.4757400000000006E-2</c:v>
                </c:pt>
                <c:pt idx="2369">
                  <c:v>9.4797400000000004E-2</c:v>
                </c:pt>
                <c:pt idx="2370">
                  <c:v>9.4837400000000002E-2</c:v>
                </c:pt>
                <c:pt idx="2371">
                  <c:v>9.4877400000000001E-2</c:v>
                </c:pt>
                <c:pt idx="2372">
                  <c:v>9.4917399999999999E-2</c:v>
                </c:pt>
                <c:pt idx="2373">
                  <c:v>9.4957399999999997E-2</c:v>
                </c:pt>
                <c:pt idx="2374">
                  <c:v>9.4997399999999996E-2</c:v>
                </c:pt>
                <c:pt idx="2375">
                  <c:v>9.5037399999999994E-2</c:v>
                </c:pt>
                <c:pt idx="2376">
                  <c:v>9.5077400000000006E-2</c:v>
                </c:pt>
                <c:pt idx="2377">
                  <c:v>9.5117400000000005E-2</c:v>
                </c:pt>
                <c:pt idx="2378">
                  <c:v>9.5157400000000003E-2</c:v>
                </c:pt>
                <c:pt idx="2379">
                  <c:v>9.5197400000000001E-2</c:v>
                </c:pt>
                <c:pt idx="2380">
                  <c:v>9.52374E-2</c:v>
                </c:pt>
                <c:pt idx="2381">
                  <c:v>9.5277399999999998E-2</c:v>
                </c:pt>
                <c:pt idx="2382">
                  <c:v>9.5317399999999997E-2</c:v>
                </c:pt>
                <c:pt idx="2383">
                  <c:v>9.5357399999999995E-2</c:v>
                </c:pt>
                <c:pt idx="2384">
                  <c:v>9.5397399999999993E-2</c:v>
                </c:pt>
                <c:pt idx="2385">
                  <c:v>9.5437400000000006E-2</c:v>
                </c:pt>
                <c:pt idx="2386">
                  <c:v>9.5477400000000004E-2</c:v>
                </c:pt>
                <c:pt idx="2387">
                  <c:v>9.5517400000000002E-2</c:v>
                </c:pt>
                <c:pt idx="2388">
                  <c:v>9.5557400000000001E-2</c:v>
                </c:pt>
                <c:pt idx="2389">
                  <c:v>9.5597399999999999E-2</c:v>
                </c:pt>
                <c:pt idx="2390">
                  <c:v>9.5637399999999997E-2</c:v>
                </c:pt>
                <c:pt idx="2391">
                  <c:v>9.5677399999999996E-2</c:v>
                </c:pt>
                <c:pt idx="2392">
                  <c:v>9.5717399999999994E-2</c:v>
                </c:pt>
                <c:pt idx="2393">
                  <c:v>9.5757400000000006E-2</c:v>
                </c:pt>
                <c:pt idx="2394">
                  <c:v>9.5797400000000005E-2</c:v>
                </c:pt>
                <c:pt idx="2395">
                  <c:v>9.5837400000000003E-2</c:v>
                </c:pt>
                <c:pt idx="2396">
                  <c:v>9.5877400000000002E-2</c:v>
                </c:pt>
                <c:pt idx="2397">
                  <c:v>9.59174E-2</c:v>
                </c:pt>
                <c:pt idx="2398">
                  <c:v>9.5957399999999998E-2</c:v>
                </c:pt>
                <c:pt idx="2399">
                  <c:v>9.5997399999999997E-2</c:v>
                </c:pt>
                <c:pt idx="2400">
                  <c:v>9.6037399999999995E-2</c:v>
                </c:pt>
                <c:pt idx="2401">
                  <c:v>9.6077399999999993E-2</c:v>
                </c:pt>
                <c:pt idx="2402">
                  <c:v>9.6117400000000006E-2</c:v>
                </c:pt>
                <c:pt idx="2403">
                  <c:v>9.6157400000000004E-2</c:v>
                </c:pt>
                <c:pt idx="2404">
                  <c:v>9.6197400000000002E-2</c:v>
                </c:pt>
                <c:pt idx="2405">
                  <c:v>9.6237400000000001E-2</c:v>
                </c:pt>
                <c:pt idx="2406">
                  <c:v>9.6277399999999999E-2</c:v>
                </c:pt>
                <c:pt idx="2407">
                  <c:v>9.6317399999999997E-2</c:v>
                </c:pt>
                <c:pt idx="2408">
                  <c:v>9.6357399999999996E-2</c:v>
                </c:pt>
                <c:pt idx="2409">
                  <c:v>9.6397399999999994E-2</c:v>
                </c:pt>
                <c:pt idx="2410">
                  <c:v>9.6437400000000006E-2</c:v>
                </c:pt>
                <c:pt idx="2411">
                  <c:v>9.6477400000000005E-2</c:v>
                </c:pt>
                <c:pt idx="2412">
                  <c:v>9.6517400000000003E-2</c:v>
                </c:pt>
                <c:pt idx="2413">
                  <c:v>9.6557400000000002E-2</c:v>
                </c:pt>
                <c:pt idx="2414">
                  <c:v>9.65974E-2</c:v>
                </c:pt>
                <c:pt idx="2415">
                  <c:v>9.6637399999999998E-2</c:v>
                </c:pt>
                <c:pt idx="2416">
                  <c:v>9.6677399999999997E-2</c:v>
                </c:pt>
                <c:pt idx="2417">
                  <c:v>9.6717399999999995E-2</c:v>
                </c:pt>
                <c:pt idx="2418">
                  <c:v>9.6757399999999993E-2</c:v>
                </c:pt>
                <c:pt idx="2419">
                  <c:v>9.6797400000000006E-2</c:v>
                </c:pt>
                <c:pt idx="2420">
                  <c:v>9.6837400000000004E-2</c:v>
                </c:pt>
                <c:pt idx="2421">
                  <c:v>9.6877400000000002E-2</c:v>
                </c:pt>
                <c:pt idx="2422">
                  <c:v>9.6917400000000001E-2</c:v>
                </c:pt>
                <c:pt idx="2423">
                  <c:v>9.6957399999999999E-2</c:v>
                </c:pt>
                <c:pt idx="2424">
                  <c:v>9.6997399999999998E-2</c:v>
                </c:pt>
                <c:pt idx="2425">
                  <c:v>9.7037399999999996E-2</c:v>
                </c:pt>
                <c:pt idx="2426">
                  <c:v>9.7077399999999994E-2</c:v>
                </c:pt>
                <c:pt idx="2427">
                  <c:v>9.7117400000000006E-2</c:v>
                </c:pt>
                <c:pt idx="2428">
                  <c:v>9.7157400000000005E-2</c:v>
                </c:pt>
                <c:pt idx="2429">
                  <c:v>9.7197400000000003E-2</c:v>
                </c:pt>
                <c:pt idx="2430">
                  <c:v>9.7237400000000002E-2</c:v>
                </c:pt>
                <c:pt idx="2431">
                  <c:v>9.72774E-2</c:v>
                </c:pt>
                <c:pt idx="2432">
                  <c:v>9.7317399999999998E-2</c:v>
                </c:pt>
                <c:pt idx="2433">
                  <c:v>9.7357399999999997E-2</c:v>
                </c:pt>
                <c:pt idx="2434">
                  <c:v>9.7397399999999995E-2</c:v>
                </c:pt>
                <c:pt idx="2435">
                  <c:v>9.7437399999999993E-2</c:v>
                </c:pt>
                <c:pt idx="2436">
                  <c:v>9.7477400000000006E-2</c:v>
                </c:pt>
                <c:pt idx="2437">
                  <c:v>9.7517400000000004E-2</c:v>
                </c:pt>
                <c:pt idx="2438">
                  <c:v>9.7557400000000002E-2</c:v>
                </c:pt>
                <c:pt idx="2439">
                  <c:v>9.7597400000000001E-2</c:v>
                </c:pt>
                <c:pt idx="2440">
                  <c:v>9.7637399999999999E-2</c:v>
                </c:pt>
                <c:pt idx="2441">
                  <c:v>9.7677399999999998E-2</c:v>
                </c:pt>
                <c:pt idx="2442">
                  <c:v>9.7717399999999996E-2</c:v>
                </c:pt>
                <c:pt idx="2443">
                  <c:v>9.7757399999999994E-2</c:v>
                </c:pt>
                <c:pt idx="2444">
                  <c:v>9.7797400000000007E-2</c:v>
                </c:pt>
                <c:pt idx="2445">
                  <c:v>9.7837400000000005E-2</c:v>
                </c:pt>
                <c:pt idx="2446">
                  <c:v>9.7877400000000003E-2</c:v>
                </c:pt>
                <c:pt idx="2447">
                  <c:v>9.7917400000000002E-2</c:v>
                </c:pt>
                <c:pt idx="2448">
                  <c:v>9.79574E-2</c:v>
                </c:pt>
                <c:pt idx="2449">
                  <c:v>9.7997399999999998E-2</c:v>
                </c:pt>
                <c:pt idx="2450">
                  <c:v>9.8037399999999997E-2</c:v>
                </c:pt>
                <c:pt idx="2451">
                  <c:v>9.8077399999999995E-2</c:v>
                </c:pt>
                <c:pt idx="2452">
                  <c:v>9.8117399999999994E-2</c:v>
                </c:pt>
                <c:pt idx="2453">
                  <c:v>9.8157400000000006E-2</c:v>
                </c:pt>
                <c:pt idx="2454">
                  <c:v>9.8197400000000004E-2</c:v>
                </c:pt>
                <c:pt idx="2455">
                  <c:v>9.8237400000000002E-2</c:v>
                </c:pt>
                <c:pt idx="2456">
                  <c:v>9.8277400000000001E-2</c:v>
                </c:pt>
                <c:pt idx="2457">
                  <c:v>9.8317399999999999E-2</c:v>
                </c:pt>
                <c:pt idx="2458">
                  <c:v>9.8357399999999998E-2</c:v>
                </c:pt>
                <c:pt idx="2459">
                  <c:v>9.8397399999999996E-2</c:v>
                </c:pt>
                <c:pt idx="2460">
                  <c:v>9.8437399999999994E-2</c:v>
                </c:pt>
                <c:pt idx="2461">
                  <c:v>9.8477400000000007E-2</c:v>
                </c:pt>
                <c:pt idx="2462">
                  <c:v>9.8517400000000005E-2</c:v>
                </c:pt>
                <c:pt idx="2463">
                  <c:v>9.8557400000000003E-2</c:v>
                </c:pt>
                <c:pt idx="2464">
                  <c:v>9.8597400000000002E-2</c:v>
                </c:pt>
                <c:pt idx="2465">
                  <c:v>9.86374E-2</c:v>
                </c:pt>
                <c:pt idx="2466">
                  <c:v>9.8677399999999998E-2</c:v>
                </c:pt>
                <c:pt idx="2467">
                  <c:v>9.8717399999999997E-2</c:v>
                </c:pt>
                <c:pt idx="2468">
                  <c:v>9.8757399999999995E-2</c:v>
                </c:pt>
                <c:pt idx="2469">
                  <c:v>9.8797399999999994E-2</c:v>
                </c:pt>
                <c:pt idx="2470">
                  <c:v>9.8837400000000006E-2</c:v>
                </c:pt>
                <c:pt idx="2471">
                  <c:v>9.8877400000000004E-2</c:v>
                </c:pt>
                <c:pt idx="2472">
                  <c:v>9.8917400000000003E-2</c:v>
                </c:pt>
                <c:pt idx="2473">
                  <c:v>9.8957400000000001E-2</c:v>
                </c:pt>
                <c:pt idx="2474">
                  <c:v>9.8997399999999999E-2</c:v>
                </c:pt>
                <c:pt idx="2475">
                  <c:v>9.9037399999999998E-2</c:v>
                </c:pt>
                <c:pt idx="2476">
                  <c:v>9.9077399999999996E-2</c:v>
                </c:pt>
                <c:pt idx="2477">
                  <c:v>9.9117399999999994E-2</c:v>
                </c:pt>
                <c:pt idx="2478">
                  <c:v>9.9157400000000007E-2</c:v>
                </c:pt>
                <c:pt idx="2479">
                  <c:v>9.9197400000000005E-2</c:v>
                </c:pt>
                <c:pt idx="2480">
                  <c:v>9.9237400000000003E-2</c:v>
                </c:pt>
                <c:pt idx="2481">
                  <c:v>9.9277400000000002E-2</c:v>
                </c:pt>
                <c:pt idx="2482">
                  <c:v>9.93174E-2</c:v>
                </c:pt>
                <c:pt idx="2483">
                  <c:v>9.9357399999999998E-2</c:v>
                </c:pt>
                <c:pt idx="2484">
                  <c:v>9.9397399999999997E-2</c:v>
                </c:pt>
                <c:pt idx="2485">
                  <c:v>9.9437399999999995E-2</c:v>
                </c:pt>
                <c:pt idx="2486">
                  <c:v>9.9477399999999994E-2</c:v>
                </c:pt>
                <c:pt idx="2487">
                  <c:v>9.9517400000000006E-2</c:v>
                </c:pt>
                <c:pt idx="2488">
                  <c:v>9.9557400000000004E-2</c:v>
                </c:pt>
                <c:pt idx="2489">
                  <c:v>9.9597400000000003E-2</c:v>
                </c:pt>
                <c:pt idx="2490">
                  <c:v>9.9637400000000001E-2</c:v>
                </c:pt>
                <c:pt idx="2491">
                  <c:v>9.9677399999999999E-2</c:v>
                </c:pt>
                <c:pt idx="2492">
                  <c:v>9.9717399999999998E-2</c:v>
                </c:pt>
                <c:pt idx="2493">
                  <c:v>9.9757399999999996E-2</c:v>
                </c:pt>
                <c:pt idx="2494">
                  <c:v>9.9797399999999994E-2</c:v>
                </c:pt>
                <c:pt idx="2495">
                  <c:v>9.9837400000000007E-2</c:v>
                </c:pt>
                <c:pt idx="2496">
                  <c:v>9.9877400000000005E-2</c:v>
                </c:pt>
                <c:pt idx="2497">
                  <c:v>9.9917400000000003E-2</c:v>
                </c:pt>
                <c:pt idx="2498">
                  <c:v>9.9957400000000002E-2</c:v>
                </c:pt>
                <c:pt idx="2499">
                  <c:v>9.99974E-2</c:v>
                </c:pt>
                <c:pt idx="2500">
                  <c:v>0.100037</c:v>
                </c:pt>
                <c:pt idx="2501">
                  <c:v>0.100077</c:v>
                </c:pt>
                <c:pt idx="2502">
                  <c:v>0.100117</c:v>
                </c:pt>
                <c:pt idx="2503">
                  <c:v>0.100157</c:v>
                </c:pt>
                <c:pt idx="2504">
                  <c:v>0.10019699999999999</c:v>
                </c:pt>
                <c:pt idx="2505">
                  <c:v>0.10023700000000001</c:v>
                </c:pt>
                <c:pt idx="2506">
                  <c:v>0.10027700000000001</c:v>
                </c:pt>
                <c:pt idx="2507">
                  <c:v>0.100317</c:v>
                </c:pt>
                <c:pt idx="2508">
                  <c:v>0.100357</c:v>
                </c:pt>
                <c:pt idx="2509">
                  <c:v>0.100397</c:v>
                </c:pt>
                <c:pt idx="2510">
                  <c:v>0.100437</c:v>
                </c:pt>
                <c:pt idx="2511">
                  <c:v>0.100477</c:v>
                </c:pt>
                <c:pt idx="2512">
                  <c:v>0.100517</c:v>
                </c:pt>
                <c:pt idx="2513">
                  <c:v>0.10055699999999999</c:v>
                </c:pt>
                <c:pt idx="2514">
                  <c:v>0.10059700000000001</c:v>
                </c:pt>
                <c:pt idx="2515">
                  <c:v>0.100637</c:v>
                </c:pt>
                <c:pt idx="2516">
                  <c:v>0.100677</c:v>
                </c:pt>
                <c:pt idx="2517">
                  <c:v>0.100717</c:v>
                </c:pt>
                <c:pt idx="2518">
                  <c:v>0.100757</c:v>
                </c:pt>
                <c:pt idx="2519">
                  <c:v>0.100797</c:v>
                </c:pt>
                <c:pt idx="2520">
                  <c:v>0.100837</c:v>
                </c:pt>
                <c:pt idx="2521">
                  <c:v>0.10087699999999999</c:v>
                </c:pt>
                <c:pt idx="2522">
                  <c:v>0.10091700000000001</c:v>
                </c:pt>
                <c:pt idx="2523">
                  <c:v>0.10095700000000001</c:v>
                </c:pt>
                <c:pt idx="2524">
                  <c:v>0.100997</c:v>
                </c:pt>
                <c:pt idx="2525">
                  <c:v>0.101037</c:v>
                </c:pt>
                <c:pt idx="2526">
                  <c:v>0.101077</c:v>
                </c:pt>
                <c:pt idx="2527">
                  <c:v>0.101117</c:v>
                </c:pt>
                <c:pt idx="2528">
                  <c:v>0.101157</c:v>
                </c:pt>
                <c:pt idx="2529">
                  <c:v>0.101197</c:v>
                </c:pt>
                <c:pt idx="2530">
                  <c:v>0.10123699999999999</c:v>
                </c:pt>
                <c:pt idx="2531">
                  <c:v>0.10127700000000001</c:v>
                </c:pt>
                <c:pt idx="2532">
                  <c:v>0.101317</c:v>
                </c:pt>
                <c:pt idx="2533">
                  <c:v>0.101357</c:v>
                </c:pt>
                <c:pt idx="2534">
                  <c:v>0.101397</c:v>
                </c:pt>
                <c:pt idx="2535">
                  <c:v>0.101437</c:v>
                </c:pt>
                <c:pt idx="2536">
                  <c:v>0.101477</c:v>
                </c:pt>
                <c:pt idx="2537">
                  <c:v>0.101517</c:v>
                </c:pt>
                <c:pt idx="2538">
                  <c:v>0.10155699999999999</c:v>
                </c:pt>
                <c:pt idx="2539">
                  <c:v>0.10159700000000001</c:v>
                </c:pt>
                <c:pt idx="2540">
                  <c:v>0.10163700000000001</c:v>
                </c:pt>
                <c:pt idx="2541">
                  <c:v>0.101677</c:v>
                </c:pt>
                <c:pt idx="2542">
                  <c:v>0.101717</c:v>
                </c:pt>
                <c:pt idx="2543">
                  <c:v>0.101757</c:v>
                </c:pt>
                <c:pt idx="2544">
                  <c:v>0.101797</c:v>
                </c:pt>
                <c:pt idx="2545">
                  <c:v>0.101837</c:v>
                </c:pt>
                <c:pt idx="2546">
                  <c:v>0.101877</c:v>
                </c:pt>
                <c:pt idx="2547">
                  <c:v>0.10191699999999999</c:v>
                </c:pt>
                <c:pt idx="2548">
                  <c:v>0.10195700000000001</c:v>
                </c:pt>
                <c:pt idx="2549">
                  <c:v>0.101997</c:v>
                </c:pt>
                <c:pt idx="2550">
                  <c:v>0.102037</c:v>
                </c:pt>
                <c:pt idx="2551">
                  <c:v>0.102077</c:v>
                </c:pt>
                <c:pt idx="2552">
                  <c:v>0.102117</c:v>
                </c:pt>
                <c:pt idx="2553">
                  <c:v>0.102157</c:v>
                </c:pt>
                <c:pt idx="2554">
                  <c:v>0.102197</c:v>
                </c:pt>
                <c:pt idx="2555">
                  <c:v>0.10223699999999999</c:v>
                </c:pt>
                <c:pt idx="2556">
                  <c:v>0.10227700000000001</c:v>
                </c:pt>
                <c:pt idx="2557">
                  <c:v>0.10231700000000001</c:v>
                </c:pt>
                <c:pt idx="2558">
                  <c:v>0.102357</c:v>
                </c:pt>
                <c:pt idx="2559">
                  <c:v>0.102397</c:v>
                </c:pt>
                <c:pt idx="2560">
                  <c:v>0.102437</c:v>
                </c:pt>
                <c:pt idx="2561">
                  <c:v>0.102477</c:v>
                </c:pt>
                <c:pt idx="2562">
                  <c:v>0.102517</c:v>
                </c:pt>
                <c:pt idx="2563">
                  <c:v>0.102557</c:v>
                </c:pt>
                <c:pt idx="2564">
                  <c:v>0.10259699999999999</c:v>
                </c:pt>
                <c:pt idx="2565">
                  <c:v>0.10263700000000001</c:v>
                </c:pt>
                <c:pt idx="2566">
                  <c:v>0.102677</c:v>
                </c:pt>
                <c:pt idx="2567">
                  <c:v>0.102717</c:v>
                </c:pt>
                <c:pt idx="2568">
                  <c:v>0.102757</c:v>
                </c:pt>
                <c:pt idx="2569">
                  <c:v>0.102797</c:v>
                </c:pt>
                <c:pt idx="2570">
                  <c:v>0.102837</c:v>
                </c:pt>
                <c:pt idx="2571">
                  <c:v>0.102877</c:v>
                </c:pt>
                <c:pt idx="2572">
                  <c:v>0.10291699999999999</c:v>
                </c:pt>
                <c:pt idx="2573">
                  <c:v>0.10295700000000001</c:v>
                </c:pt>
                <c:pt idx="2574">
                  <c:v>0.10299700000000001</c:v>
                </c:pt>
                <c:pt idx="2575">
                  <c:v>0.103037</c:v>
                </c:pt>
                <c:pt idx="2576">
                  <c:v>0.103077</c:v>
                </c:pt>
                <c:pt idx="2577">
                  <c:v>0.103117</c:v>
                </c:pt>
                <c:pt idx="2578">
                  <c:v>0.103157</c:v>
                </c:pt>
                <c:pt idx="2579">
                  <c:v>0.103197</c:v>
                </c:pt>
                <c:pt idx="2580">
                  <c:v>0.103237</c:v>
                </c:pt>
                <c:pt idx="2581">
                  <c:v>0.10327699999999999</c:v>
                </c:pt>
                <c:pt idx="2582">
                  <c:v>0.10331700000000001</c:v>
                </c:pt>
                <c:pt idx="2583">
                  <c:v>0.103357</c:v>
                </c:pt>
                <c:pt idx="2584">
                  <c:v>0.103397</c:v>
                </c:pt>
                <c:pt idx="2585">
                  <c:v>0.103437</c:v>
                </c:pt>
                <c:pt idx="2586">
                  <c:v>0.103477</c:v>
                </c:pt>
                <c:pt idx="2587">
                  <c:v>0.103517</c:v>
                </c:pt>
                <c:pt idx="2588">
                  <c:v>0.103557</c:v>
                </c:pt>
                <c:pt idx="2589">
                  <c:v>0.10359699999999999</c:v>
                </c:pt>
                <c:pt idx="2590">
                  <c:v>0.10363700000000001</c:v>
                </c:pt>
                <c:pt idx="2591">
                  <c:v>0.10367700000000001</c:v>
                </c:pt>
                <c:pt idx="2592">
                  <c:v>0.103717</c:v>
                </c:pt>
                <c:pt idx="2593">
                  <c:v>0.103757</c:v>
                </c:pt>
                <c:pt idx="2594">
                  <c:v>0.103797</c:v>
                </c:pt>
                <c:pt idx="2595">
                  <c:v>0.103837</c:v>
                </c:pt>
                <c:pt idx="2596">
                  <c:v>0.103877</c:v>
                </c:pt>
                <c:pt idx="2597">
                  <c:v>0.103917</c:v>
                </c:pt>
                <c:pt idx="2598">
                  <c:v>0.10395699999999999</c:v>
                </c:pt>
                <c:pt idx="2599">
                  <c:v>0.10399700000000001</c:v>
                </c:pt>
                <c:pt idx="2600">
                  <c:v>0.104037</c:v>
                </c:pt>
                <c:pt idx="2601">
                  <c:v>0.104077</c:v>
                </c:pt>
                <c:pt idx="2602">
                  <c:v>0.104117</c:v>
                </c:pt>
                <c:pt idx="2603">
                  <c:v>0.104157</c:v>
                </c:pt>
                <c:pt idx="2604">
                  <c:v>0.104197</c:v>
                </c:pt>
                <c:pt idx="2605">
                  <c:v>0.104237</c:v>
                </c:pt>
                <c:pt idx="2606">
                  <c:v>0.10427699999999999</c:v>
                </c:pt>
                <c:pt idx="2607">
                  <c:v>0.10431699999999999</c:v>
                </c:pt>
                <c:pt idx="2608">
                  <c:v>0.10435700000000001</c:v>
                </c:pt>
                <c:pt idx="2609">
                  <c:v>0.104397</c:v>
                </c:pt>
                <c:pt idx="2610">
                  <c:v>0.104437</c:v>
                </c:pt>
                <c:pt idx="2611">
                  <c:v>0.104477</c:v>
                </c:pt>
                <c:pt idx="2612">
                  <c:v>0.104517</c:v>
                </c:pt>
                <c:pt idx="2613">
                  <c:v>0.104557</c:v>
                </c:pt>
                <c:pt idx="2614">
                  <c:v>0.104597</c:v>
                </c:pt>
                <c:pt idx="2615">
                  <c:v>0.10463699999999999</c:v>
                </c:pt>
                <c:pt idx="2616">
                  <c:v>0.10467700000000001</c:v>
                </c:pt>
                <c:pt idx="2617">
                  <c:v>0.104717</c:v>
                </c:pt>
                <c:pt idx="2618">
                  <c:v>0.104757</c:v>
                </c:pt>
                <c:pt idx="2619">
                  <c:v>0.104797</c:v>
                </c:pt>
                <c:pt idx="2620">
                  <c:v>0.104837</c:v>
                </c:pt>
                <c:pt idx="2621">
                  <c:v>0.104877</c:v>
                </c:pt>
                <c:pt idx="2622">
                  <c:v>0.104917</c:v>
                </c:pt>
                <c:pt idx="2623">
                  <c:v>0.10495699999999999</c:v>
                </c:pt>
                <c:pt idx="2624">
                  <c:v>0.10499699999999999</c:v>
                </c:pt>
                <c:pt idx="2625">
                  <c:v>0.10503700000000001</c:v>
                </c:pt>
                <c:pt idx="2626">
                  <c:v>0.105077</c:v>
                </c:pt>
                <c:pt idx="2627">
                  <c:v>0.105117</c:v>
                </c:pt>
                <c:pt idx="2628">
                  <c:v>0.105157</c:v>
                </c:pt>
                <c:pt idx="2629">
                  <c:v>0.105197</c:v>
                </c:pt>
                <c:pt idx="2630">
                  <c:v>0.105237</c:v>
                </c:pt>
                <c:pt idx="2631">
                  <c:v>0.105277</c:v>
                </c:pt>
                <c:pt idx="2632">
                  <c:v>0.10531699999999999</c:v>
                </c:pt>
                <c:pt idx="2633">
                  <c:v>0.10535700000000001</c:v>
                </c:pt>
                <c:pt idx="2634">
                  <c:v>0.105397</c:v>
                </c:pt>
                <c:pt idx="2635">
                  <c:v>0.105437</c:v>
                </c:pt>
                <c:pt idx="2636">
                  <c:v>0.105477</c:v>
                </c:pt>
                <c:pt idx="2637">
                  <c:v>0.105517</c:v>
                </c:pt>
                <c:pt idx="2638">
                  <c:v>0.105557</c:v>
                </c:pt>
                <c:pt idx="2639">
                  <c:v>0.105597</c:v>
                </c:pt>
                <c:pt idx="2640">
                  <c:v>0.10563699999999999</c:v>
                </c:pt>
                <c:pt idx="2641">
                  <c:v>0.10567699999999999</c:v>
                </c:pt>
                <c:pt idx="2642">
                  <c:v>0.10571700000000001</c:v>
                </c:pt>
                <c:pt idx="2643">
                  <c:v>0.105757</c:v>
                </c:pt>
                <c:pt idx="2644">
                  <c:v>0.105797</c:v>
                </c:pt>
                <c:pt idx="2645">
                  <c:v>0.105837</c:v>
                </c:pt>
                <c:pt idx="2646">
                  <c:v>0.105877</c:v>
                </c:pt>
                <c:pt idx="2647">
                  <c:v>0.105917</c:v>
                </c:pt>
                <c:pt idx="2648">
                  <c:v>0.105957</c:v>
                </c:pt>
                <c:pt idx="2649">
                  <c:v>0.10599699999999999</c:v>
                </c:pt>
                <c:pt idx="2650">
                  <c:v>0.10603700000000001</c:v>
                </c:pt>
                <c:pt idx="2651">
                  <c:v>0.106077</c:v>
                </c:pt>
                <c:pt idx="2652">
                  <c:v>0.106117</c:v>
                </c:pt>
                <c:pt idx="2653">
                  <c:v>0.106157</c:v>
                </c:pt>
                <c:pt idx="2654">
                  <c:v>0.106197</c:v>
                </c:pt>
                <c:pt idx="2655">
                  <c:v>0.106237</c:v>
                </c:pt>
                <c:pt idx="2656">
                  <c:v>0.106277</c:v>
                </c:pt>
                <c:pt idx="2657">
                  <c:v>0.10631699999999999</c:v>
                </c:pt>
                <c:pt idx="2658">
                  <c:v>0.10635699999999999</c:v>
                </c:pt>
                <c:pt idx="2659">
                  <c:v>0.10639700000000001</c:v>
                </c:pt>
                <c:pt idx="2660">
                  <c:v>0.106437</c:v>
                </c:pt>
                <c:pt idx="2661">
                  <c:v>0.106477</c:v>
                </c:pt>
                <c:pt idx="2662">
                  <c:v>0.106517</c:v>
                </c:pt>
                <c:pt idx="2663">
                  <c:v>0.106557</c:v>
                </c:pt>
                <c:pt idx="2664">
                  <c:v>0.106597</c:v>
                </c:pt>
                <c:pt idx="2665">
                  <c:v>0.106637</c:v>
                </c:pt>
                <c:pt idx="2666">
                  <c:v>0.10667699999999999</c:v>
                </c:pt>
                <c:pt idx="2667">
                  <c:v>0.10671700000000001</c:v>
                </c:pt>
                <c:pt idx="2668">
                  <c:v>0.106757</c:v>
                </c:pt>
                <c:pt idx="2669">
                  <c:v>0.106797</c:v>
                </c:pt>
                <c:pt idx="2670">
                  <c:v>0.106837</c:v>
                </c:pt>
                <c:pt idx="2671">
                  <c:v>0.106877</c:v>
                </c:pt>
                <c:pt idx="2672">
                  <c:v>0.106917</c:v>
                </c:pt>
                <c:pt idx="2673">
                  <c:v>0.106957</c:v>
                </c:pt>
                <c:pt idx="2674">
                  <c:v>0.10699699999999999</c:v>
                </c:pt>
                <c:pt idx="2675">
                  <c:v>0.10703699999999999</c:v>
                </c:pt>
                <c:pt idx="2676">
                  <c:v>0.10707700000000001</c:v>
                </c:pt>
                <c:pt idx="2677">
                  <c:v>0.107117</c:v>
                </c:pt>
                <c:pt idx="2678">
                  <c:v>0.107157</c:v>
                </c:pt>
                <c:pt idx="2679">
                  <c:v>0.107197</c:v>
                </c:pt>
                <c:pt idx="2680">
                  <c:v>0.107237</c:v>
                </c:pt>
                <c:pt idx="2681">
                  <c:v>0.107277</c:v>
                </c:pt>
                <c:pt idx="2682">
                  <c:v>0.107317</c:v>
                </c:pt>
                <c:pt idx="2683">
                  <c:v>0.10735699999999999</c:v>
                </c:pt>
                <c:pt idx="2684">
                  <c:v>0.10739700000000001</c:v>
                </c:pt>
                <c:pt idx="2685">
                  <c:v>0.107437</c:v>
                </c:pt>
                <c:pt idx="2686">
                  <c:v>0.107477</c:v>
                </c:pt>
                <c:pt idx="2687">
                  <c:v>0.107517</c:v>
                </c:pt>
                <c:pt idx="2688">
                  <c:v>0.107557</c:v>
                </c:pt>
                <c:pt idx="2689">
                  <c:v>0.107597</c:v>
                </c:pt>
                <c:pt idx="2690">
                  <c:v>0.107637</c:v>
                </c:pt>
                <c:pt idx="2691">
                  <c:v>0.10767699999999999</c:v>
                </c:pt>
                <c:pt idx="2692">
                  <c:v>0.10771699999999999</c:v>
                </c:pt>
                <c:pt idx="2693">
                  <c:v>0.10775700000000001</c:v>
                </c:pt>
                <c:pt idx="2694">
                  <c:v>0.107797</c:v>
                </c:pt>
                <c:pt idx="2695">
                  <c:v>0.107837</c:v>
                </c:pt>
                <c:pt idx="2696">
                  <c:v>0.107877</c:v>
                </c:pt>
                <c:pt idx="2697">
                  <c:v>0.107917</c:v>
                </c:pt>
                <c:pt idx="2698">
                  <c:v>0.107957</c:v>
                </c:pt>
                <c:pt idx="2699">
                  <c:v>0.107997</c:v>
                </c:pt>
                <c:pt idx="2700">
                  <c:v>0.10803699999999999</c:v>
                </c:pt>
                <c:pt idx="2701">
                  <c:v>0.10807700000000001</c:v>
                </c:pt>
                <c:pt idx="2702">
                  <c:v>0.108117</c:v>
                </c:pt>
                <c:pt idx="2703">
                  <c:v>0.108157</c:v>
                </c:pt>
                <c:pt idx="2704">
                  <c:v>0.108197</c:v>
                </c:pt>
                <c:pt idx="2705">
                  <c:v>0.108237</c:v>
                </c:pt>
                <c:pt idx="2706">
                  <c:v>0.108277</c:v>
                </c:pt>
                <c:pt idx="2707">
                  <c:v>0.108317</c:v>
                </c:pt>
                <c:pt idx="2708">
                  <c:v>0.10835699999999999</c:v>
                </c:pt>
                <c:pt idx="2709">
                  <c:v>0.10839699999999999</c:v>
                </c:pt>
                <c:pt idx="2710">
                  <c:v>0.10843700000000001</c:v>
                </c:pt>
                <c:pt idx="2711">
                  <c:v>0.108477</c:v>
                </c:pt>
                <c:pt idx="2712">
                  <c:v>0.108517</c:v>
                </c:pt>
                <c:pt idx="2713">
                  <c:v>0.108557</c:v>
                </c:pt>
                <c:pt idx="2714">
                  <c:v>0.108597</c:v>
                </c:pt>
                <c:pt idx="2715">
                  <c:v>0.108637</c:v>
                </c:pt>
                <c:pt idx="2716">
                  <c:v>0.108677</c:v>
                </c:pt>
                <c:pt idx="2717">
                  <c:v>0.10871699999999999</c:v>
                </c:pt>
                <c:pt idx="2718">
                  <c:v>0.10875700000000001</c:v>
                </c:pt>
                <c:pt idx="2719">
                  <c:v>0.108797</c:v>
                </c:pt>
                <c:pt idx="2720">
                  <c:v>0.108837</c:v>
                </c:pt>
                <c:pt idx="2721">
                  <c:v>0.108877</c:v>
                </c:pt>
                <c:pt idx="2722">
                  <c:v>0.108917</c:v>
                </c:pt>
                <c:pt idx="2723">
                  <c:v>0.108957</c:v>
                </c:pt>
                <c:pt idx="2724">
                  <c:v>0.108997</c:v>
                </c:pt>
                <c:pt idx="2725">
                  <c:v>0.109037</c:v>
                </c:pt>
                <c:pt idx="2726">
                  <c:v>0.10907699999999999</c:v>
                </c:pt>
                <c:pt idx="2727">
                  <c:v>0.10911700000000001</c:v>
                </c:pt>
                <c:pt idx="2728">
                  <c:v>0.109157</c:v>
                </c:pt>
                <c:pt idx="2729">
                  <c:v>0.109197</c:v>
                </c:pt>
                <c:pt idx="2730">
                  <c:v>0.109237</c:v>
                </c:pt>
                <c:pt idx="2731">
                  <c:v>0.109277</c:v>
                </c:pt>
                <c:pt idx="2732">
                  <c:v>0.109317</c:v>
                </c:pt>
                <c:pt idx="2733">
                  <c:v>0.109357</c:v>
                </c:pt>
                <c:pt idx="2734">
                  <c:v>0.10939699999999999</c:v>
                </c:pt>
                <c:pt idx="2735">
                  <c:v>0.10943700000000001</c:v>
                </c:pt>
                <c:pt idx="2736">
                  <c:v>0.109477</c:v>
                </c:pt>
                <c:pt idx="2737">
                  <c:v>0.109517</c:v>
                </c:pt>
                <c:pt idx="2738">
                  <c:v>0.109557</c:v>
                </c:pt>
                <c:pt idx="2739">
                  <c:v>0.109597</c:v>
                </c:pt>
                <c:pt idx="2740">
                  <c:v>0.109637</c:v>
                </c:pt>
                <c:pt idx="2741">
                  <c:v>0.109677</c:v>
                </c:pt>
                <c:pt idx="2742">
                  <c:v>0.109717</c:v>
                </c:pt>
                <c:pt idx="2743">
                  <c:v>0.10975699999999999</c:v>
                </c:pt>
                <c:pt idx="2744">
                  <c:v>0.10979700000000001</c:v>
                </c:pt>
                <c:pt idx="2745">
                  <c:v>0.109837</c:v>
                </c:pt>
                <c:pt idx="2746">
                  <c:v>0.109877</c:v>
                </c:pt>
                <c:pt idx="2747">
                  <c:v>0.109917</c:v>
                </c:pt>
                <c:pt idx="2748">
                  <c:v>0.109957</c:v>
                </c:pt>
                <c:pt idx="2749">
                  <c:v>0.109997</c:v>
                </c:pt>
                <c:pt idx="2750">
                  <c:v>0.110037</c:v>
                </c:pt>
                <c:pt idx="2751">
                  <c:v>0.11007699999999999</c:v>
                </c:pt>
                <c:pt idx="2752">
                  <c:v>0.11011700000000001</c:v>
                </c:pt>
                <c:pt idx="2753">
                  <c:v>0.110157</c:v>
                </c:pt>
                <c:pt idx="2754">
                  <c:v>0.110197</c:v>
                </c:pt>
                <c:pt idx="2755">
                  <c:v>0.110237</c:v>
                </c:pt>
                <c:pt idx="2756">
                  <c:v>0.110277</c:v>
                </c:pt>
                <c:pt idx="2757">
                  <c:v>0.110317</c:v>
                </c:pt>
                <c:pt idx="2758">
                  <c:v>0.110357</c:v>
                </c:pt>
                <c:pt idx="2759">
                  <c:v>0.110397</c:v>
                </c:pt>
                <c:pt idx="2760">
                  <c:v>0.11043699999999999</c:v>
                </c:pt>
                <c:pt idx="2761">
                  <c:v>0.11047700000000001</c:v>
                </c:pt>
                <c:pt idx="2762">
                  <c:v>0.110517</c:v>
                </c:pt>
                <c:pt idx="2763">
                  <c:v>0.110557</c:v>
                </c:pt>
                <c:pt idx="2764">
                  <c:v>0.110597</c:v>
                </c:pt>
                <c:pt idx="2765">
                  <c:v>0.110637</c:v>
                </c:pt>
                <c:pt idx="2766">
                  <c:v>0.110677</c:v>
                </c:pt>
                <c:pt idx="2767">
                  <c:v>0.110717</c:v>
                </c:pt>
                <c:pt idx="2768">
                  <c:v>0.11075699999999999</c:v>
                </c:pt>
                <c:pt idx="2769">
                  <c:v>0.11079700000000001</c:v>
                </c:pt>
                <c:pt idx="2770">
                  <c:v>0.110837</c:v>
                </c:pt>
                <c:pt idx="2771">
                  <c:v>0.110877</c:v>
                </c:pt>
                <c:pt idx="2772">
                  <c:v>0.110917</c:v>
                </c:pt>
                <c:pt idx="2773">
                  <c:v>0.110957</c:v>
                </c:pt>
                <c:pt idx="2774">
                  <c:v>0.110997</c:v>
                </c:pt>
                <c:pt idx="2775">
                  <c:v>0.111037</c:v>
                </c:pt>
                <c:pt idx="2776">
                  <c:v>0.111077</c:v>
                </c:pt>
                <c:pt idx="2777">
                  <c:v>0.11111699999999999</c:v>
                </c:pt>
                <c:pt idx="2778">
                  <c:v>0.11115700000000001</c:v>
                </c:pt>
                <c:pt idx="2779">
                  <c:v>0.111197</c:v>
                </c:pt>
                <c:pt idx="2780">
                  <c:v>0.111237</c:v>
                </c:pt>
                <c:pt idx="2781">
                  <c:v>0.111277</c:v>
                </c:pt>
                <c:pt idx="2782">
                  <c:v>0.111317</c:v>
                </c:pt>
                <c:pt idx="2783">
                  <c:v>0.111357</c:v>
                </c:pt>
                <c:pt idx="2784">
                  <c:v>0.111397</c:v>
                </c:pt>
                <c:pt idx="2785">
                  <c:v>0.11143699999999999</c:v>
                </c:pt>
                <c:pt idx="2786">
                  <c:v>0.11147700000000001</c:v>
                </c:pt>
                <c:pt idx="2787">
                  <c:v>0.11151700000000001</c:v>
                </c:pt>
                <c:pt idx="2788">
                  <c:v>0.111557</c:v>
                </c:pt>
                <c:pt idx="2789">
                  <c:v>0.111597</c:v>
                </c:pt>
                <c:pt idx="2790">
                  <c:v>0.111637</c:v>
                </c:pt>
                <c:pt idx="2791">
                  <c:v>0.111677</c:v>
                </c:pt>
                <c:pt idx="2792">
                  <c:v>0.111717</c:v>
                </c:pt>
                <c:pt idx="2793">
                  <c:v>0.111757</c:v>
                </c:pt>
                <c:pt idx="2794">
                  <c:v>0.11179699999999999</c:v>
                </c:pt>
                <c:pt idx="2795">
                  <c:v>0.11183700000000001</c:v>
                </c:pt>
                <c:pt idx="2796">
                  <c:v>0.111877</c:v>
                </c:pt>
                <c:pt idx="2797">
                  <c:v>0.111917</c:v>
                </c:pt>
                <c:pt idx="2798">
                  <c:v>0.111957</c:v>
                </c:pt>
                <c:pt idx="2799">
                  <c:v>0.111997</c:v>
                </c:pt>
                <c:pt idx="2800">
                  <c:v>0.112037</c:v>
                </c:pt>
                <c:pt idx="2801">
                  <c:v>0.112077</c:v>
                </c:pt>
                <c:pt idx="2802">
                  <c:v>0.11211699999999999</c:v>
                </c:pt>
                <c:pt idx="2803">
                  <c:v>0.11215700000000001</c:v>
                </c:pt>
                <c:pt idx="2804">
                  <c:v>0.11219700000000001</c:v>
                </c:pt>
                <c:pt idx="2805">
                  <c:v>0.112237</c:v>
                </c:pt>
                <c:pt idx="2806">
                  <c:v>0.112277</c:v>
                </c:pt>
                <c:pt idx="2807">
                  <c:v>0.112317</c:v>
                </c:pt>
                <c:pt idx="2808">
                  <c:v>0.112357</c:v>
                </c:pt>
                <c:pt idx="2809">
                  <c:v>0.112397</c:v>
                </c:pt>
                <c:pt idx="2810">
                  <c:v>0.112437</c:v>
                </c:pt>
                <c:pt idx="2811">
                  <c:v>0.11247699999999999</c:v>
                </c:pt>
                <c:pt idx="2812">
                  <c:v>0.11251700000000001</c:v>
                </c:pt>
                <c:pt idx="2813">
                  <c:v>0.112557</c:v>
                </c:pt>
                <c:pt idx="2814">
                  <c:v>0.112597</c:v>
                </c:pt>
                <c:pt idx="2815">
                  <c:v>0.112637</c:v>
                </c:pt>
                <c:pt idx="2816">
                  <c:v>0.112677</c:v>
                </c:pt>
                <c:pt idx="2817">
                  <c:v>0.112717</c:v>
                </c:pt>
                <c:pt idx="2818">
                  <c:v>0.112757</c:v>
                </c:pt>
                <c:pt idx="2819">
                  <c:v>0.11279699999999999</c:v>
                </c:pt>
                <c:pt idx="2820">
                  <c:v>0.11283700000000001</c:v>
                </c:pt>
                <c:pt idx="2821">
                  <c:v>0.11287700000000001</c:v>
                </c:pt>
                <c:pt idx="2822">
                  <c:v>0.112917</c:v>
                </c:pt>
                <c:pt idx="2823">
                  <c:v>0.112957</c:v>
                </c:pt>
                <c:pt idx="2824">
                  <c:v>0.112997</c:v>
                </c:pt>
                <c:pt idx="2825">
                  <c:v>0.113037</c:v>
                </c:pt>
                <c:pt idx="2826">
                  <c:v>0.113077</c:v>
                </c:pt>
                <c:pt idx="2827">
                  <c:v>0.113117</c:v>
                </c:pt>
                <c:pt idx="2828">
                  <c:v>0.11315699999999999</c:v>
                </c:pt>
                <c:pt idx="2829">
                  <c:v>0.11319700000000001</c:v>
                </c:pt>
                <c:pt idx="2830">
                  <c:v>0.113237</c:v>
                </c:pt>
                <c:pt idx="2831">
                  <c:v>0.113277</c:v>
                </c:pt>
                <c:pt idx="2832">
                  <c:v>0.113317</c:v>
                </c:pt>
                <c:pt idx="2833">
                  <c:v>0.113357</c:v>
                </c:pt>
                <c:pt idx="2834">
                  <c:v>0.113397</c:v>
                </c:pt>
                <c:pt idx="2835">
                  <c:v>0.113437</c:v>
                </c:pt>
                <c:pt idx="2836">
                  <c:v>0.11347699999999999</c:v>
                </c:pt>
                <c:pt idx="2837">
                  <c:v>0.11351700000000001</c:v>
                </c:pt>
                <c:pt idx="2838">
                  <c:v>0.11355700000000001</c:v>
                </c:pt>
                <c:pt idx="2839">
                  <c:v>0.113597</c:v>
                </c:pt>
                <c:pt idx="2840">
                  <c:v>0.113637</c:v>
                </c:pt>
                <c:pt idx="2841">
                  <c:v>0.113677</c:v>
                </c:pt>
                <c:pt idx="2842">
                  <c:v>0.113717</c:v>
                </c:pt>
                <c:pt idx="2843">
                  <c:v>0.113757</c:v>
                </c:pt>
                <c:pt idx="2844">
                  <c:v>0.113797</c:v>
                </c:pt>
                <c:pt idx="2845">
                  <c:v>0.11383699999999999</c:v>
                </c:pt>
                <c:pt idx="2846">
                  <c:v>0.11387700000000001</c:v>
                </c:pt>
                <c:pt idx="2847">
                  <c:v>0.113917</c:v>
                </c:pt>
                <c:pt idx="2848">
                  <c:v>0.113957</c:v>
                </c:pt>
                <c:pt idx="2849">
                  <c:v>0.113997</c:v>
                </c:pt>
                <c:pt idx="2850">
                  <c:v>0.114037</c:v>
                </c:pt>
                <c:pt idx="2851">
                  <c:v>0.114077</c:v>
                </c:pt>
                <c:pt idx="2852">
                  <c:v>0.114117</c:v>
                </c:pt>
                <c:pt idx="2853">
                  <c:v>0.11415699999999999</c:v>
                </c:pt>
                <c:pt idx="2854">
                  <c:v>0.11419700000000001</c:v>
                </c:pt>
                <c:pt idx="2855">
                  <c:v>0.11423700000000001</c:v>
                </c:pt>
                <c:pt idx="2856">
                  <c:v>0.114277</c:v>
                </c:pt>
                <c:pt idx="2857">
                  <c:v>0.114317</c:v>
                </c:pt>
                <c:pt idx="2858">
                  <c:v>0.114357</c:v>
                </c:pt>
                <c:pt idx="2859">
                  <c:v>0.114397</c:v>
                </c:pt>
                <c:pt idx="2860">
                  <c:v>0.114437</c:v>
                </c:pt>
                <c:pt idx="2861">
                  <c:v>0.114477</c:v>
                </c:pt>
                <c:pt idx="2862">
                  <c:v>0.11451699999999999</c:v>
                </c:pt>
                <c:pt idx="2863">
                  <c:v>0.11455700000000001</c:v>
                </c:pt>
                <c:pt idx="2864">
                  <c:v>0.114597</c:v>
                </c:pt>
                <c:pt idx="2865">
                  <c:v>0.114637</c:v>
                </c:pt>
                <c:pt idx="2866">
                  <c:v>0.114677</c:v>
                </c:pt>
                <c:pt idx="2867">
                  <c:v>0.114717</c:v>
                </c:pt>
                <c:pt idx="2868">
                  <c:v>0.114757</c:v>
                </c:pt>
                <c:pt idx="2869">
                  <c:v>0.114797</c:v>
                </c:pt>
                <c:pt idx="2870">
                  <c:v>0.11483699999999999</c:v>
                </c:pt>
                <c:pt idx="2871">
                  <c:v>0.11487700000000001</c:v>
                </c:pt>
                <c:pt idx="2872">
                  <c:v>0.11491700000000001</c:v>
                </c:pt>
                <c:pt idx="2873">
                  <c:v>0.114957</c:v>
                </c:pt>
                <c:pt idx="2874">
                  <c:v>0.114997</c:v>
                </c:pt>
                <c:pt idx="2875">
                  <c:v>0.115037</c:v>
                </c:pt>
                <c:pt idx="2876">
                  <c:v>0.115077</c:v>
                </c:pt>
                <c:pt idx="2877">
                  <c:v>0.115117</c:v>
                </c:pt>
                <c:pt idx="2878">
                  <c:v>0.115157</c:v>
                </c:pt>
                <c:pt idx="2879">
                  <c:v>0.11519699999999999</c:v>
                </c:pt>
                <c:pt idx="2880">
                  <c:v>0.11523700000000001</c:v>
                </c:pt>
                <c:pt idx="2881">
                  <c:v>0.115277</c:v>
                </c:pt>
                <c:pt idx="2882">
                  <c:v>0.115317</c:v>
                </c:pt>
                <c:pt idx="2883">
                  <c:v>0.115357</c:v>
                </c:pt>
                <c:pt idx="2884">
                  <c:v>0.115397</c:v>
                </c:pt>
                <c:pt idx="2885">
                  <c:v>0.115437</c:v>
                </c:pt>
                <c:pt idx="2886">
                  <c:v>0.115477</c:v>
                </c:pt>
                <c:pt idx="2887">
                  <c:v>0.11551699999999999</c:v>
                </c:pt>
                <c:pt idx="2888">
                  <c:v>0.11555700000000001</c:v>
                </c:pt>
                <c:pt idx="2889">
                  <c:v>0.11559700000000001</c:v>
                </c:pt>
                <c:pt idx="2890">
                  <c:v>0.115637</c:v>
                </c:pt>
                <c:pt idx="2891">
                  <c:v>0.115677</c:v>
                </c:pt>
                <c:pt idx="2892">
                  <c:v>0.115717</c:v>
                </c:pt>
                <c:pt idx="2893">
                  <c:v>0.115757</c:v>
                </c:pt>
                <c:pt idx="2894">
                  <c:v>0.115797</c:v>
                </c:pt>
                <c:pt idx="2895">
                  <c:v>0.115837</c:v>
                </c:pt>
                <c:pt idx="2896">
                  <c:v>0.11587699999999999</c:v>
                </c:pt>
                <c:pt idx="2897">
                  <c:v>0.11591700000000001</c:v>
                </c:pt>
                <c:pt idx="2898">
                  <c:v>0.115957</c:v>
                </c:pt>
                <c:pt idx="2899">
                  <c:v>0.115997</c:v>
                </c:pt>
                <c:pt idx="2900">
                  <c:v>0.116037</c:v>
                </c:pt>
                <c:pt idx="2901">
                  <c:v>0.116077</c:v>
                </c:pt>
                <c:pt idx="2902">
                  <c:v>0.116117</c:v>
                </c:pt>
                <c:pt idx="2903">
                  <c:v>0.116157</c:v>
                </c:pt>
                <c:pt idx="2904">
                  <c:v>0.11619699999999999</c:v>
                </c:pt>
                <c:pt idx="2905">
                  <c:v>0.11623699999999999</c:v>
                </c:pt>
                <c:pt idx="2906">
                  <c:v>0.11627700000000001</c:v>
                </c:pt>
                <c:pt idx="2907">
                  <c:v>0.116317</c:v>
                </c:pt>
                <c:pt idx="2908">
                  <c:v>0.116357</c:v>
                </c:pt>
                <c:pt idx="2909">
                  <c:v>0.116397</c:v>
                </c:pt>
                <c:pt idx="2910">
                  <c:v>0.116437</c:v>
                </c:pt>
                <c:pt idx="2911">
                  <c:v>0.116477</c:v>
                </c:pt>
                <c:pt idx="2912">
                  <c:v>0.116517</c:v>
                </c:pt>
                <c:pt idx="2913">
                  <c:v>0.11655699999999999</c:v>
                </c:pt>
                <c:pt idx="2914">
                  <c:v>0.11659700000000001</c:v>
                </c:pt>
                <c:pt idx="2915">
                  <c:v>0.116637</c:v>
                </c:pt>
                <c:pt idx="2916">
                  <c:v>0.116677</c:v>
                </c:pt>
                <c:pt idx="2917">
                  <c:v>0.116717</c:v>
                </c:pt>
                <c:pt idx="2918">
                  <c:v>0.116757</c:v>
                </c:pt>
                <c:pt idx="2919">
                  <c:v>0.116797</c:v>
                </c:pt>
                <c:pt idx="2920">
                  <c:v>0.116837</c:v>
                </c:pt>
                <c:pt idx="2921">
                  <c:v>0.11687699999999999</c:v>
                </c:pt>
                <c:pt idx="2922">
                  <c:v>0.11691699999999999</c:v>
                </c:pt>
                <c:pt idx="2923">
                  <c:v>0.11695700000000001</c:v>
                </c:pt>
                <c:pt idx="2924">
                  <c:v>0.116997</c:v>
                </c:pt>
                <c:pt idx="2925">
                  <c:v>0.117037</c:v>
                </c:pt>
                <c:pt idx="2926">
                  <c:v>0.117077</c:v>
                </c:pt>
                <c:pt idx="2927">
                  <c:v>0.117117</c:v>
                </c:pt>
                <c:pt idx="2928">
                  <c:v>0.117157</c:v>
                </c:pt>
                <c:pt idx="2929">
                  <c:v>0.117197</c:v>
                </c:pt>
                <c:pt idx="2930">
                  <c:v>0.11723699999999999</c:v>
                </c:pt>
                <c:pt idx="2931">
                  <c:v>0.11727700000000001</c:v>
                </c:pt>
                <c:pt idx="2932">
                  <c:v>0.117317</c:v>
                </c:pt>
                <c:pt idx="2933">
                  <c:v>0.117357</c:v>
                </c:pt>
                <c:pt idx="2934">
                  <c:v>0.117397</c:v>
                </c:pt>
                <c:pt idx="2935">
                  <c:v>0.117437</c:v>
                </c:pt>
                <c:pt idx="2936">
                  <c:v>0.117477</c:v>
                </c:pt>
                <c:pt idx="2937">
                  <c:v>0.117517</c:v>
                </c:pt>
                <c:pt idx="2938">
                  <c:v>0.11755699999999999</c:v>
                </c:pt>
                <c:pt idx="2939">
                  <c:v>0.11759699999999999</c:v>
                </c:pt>
                <c:pt idx="2940">
                  <c:v>0.11763700000000001</c:v>
                </c:pt>
                <c:pt idx="2941">
                  <c:v>0.117677</c:v>
                </c:pt>
                <c:pt idx="2942">
                  <c:v>0.117717</c:v>
                </c:pt>
                <c:pt idx="2943">
                  <c:v>0.117757</c:v>
                </c:pt>
                <c:pt idx="2944">
                  <c:v>0.117797</c:v>
                </c:pt>
                <c:pt idx="2945">
                  <c:v>0.117837</c:v>
                </c:pt>
                <c:pt idx="2946">
                  <c:v>0.117877</c:v>
                </c:pt>
                <c:pt idx="2947">
                  <c:v>0.11791699999999999</c:v>
                </c:pt>
                <c:pt idx="2948">
                  <c:v>0.11795700000000001</c:v>
                </c:pt>
                <c:pt idx="2949">
                  <c:v>0.117997</c:v>
                </c:pt>
                <c:pt idx="2950">
                  <c:v>0.118037</c:v>
                </c:pt>
                <c:pt idx="2951">
                  <c:v>0.118077</c:v>
                </c:pt>
                <c:pt idx="2952">
                  <c:v>0.118117</c:v>
                </c:pt>
                <c:pt idx="2953">
                  <c:v>0.118157</c:v>
                </c:pt>
                <c:pt idx="2954">
                  <c:v>0.118197</c:v>
                </c:pt>
                <c:pt idx="2955">
                  <c:v>0.11823699999999999</c:v>
                </c:pt>
                <c:pt idx="2956">
                  <c:v>0.11827699999999999</c:v>
                </c:pt>
                <c:pt idx="2957">
                  <c:v>0.11831700000000001</c:v>
                </c:pt>
                <c:pt idx="2958">
                  <c:v>0.118357</c:v>
                </c:pt>
                <c:pt idx="2959">
                  <c:v>0.118397</c:v>
                </c:pt>
                <c:pt idx="2960">
                  <c:v>0.118437</c:v>
                </c:pt>
                <c:pt idx="2961">
                  <c:v>0.118477</c:v>
                </c:pt>
                <c:pt idx="2962">
                  <c:v>0.118517</c:v>
                </c:pt>
                <c:pt idx="2963">
                  <c:v>0.118557</c:v>
                </c:pt>
                <c:pt idx="2964">
                  <c:v>0.11859699999999999</c:v>
                </c:pt>
                <c:pt idx="2965">
                  <c:v>0.11863700000000001</c:v>
                </c:pt>
                <c:pt idx="2966">
                  <c:v>0.118677</c:v>
                </c:pt>
                <c:pt idx="2967">
                  <c:v>0.118717</c:v>
                </c:pt>
                <c:pt idx="2968">
                  <c:v>0.118757</c:v>
                </c:pt>
                <c:pt idx="2969">
                  <c:v>0.118797</c:v>
                </c:pt>
                <c:pt idx="2970">
                  <c:v>0.118837</c:v>
                </c:pt>
                <c:pt idx="2971">
                  <c:v>0.118877</c:v>
                </c:pt>
                <c:pt idx="2972">
                  <c:v>0.11891699999999999</c:v>
                </c:pt>
                <c:pt idx="2973">
                  <c:v>0.11895699999999999</c:v>
                </c:pt>
                <c:pt idx="2974">
                  <c:v>0.11899700000000001</c:v>
                </c:pt>
                <c:pt idx="2975">
                  <c:v>0.119037</c:v>
                </c:pt>
                <c:pt idx="2976">
                  <c:v>0.119077</c:v>
                </c:pt>
                <c:pt idx="2977">
                  <c:v>0.119117</c:v>
                </c:pt>
                <c:pt idx="2978">
                  <c:v>0.119157</c:v>
                </c:pt>
                <c:pt idx="2979">
                  <c:v>0.119197</c:v>
                </c:pt>
                <c:pt idx="2980">
                  <c:v>0.119237</c:v>
                </c:pt>
                <c:pt idx="2981">
                  <c:v>0.11927699999999999</c:v>
                </c:pt>
                <c:pt idx="2982">
                  <c:v>0.11931700000000001</c:v>
                </c:pt>
                <c:pt idx="2983">
                  <c:v>0.119357</c:v>
                </c:pt>
                <c:pt idx="2984">
                  <c:v>0.119397</c:v>
                </c:pt>
                <c:pt idx="2985">
                  <c:v>0.119437</c:v>
                </c:pt>
                <c:pt idx="2986">
                  <c:v>0.119477</c:v>
                </c:pt>
                <c:pt idx="2987">
                  <c:v>0.119517</c:v>
                </c:pt>
                <c:pt idx="2988">
                  <c:v>0.119557</c:v>
                </c:pt>
                <c:pt idx="2989">
                  <c:v>0.11959699999999999</c:v>
                </c:pt>
                <c:pt idx="2990">
                  <c:v>0.11963699999999999</c:v>
                </c:pt>
                <c:pt idx="2991">
                  <c:v>0.11967700000000001</c:v>
                </c:pt>
                <c:pt idx="2992">
                  <c:v>0.119717</c:v>
                </c:pt>
                <c:pt idx="2993">
                  <c:v>0.119757</c:v>
                </c:pt>
                <c:pt idx="2994">
                  <c:v>0.119797</c:v>
                </c:pt>
                <c:pt idx="2995">
                  <c:v>0.119837</c:v>
                </c:pt>
                <c:pt idx="2996">
                  <c:v>0.119877</c:v>
                </c:pt>
                <c:pt idx="2997">
                  <c:v>0.119917</c:v>
                </c:pt>
                <c:pt idx="2998">
                  <c:v>0.11995699999999999</c:v>
                </c:pt>
                <c:pt idx="2999">
                  <c:v>0.11999700000000001</c:v>
                </c:pt>
                <c:pt idx="3000">
                  <c:v>0.120037</c:v>
                </c:pt>
                <c:pt idx="3001">
                  <c:v>0.120077</c:v>
                </c:pt>
                <c:pt idx="3002">
                  <c:v>0.120117</c:v>
                </c:pt>
                <c:pt idx="3003">
                  <c:v>0.120157</c:v>
                </c:pt>
                <c:pt idx="3004">
                  <c:v>0.120197</c:v>
                </c:pt>
                <c:pt idx="3005">
                  <c:v>0.120237</c:v>
                </c:pt>
                <c:pt idx="3006">
                  <c:v>0.120277</c:v>
                </c:pt>
                <c:pt idx="3007">
                  <c:v>0.12031699999999999</c:v>
                </c:pt>
                <c:pt idx="3008">
                  <c:v>0.12035700000000001</c:v>
                </c:pt>
                <c:pt idx="3009">
                  <c:v>0.120397</c:v>
                </c:pt>
                <c:pt idx="3010">
                  <c:v>0.120437</c:v>
                </c:pt>
                <c:pt idx="3011">
                  <c:v>0.120477</c:v>
                </c:pt>
                <c:pt idx="3012">
                  <c:v>0.120517</c:v>
                </c:pt>
                <c:pt idx="3013">
                  <c:v>0.120557</c:v>
                </c:pt>
                <c:pt idx="3014">
                  <c:v>0.120597</c:v>
                </c:pt>
                <c:pt idx="3015">
                  <c:v>0.12063699999999999</c:v>
                </c:pt>
                <c:pt idx="3016">
                  <c:v>0.12067700000000001</c:v>
                </c:pt>
                <c:pt idx="3017">
                  <c:v>0.120717</c:v>
                </c:pt>
                <c:pt idx="3018">
                  <c:v>0.120757</c:v>
                </c:pt>
                <c:pt idx="3019">
                  <c:v>0.120797</c:v>
                </c:pt>
                <c:pt idx="3020">
                  <c:v>0.120837</c:v>
                </c:pt>
                <c:pt idx="3021">
                  <c:v>0.120877</c:v>
                </c:pt>
                <c:pt idx="3022">
                  <c:v>0.120917</c:v>
                </c:pt>
                <c:pt idx="3023">
                  <c:v>0.120957</c:v>
                </c:pt>
                <c:pt idx="3024">
                  <c:v>0.12099699999999999</c:v>
                </c:pt>
                <c:pt idx="3025">
                  <c:v>0.12103700000000001</c:v>
                </c:pt>
                <c:pt idx="3026">
                  <c:v>0.121077</c:v>
                </c:pt>
                <c:pt idx="3027">
                  <c:v>0.121117</c:v>
                </c:pt>
                <c:pt idx="3028">
                  <c:v>0.121157</c:v>
                </c:pt>
                <c:pt idx="3029">
                  <c:v>0.121197</c:v>
                </c:pt>
                <c:pt idx="3030">
                  <c:v>0.121237</c:v>
                </c:pt>
                <c:pt idx="3031">
                  <c:v>0.121277</c:v>
                </c:pt>
                <c:pt idx="3032">
                  <c:v>0.12131699999999999</c:v>
                </c:pt>
                <c:pt idx="3033">
                  <c:v>0.12135700000000001</c:v>
                </c:pt>
                <c:pt idx="3034">
                  <c:v>0.121397</c:v>
                </c:pt>
                <c:pt idx="3035">
                  <c:v>0.121437</c:v>
                </c:pt>
                <c:pt idx="3036">
                  <c:v>0.121477</c:v>
                </c:pt>
                <c:pt idx="3037">
                  <c:v>0.121517</c:v>
                </c:pt>
                <c:pt idx="3038">
                  <c:v>0.121557</c:v>
                </c:pt>
                <c:pt idx="3039">
                  <c:v>0.121597</c:v>
                </c:pt>
                <c:pt idx="3040">
                  <c:v>0.121637</c:v>
                </c:pt>
                <c:pt idx="3041">
                  <c:v>0.12167699999999999</c:v>
                </c:pt>
                <c:pt idx="3042">
                  <c:v>0.12171700000000001</c:v>
                </c:pt>
                <c:pt idx="3043">
                  <c:v>0.121757</c:v>
                </c:pt>
                <c:pt idx="3044">
                  <c:v>0.121797</c:v>
                </c:pt>
                <c:pt idx="3045">
                  <c:v>0.121837</c:v>
                </c:pt>
                <c:pt idx="3046">
                  <c:v>0.121877</c:v>
                </c:pt>
                <c:pt idx="3047">
                  <c:v>0.121917</c:v>
                </c:pt>
                <c:pt idx="3048">
                  <c:v>0.121957</c:v>
                </c:pt>
                <c:pt idx="3049">
                  <c:v>0.12199699999999999</c:v>
                </c:pt>
                <c:pt idx="3050">
                  <c:v>0.12203700000000001</c:v>
                </c:pt>
                <c:pt idx="3051">
                  <c:v>0.122077</c:v>
                </c:pt>
                <c:pt idx="3052">
                  <c:v>0.122117</c:v>
                </c:pt>
                <c:pt idx="3053">
                  <c:v>0.122157</c:v>
                </c:pt>
                <c:pt idx="3054">
                  <c:v>0.122197</c:v>
                </c:pt>
                <c:pt idx="3055">
                  <c:v>0.122237</c:v>
                </c:pt>
                <c:pt idx="3056">
                  <c:v>0.122277</c:v>
                </c:pt>
                <c:pt idx="3057">
                  <c:v>0.122317</c:v>
                </c:pt>
                <c:pt idx="3058">
                  <c:v>0.12235699999999999</c:v>
                </c:pt>
                <c:pt idx="3059">
                  <c:v>0.12239700000000001</c:v>
                </c:pt>
                <c:pt idx="3060">
                  <c:v>0.122437</c:v>
                </c:pt>
                <c:pt idx="3061">
                  <c:v>0.122477</c:v>
                </c:pt>
                <c:pt idx="3062">
                  <c:v>0.122517</c:v>
                </c:pt>
                <c:pt idx="3063">
                  <c:v>0.122557</c:v>
                </c:pt>
                <c:pt idx="3064">
                  <c:v>0.122597</c:v>
                </c:pt>
                <c:pt idx="3065">
                  <c:v>0.122637</c:v>
                </c:pt>
                <c:pt idx="3066">
                  <c:v>0.12267699999999999</c:v>
                </c:pt>
                <c:pt idx="3067">
                  <c:v>0.12271700000000001</c:v>
                </c:pt>
                <c:pt idx="3068">
                  <c:v>0.12275700000000001</c:v>
                </c:pt>
                <c:pt idx="3069">
                  <c:v>0.122797</c:v>
                </c:pt>
                <c:pt idx="3070">
                  <c:v>0.122837</c:v>
                </c:pt>
                <c:pt idx="3071">
                  <c:v>0.122877</c:v>
                </c:pt>
                <c:pt idx="3072">
                  <c:v>0.122917</c:v>
                </c:pt>
                <c:pt idx="3073">
                  <c:v>0.122957</c:v>
                </c:pt>
                <c:pt idx="3074">
                  <c:v>0.122997</c:v>
                </c:pt>
                <c:pt idx="3075">
                  <c:v>0.12303699999999999</c:v>
                </c:pt>
                <c:pt idx="3076">
                  <c:v>0.12307700000000001</c:v>
                </c:pt>
                <c:pt idx="3077">
                  <c:v>0.123117</c:v>
                </c:pt>
                <c:pt idx="3078">
                  <c:v>0.123157</c:v>
                </c:pt>
                <c:pt idx="3079">
                  <c:v>0.123197</c:v>
                </c:pt>
                <c:pt idx="3080">
                  <c:v>0.123237</c:v>
                </c:pt>
                <c:pt idx="3081">
                  <c:v>0.123277</c:v>
                </c:pt>
                <c:pt idx="3082">
                  <c:v>0.123317</c:v>
                </c:pt>
                <c:pt idx="3083">
                  <c:v>0.12335699999999999</c:v>
                </c:pt>
                <c:pt idx="3084">
                  <c:v>0.12339700000000001</c:v>
                </c:pt>
                <c:pt idx="3085">
                  <c:v>0.12343700000000001</c:v>
                </c:pt>
                <c:pt idx="3086">
                  <c:v>0.123477</c:v>
                </c:pt>
                <c:pt idx="3087">
                  <c:v>0.123517</c:v>
                </c:pt>
                <c:pt idx="3088">
                  <c:v>0.123557</c:v>
                </c:pt>
                <c:pt idx="3089">
                  <c:v>0.123597</c:v>
                </c:pt>
                <c:pt idx="3090">
                  <c:v>0.123637</c:v>
                </c:pt>
                <c:pt idx="3091">
                  <c:v>0.123677</c:v>
                </c:pt>
                <c:pt idx="3092">
                  <c:v>0.12371699999999999</c:v>
                </c:pt>
                <c:pt idx="3093">
                  <c:v>0.12375700000000001</c:v>
                </c:pt>
                <c:pt idx="3094">
                  <c:v>0.123797</c:v>
                </c:pt>
                <c:pt idx="3095">
                  <c:v>0.123837</c:v>
                </c:pt>
                <c:pt idx="3096">
                  <c:v>0.123877</c:v>
                </c:pt>
                <c:pt idx="3097">
                  <c:v>0.123917</c:v>
                </c:pt>
                <c:pt idx="3098">
                  <c:v>0.123957</c:v>
                </c:pt>
                <c:pt idx="3099">
                  <c:v>0.123997</c:v>
                </c:pt>
                <c:pt idx="3100">
                  <c:v>0.12403699999999999</c:v>
                </c:pt>
                <c:pt idx="3101">
                  <c:v>0.12407700000000001</c:v>
                </c:pt>
                <c:pt idx="3102">
                  <c:v>0.12411700000000001</c:v>
                </c:pt>
                <c:pt idx="3103">
                  <c:v>0.124157</c:v>
                </c:pt>
                <c:pt idx="3104">
                  <c:v>0.124197</c:v>
                </c:pt>
                <c:pt idx="3105">
                  <c:v>0.124237</c:v>
                </c:pt>
                <c:pt idx="3106">
                  <c:v>0.124277</c:v>
                </c:pt>
                <c:pt idx="3107">
                  <c:v>0.124317</c:v>
                </c:pt>
                <c:pt idx="3108">
                  <c:v>0.124357</c:v>
                </c:pt>
                <c:pt idx="3109">
                  <c:v>0.12439699999999999</c:v>
                </c:pt>
                <c:pt idx="3110">
                  <c:v>0.12443700000000001</c:v>
                </c:pt>
                <c:pt idx="3111">
                  <c:v>0.124477</c:v>
                </c:pt>
                <c:pt idx="3112">
                  <c:v>0.124517</c:v>
                </c:pt>
                <c:pt idx="3113">
                  <c:v>0.124557</c:v>
                </c:pt>
                <c:pt idx="3114">
                  <c:v>0.124597</c:v>
                </c:pt>
                <c:pt idx="3115">
                  <c:v>0.124637</c:v>
                </c:pt>
                <c:pt idx="3116">
                  <c:v>0.124677</c:v>
                </c:pt>
                <c:pt idx="3117">
                  <c:v>0.12471699999999999</c:v>
                </c:pt>
                <c:pt idx="3118">
                  <c:v>0.12475700000000001</c:v>
                </c:pt>
                <c:pt idx="3119">
                  <c:v>0.12479700000000001</c:v>
                </c:pt>
                <c:pt idx="3120">
                  <c:v>0.124837</c:v>
                </c:pt>
                <c:pt idx="3121">
                  <c:v>0.124877</c:v>
                </c:pt>
                <c:pt idx="3122">
                  <c:v>0.124917</c:v>
                </c:pt>
                <c:pt idx="3123">
                  <c:v>0.124957</c:v>
                </c:pt>
                <c:pt idx="3124">
                  <c:v>0.124997</c:v>
                </c:pt>
                <c:pt idx="3125">
                  <c:v>0.12503700000000001</c:v>
                </c:pt>
                <c:pt idx="3126">
                  <c:v>0.12507699999999999</c:v>
                </c:pt>
                <c:pt idx="3127">
                  <c:v>0.12511700000000001</c:v>
                </c:pt>
                <c:pt idx="3128">
                  <c:v>0.12515699999999999</c:v>
                </c:pt>
                <c:pt idx="3129">
                  <c:v>0.125197</c:v>
                </c:pt>
                <c:pt idx="3130">
                  <c:v>0.12523699999999999</c:v>
                </c:pt>
                <c:pt idx="3131">
                  <c:v>0.125277</c:v>
                </c:pt>
                <c:pt idx="3132">
                  <c:v>0.12531700000000001</c:v>
                </c:pt>
                <c:pt idx="3133">
                  <c:v>0.125357</c:v>
                </c:pt>
                <c:pt idx="3134">
                  <c:v>0.12539700000000001</c:v>
                </c:pt>
                <c:pt idx="3135">
                  <c:v>0.12543699999999999</c:v>
                </c:pt>
                <c:pt idx="3136">
                  <c:v>0.12547700000000001</c:v>
                </c:pt>
                <c:pt idx="3137">
                  <c:v>0.12551699999999999</c:v>
                </c:pt>
                <c:pt idx="3138">
                  <c:v>0.125557</c:v>
                </c:pt>
                <c:pt idx="3139">
                  <c:v>0.12559699999999999</c:v>
                </c:pt>
                <c:pt idx="3140">
                  <c:v>0.125637</c:v>
                </c:pt>
                <c:pt idx="3141">
                  <c:v>0.12567700000000001</c:v>
                </c:pt>
                <c:pt idx="3142">
                  <c:v>0.125717</c:v>
                </c:pt>
                <c:pt idx="3143">
                  <c:v>0.12575700000000001</c:v>
                </c:pt>
                <c:pt idx="3144">
                  <c:v>0.12579699999999999</c:v>
                </c:pt>
                <c:pt idx="3145">
                  <c:v>0.125837</c:v>
                </c:pt>
                <c:pt idx="3146">
                  <c:v>0.12587699999999999</c:v>
                </c:pt>
                <c:pt idx="3147">
                  <c:v>0.125917</c:v>
                </c:pt>
                <c:pt idx="3148">
                  <c:v>0.12595700000000001</c:v>
                </c:pt>
                <c:pt idx="3149">
                  <c:v>0.125997</c:v>
                </c:pt>
                <c:pt idx="3150">
                  <c:v>0.12603700000000001</c:v>
                </c:pt>
                <c:pt idx="3151">
                  <c:v>0.12607699999999999</c:v>
                </c:pt>
                <c:pt idx="3152">
                  <c:v>0.12611700000000001</c:v>
                </c:pt>
                <c:pt idx="3153">
                  <c:v>0.12615699999999999</c:v>
                </c:pt>
                <c:pt idx="3154">
                  <c:v>0.126197</c:v>
                </c:pt>
                <c:pt idx="3155">
                  <c:v>0.12623699999999999</c:v>
                </c:pt>
                <c:pt idx="3156">
                  <c:v>0.126277</c:v>
                </c:pt>
                <c:pt idx="3157">
                  <c:v>0.12631700000000001</c:v>
                </c:pt>
                <c:pt idx="3158">
                  <c:v>0.126357</c:v>
                </c:pt>
                <c:pt idx="3159">
                  <c:v>0.12639700000000001</c:v>
                </c:pt>
                <c:pt idx="3160">
                  <c:v>0.12643699999999999</c:v>
                </c:pt>
                <c:pt idx="3161">
                  <c:v>0.12647700000000001</c:v>
                </c:pt>
                <c:pt idx="3162">
                  <c:v>0.12651699999999999</c:v>
                </c:pt>
                <c:pt idx="3163">
                  <c:v>0.126557</c:v>
                </c:pt>
                <c:pt idx="3164">
                  <c:v>0.12659699999999999</c:v>
                </c:pt>
                <c:pt idx="3165">
                  <c:v>0.126637</c:v>
                </c:pt>
                <c:pt idx="3166">
                  <c:v>0.12667700000000001</c:v>
                </c:pt>
                <c:pt idx="3167">
                  <c:v>0.126717</c:v>
                </c:pt>
                <c:pt idx="3168">
                  <c:v>0.12675700000000001</c:v>
                </c:pt>
                <c:pt idx="3169">
                  <c:v>0.12679699999999999</c:v>
                </c:pt>
                <c:pt idx="3170">
                  <c:v>0.12683700000000001</c:v>
                </c:pt>
                <c:pt idx="3171">
                  <c:v>0.12687699999999999</c:v>
                </c:pt>
                <c:pt idx="3172">
                  <c:v>0.126917</c:v>
                </c:pt>
                <c:pt idx="3173">
                  <c:v>0.12695699999999999</c:v>
                </c:pt>
                <c:pt idx="3174">
                  <c:v>0.126997</c:v>
                </c:pt>
                <c:pt idx="3175">
                  <c:v>0.12703700000000001</c:v>
                </c:pt>
                <c:pt idx="3176">
                  <c:v>0.127077</c:v>
                </c:pt>
                <c:pt idx="3177">
                  <c:v>0.12711700000000001</c:v>
                </c:pt>
                <c:pt idx="3178">
                  <c:v>0.12715699999999999</c:v>
                </c:pt>
                <c:pt idx="3179">
                  <c:v>0.127197</c:v>
                </c:pt>
                <c:pt idx="3180">
                  <c:v>0.12723699999999999</c:v>
                </c:pt>
                <c:pt idx="3181">
                  <c:v>0.127277</c:v>
                </c:pt>
                <c:pt idx="3182">
                  <c:v>0.12731700000000001</c:v>
                </c:pt>
                <c:pt idx="3183">
                  <c:v>0.127357</c:v>
                </c:pt>
                <c:pt idx="3184">
                  <c:v>0.12739700000000001</c:v>
                </c:pt>
                <c:pt idx="3185">
                  <c:v>0.12743699999999999</c:v>
                </c:pt>
                <c:pt idx="3186">
                  <c:v>0.12747700000000001</c:v>
                </c:pt>
                <c:pt idx="3187">
                  <c:v>0.12751699999999999</c:v>
                </c:pt>
                <c:pt idx="3188">
                  <c:v>0.127557</c:v>
                </c:pt>
                <c:pt idx="3189">
                  <c:v>0.12759699999999999</c:v>
                </c:pt>
                <c:pt idx="3190">
                  <c:v>0.127637</c:v>
                </c:pt>
                <c:pt idx="3191">
                  <c:v>0.12767700000000001</c:v>
                </c:pt>
                <c:pt idx="3192">
                  <c:v>0.127717</c:v>
                </c:pt>
                <c:pt idx="3193">
                  <c:v>0.12775700000000001</c:v>
                </c:pt>
                <c:pt idx="3194">
                  <c:v>0.12779699999999999</c:v>
                </c:pt>
                <c:pt idx="3195">
                  <c:v>0.12783700000000001</c:v>
                </c:pt>
                <c:pt idx="3196">
                  <c:v>0.12787699999999999</c:v>
                </c:pt>
                <c:pt idx="3197">
                  <c:v>0.127917</c:v>
                </c:pt>
                <c:pt idx="3198">
                  <c:v>0.12795699999999999</c:v>
                </c:pt>
                <c:pt idx="3199">
                  <c:v>0.127997</c:v>
                </c:pt>
                <c:pt idx="3200">
                  <c:v>0.12803700000000001</c:v>
                </c:pt>
                <c:pt idx="3201">
                  <c:v>0.128077</c:v>
                </c:pt>
                <c:pt idx="3202">
                  <c:v>0.12811700000000001</c:v>
                </c:pt>
                <c:pt idx="3203">
                  <c:v>0.12815699999999999</c:v>
                </c:pt>
                <c:pt idx="3204">
                  <c:v>0.12819700000000001</c:v>
                </c:pt>
                <c:pt idx="3205">
                  <c:v>0.12823699999999999</c:v>
                </c:pt>
                <c:pt idx="3206">
                  <c:v>0.128277</c:v>
                </c:pt>
                <c:pt idx="3207">
                  <c:v>0.12831699999999999</c:v>
                </c:pt>
                <c:pt idx="3208">
                  <c:v>0.128357</c:v>
                </c:pt>
                <c:pt idx="3209">
                  <c:v>0.12839700000000001</c:v>
                </c:pt>
                <c:pt idx="3210">
                  <c:v>0.128437</c:v>
                </c:pt>
                <c:pt idx="3211">
                  <c:v>0.12847700000000001</c:v>
                </c:pt>
                <c:pt idx="3212">
                  <c:v>0.12851699999999999</c:v>
                </c:pt>
                <c:pt idx="3213">
                  <c:v>0.128557</c:v>
                </c:pt>
                <c:pt idx="3214">
                  <c:v>0.12859699999999999</c:v>
                </c:pt>
                <c:pt idx="3215">
                  <c:v>0.128637</c:v>
                </c:pt>
                <c:pt idx="3216">
                  <c:v>0.12867700000000001</c:v>
                </c:pt>
                <c:pt idx="3217">
                  <c:v>0.128717</c:v>
                </c:pt>
                <c:pt idx="3218">
                  <c:v>0.12875700000000001</c:v>
                </c:pt>
                <c:pt idx="3219">
                  <c:v>0.12879699999999999</c:v>
                </c:pt>
                <c:pt idx="3220">
                  <c:v>0.12883700000000001</c:v>
                </c:pt>
                <c:pt idx="3221">
                  <c:v>0.12887699999999999</c:v>
                </c:pt>
                <c:pt idx="3222">
                  <c:v>0.128917</c:v>
                </c:pt>
                <c:pt idx="3223">
                  <c:v>0.12895699999999999</c:v>
                </c:pt>
                <c:pt idx="3224">
                  <c:v>0.128997</c:v>
                </c:pt>
                <c:pt idx="3225">
                  <c:v>0.12903700000000001</c:v>
                </c:pt>
                <c:pt idx="3226">
                  <c:v>0.129077</c:v>
                </c:pt>
                <c:pt idx="3227">
                  <c:v>0.12911700000000001</c:v>
                </c:pt>
                <c:pt idx="3228">
                  <c:v>0.12915699999999999</c:v>
                </c:pt>
                <c:pt idx="3229">
                  <c:v>0.12919700000000001</c:v>
                </c:pt>
                <c:pt idx="3230">
                  <c:v>0.12923699999999999</c:v>
                </c:pt>
                <c:pt idx="3231">
                  <c:v>0.129277</c:v>
                </c:pt>
                <c:pt idx="3232">
                  <c:v>0.12931699999999999</c:v>
                </c:pt>
                <c:pt idx="3233">
                  <c:v>0.129357</c:v>
                </c:pt>
                <c:pt idx="3234">
                  <c:v>0.12939700000000001</c:v>
                </c:pt>
                <c:pt idx="3235">
                  <c:v>0.129437</c:v>
                </c:pt>
                <c:pt idx="3236">
                  <c:v>0.12947700000000001</c:v>
                </c:pt>
                <c:pt idx="3237">
                  <c:v>0.12951699999999999</c:v>
                </c:pt>
                <c:pt idx="3238">
                  <c:v>0.12955700000000001</c:v>
                </c:pt>
                <c:pt idx="3239">
                  <c:v>0.12959699999999999</c:v>
                </c:pt>
                <c:pt idx="3240">
                  <c:v>0.129637</c:v>
                </c:pt>
                <c:pt idx="3241">
                  <c:v>0.12967699999999999</c:v>
                </c:pt>
                <c:pt idx="3242">
                  <c:v>0.129717</c:v>
                </c:pt>
                <c:pt idx="3243">
                  <c:v>0.12975700000000001</c:v>
                </c:pt>
                <c:pt idx="3244">
                  <c:v>0.129797</c:v>
                </c:pt>
                <c:pt idx="3245">
                  <c:v>0.12983700000000001</c:v>
                </c:pt>
                <c:pt idx="3246">
                  <c:v>0.12987699999999999</c:v>
                </c:pt>
                <c:pt idx="3247">
                  <c:v>0.129917</c:v>
                </c:pt>
                <c:pt idx="3248">
                  <c:v>0.12995699999999999</c:v>
                </c:pt>
                <c:pt idx="3249">
                  <c:v>0.129997</c:v>
                </c:pt>
                <c:pt idx="3250">
                  <c:v>0.13003700000000001</c:v>
                </c:pt>
                <c:pt idx="3251">
                  <c:v>0.130077</c:v>
                </c:pt>
                <c:pt idx="3252">
                  <c:v>0.13011700000000001</c:v>
                </c:pt>
                <c:pt idx="3253">
                  <c:v>0.13015699999999999</c:v>
                </c:pt>
                <c:pt idx="3254">
                  <c:v>0.13019700000000001</c:v>
                </c:pt>
                <c:pt idx="3255">
                  <c:v>0.13023699999999999</c:v>
                </c:pt>
                <c:pt idx="3256">
                  <c:v>0.130277</c:v>
                </c:pt>
                <c:pt idx="3257">
                  <c:v>0.13031699999999999</c:v>
                </c:pt>
                <c:pt idx="3258">
                  <c:v>0.130357</c:v>
                </c:pt>
                <c:pt idx="3259">
                  <c:v>0.13039700000000001</c:v>
                </c:pt>
                <c:pt idx="3260">
                  <c:v>0.130437</c:v>
                </c:pt>
                <c:pt idx="3261">
                  <c:v>0.13047700000000001</c:v>
                </c:pt>
                <c:pt idx="3262">
                  <c:v>0.13051699999999999</c:v>
                </c:pt>
                <c:pt idx="3263">
                  <c:v>0.13055700000000001</c:v>
                </c:pt>
                <c:pt idx="3264">
                  <c:v>0.13059699999999999</c:v>
                </c:pt>
                <c:pt idx="3265">
                  <c:v>0.130637</c:v>
                </c:pt>
                <c:pt idx="3266">
                  <c:v>0.13067699999999999</c:v>
                </c:pt>
                <c:pt idx="3267">
                  <c:v>0.130717</c:v>
                </c:pt>
                <c:pt idx="3268">
                  <c:v>0.13075700000000001</c:v>
                </c:pt>
                <c:pt idx="3269">
                  <c:v>0.130797</c:v>
                </c:pt>
                <c:pt idx="3270">
                  <c:v>0.13083700000000001</c:v>
                </c:pt>
                <c:pt idx="3271">
                  <c:v>0.13087699999999999</c:v>
                </c:pt>
                <c:pt idx="3272">
                  <c:v>0.13091700000000001</c:v>
                </c:pt>
                <c:pt idx="3273">
                  <c:v>0.13095699999999999</c:v>
                </c:pt>
                <c:pt idx="3274">
                  <c:v>0.130997</c:v>
                </c:pt>
                <c:pt idx="3275">
                  <c:v>0.13103699999999999</c:v>
                </c:pt>
                <c:pt idx="3276">
                  <c:v>0.131077</c:v>
                </c:pt>
                <c:pt idx="3277">
                  <c:v>0.13111700000000001</c:v>
                </c:pt>
                <c:pt idx="3278">
                  <c:v>0.131157</c:v>
                </c:pt>
                <c:pt idx="3279">
                  <c:v>0.13119700000000001</c:v>
                </c:pt>
                <c:pt idx="3280">
                  <c:v>0.13123699999999999</c:v>
                </c:pt>
                <c:pt idx="3281">
                  <c:v>0.131277</c:v>
                </c:pt>
                <c:pt idx="3282">
                  <c:v>0.13131699999999999</c:v>
                </c:pt>
                <c:pt idx="3283">
                  <c:v>0.131357</c:v>
                </c:pt>
                <c:pt idx="3284">
                  <c:v>0.13139700000000001</c:v>
                </c:pt>
                <c:pt idx="3285">
                  <c:v>0.131437</c:v>
                </c:pt>
                <c:pt idx="3286">
                  <c:v>0.13147700000000001</c:v>
                </c:pt>
                <c:pt idx="3287">
                  <c:v>0.131517</c:v>
                </c:pt>
                <c:pt idx="3288">
                  <c:v>0.13155700000000001</c:v>
                </c:pt>
                <c:pt idx="3289">
                  <c:v>0.13159699999999999</c:v>
                </c:pt>
                <c:pt idx="3290">
                  <c:v>0.131637</c:v>
                </c:pt>
                <c:pt idx="3291">
                  <c:v>0.13167699999999999</c:v>
                </c:pt>
                <c:pt idx="3292">
                  <c:v>0.131717</c:v>
                </c:pt>
                <c:pt idx="3293">
                  <c:v>0.13175700000000001</c:v>
                </c:pt>
                <c:pt idx="3294">
                  <c:v>0.131797</c:v>
                </c:pt>
                <c:pt idx="3295">
                  <c:v>0.13183700000000001</c:v>
                </c:pt>
                <c:pt idx="3296">
                  <c:v>0.13187699999999999</c:v>
                </c:pt>
                <c:pt idx="3297">
                  <c:v>0.13191700000000001</c:v>
                </c:pt>
                <c:pt idx="3298">
                  <c:v>0.13195699999999999</c:v>
                </c:pt>
                <c:pt idx="3299">
                  <c:v>0.131997</c:v>
                </c:pt>
                <c:pt idx="3300">
                  <c:v>0.13203699999999999</c:v>
                </c:pt>
                <c:pt idx="3301">
                  <c:v>0.132077</c:v>
                </c:pt>
                <c:pt idx="3302">
                  <c:v>0.13211700000000001</c:v>
                </c:pt>
                <c:pt idx="3303">
                  <c:v>0.132157</c:v>
                </c:pt>
                <c:pt idx="3304">
                  <c:v>0.13219700000000001</c:v>
                </c:pt>
                <c:pt idx="3305">
                  <c:v>0.13223699999999999</c:v>
                </c:pt>
                <c:pt idx="3306">
                  <c:v>0.13227700000000001</c:v>
                </c:pt>
                <c:pt idx="3307">
                  <c:v>0.13231699999999999</c:v>
                </c:pt>
                <c:pt idx="3308">
                  <c:v>0.132357</c:v>
                </c:pt>
                <c:pt idx="3309">
                  <c:v>0.13239699999999999</c:v>
                </c:pt>
                <c:pt idx="3310">
                  <c:v>0.132437</c:v>
                </c:pt>
                <c:pt idx="3311">
                  <c:v>0.13247700000000001</c:v>
                </c:pt>
                <c:pt idx="3312">
                  <c:v>0.132517</c:v>
                </c:pt>
                <c:pt idx="3313">
                  <c:v>0.13255700000000001</c:v>
                </c:pt>
                <c:pt idx="3314">
                  <c:v>0.13259699999999999</c:v>
                </c:pt>
                <c:pt idx="3315">
                  <c:v>0.132637</c:v>
                </c:pt>
                <c:pt idx="3316">
                  <c:v>0.13267699999999999</c:v>
                </c:pt>
                <c:pt idx="3317">
                  <c:v>0.132717</c:v>
                </c:pt>
                <c:pt idx="3318">
                  <c:v>0.13275700000000001</c:v>
                </c:pt>
                <c:pt idx="3319">
                  <c:v>0.132797</c:v>
                </c:pt>
                <c:pt idx="3320">
                  <c:v>0.13283700000000001</c:v>
                </c:pt>
                <c:pt idx="3321">
                  <c:v>0.132877</c:v>
                </c:pt>
                <c:pt idx="3322">
                  <c:v>0.13291700000000001</c:v>
                </c:pt>
                <c:pt idx="3323">
                  <c:v>0.13295699999999999</c:v>
                </c:pt>
                <c:pt idx="3324">
                  <c:v>0.132997</c:v>
                </c:pt>
                <c:pt idx="3325">
                  <c:v>0.13303699999999999</c:v>
                </c:pt>
                <c:pt idx="3326">
                  <c:v>0.133077</c:v>
                </c:pt>
                <c:pt idx="3327">
                  <c:v>0.13311700000000001</c:v>
                </c:pt>
                <c:pt idx="3328">
                  <c:v>0.133157</c:v>
                </c:pt>
                <c:pt idx="3329">
                  <c:v>0.13319700000000001</c:v>
                </c:pt>
                <c:pt idx="3330">
                  <c:v>0.13323699999999999</c:v>
                </c:pt>
                <c:pt idx="3331">
                  <c:v>0.13327700000000001</c:v>
                </c:pt>
                <c:pt idx="3332">
                  <c:v>0.13331699999999999</c:v>
                </c:pt>
                <c:pt idx="3333">
                  <c:v>0.133357</c:v>
                </c:pt>
                <c:pt idx="3334">
                  <c:v>0.13339699999999999</c:v>
                </c:pt>
                <c:pt idx="3335">
                  <c:v>0.133437</c:v>
                </c:pt>
                <c:pt idx="3336">
                  <c:v>0.13347700000000001</c:v>
                </c:pt>
                <c:pt idx="3337">
                  <c:v>0.133517</c:v>
                </c:pt>
                <c:pt idx="3338">
                  <c:v>0.13355700000000001</c:v>
                </c:pt>
                <c:pt idx="3339">
                  <c:v>0.13359699999999999</c:v>
                </c:pt>
                <c:pt idx="3340">
                  <c:v>0.13363700000000001</c:v>
                </c:pt>
                <c:pt idx="3341">
                  <c:v>0.13367699999999999</c:v>
                </c:pt>
                <c:pt idx="3342">
                  <c:v>0.133717</c:v>
                </c:pt>
                <c:pt idx="3343">
                  <c:v>0.13375699999999999</c:v>
                </c:pt>
                <c:pt idx="3344">
                  <c:v>0.133797</c:v>
                </c:pt>
                <c:pt idx="3345">
                  <c:v>0.13383700000000001</c:v>
                </c:pt>
                <c:pt idx="3346">
                  <c:v>0.133877</c:v>
                </c:pt>
                <c:pt idx="3347">
                  <c:v>0.13391700000000001</c:v>
                </c:pt>
                <c:pt idx="3348">
                  <c:v>0.13395699999999999</c:v>
                </c:pt>
                <c:pt idx="3349">
                  <c:v>0.133997</c:v>
                </c:pt>
                <c:pt idx="3350">
                  <c:v>0.13403699999999999</c:v>
                </c:pt>
                <c:pt idx="3351">
                  <c:v>0.134077</c:v>
                </c:pt>
                <c:pt idx="3352">
                  <c:v>0.13411699999999999</c:v>
                </c:pt>
                <c:pt idx="3353">
                  <c:v>0.134157</c:v>
                </c:pt>
                <c:pt idx="3354">
                  <c:v>0.13419700000000001</c:v>
                </c:pt>
                <c:pt idx="3355">
                  <c:v>0.134237</c:v>
                </c:pt>
                <c:pt idx="3356">
                  <c:v>0.13427700000000001</c:v>
                </c:pt>
                <c:pt idx="3357">
                  <c:v>0.13431699999999999</c:v>
                </c:pt>
                <c:pt idx="3358">
                  <c:v>0.134357</c:v>
                </c:pt>
                <c:pt idx="3359">
                  <c:v>0.13439699999999999</c:v>
                </c:pt>
                <c:pt idx="3360">
                  <c:v>0.134437</c:v>
                </c:pt>
                <c:pt idx="3361">
                  <c:v>0.13447700000000001</c:v>
                </c:pt>
                <c:pt idx="3362">
                  <c:v>0.134517</c:v>
                </c:pt>
                <c:pt idx="3363">
                  <c:v>0.13455700000000001</c:v>
                </c:pt>
                <c:pt idx="3364">
                  <c:v>0.13459699999999999</c:v>
                </c:pt>
                <c:pt idx="3365">
                  <c:v>0.13463700000000001</c:v>
                </c:pt>
                <c:pt idx="3366">
                  <c:v>0.13467699999999999</c:v>
                </c:pt>
                <c:pt idx="3367">
                  <c:v>0.134717</c:v>
                </c:pt>
                <c:pt idx="3368">
                  <c:v>0.13475699999999999</c:v>
                </c:pt>
                <c:pt idx="3369">
                  <c:v>0.134797</c:v>
                </c:pt>
                <c:pt idx="3370">
                  <c:v>0.13483700000000001</c:v>
                </c:pt>
                <c:pt idx="3371">
                  <c:v>0.134877</c:v>
                </c:pt>
                <c:pt idx="3372">
                  <c:v>0.13491700000000001</c:v>
                </c:pt>
                <c:pt idx="3373">
                  <c:v>0.13495699999999999</c:v>
                </c:pt>
                <c:pt idx="3374">
                  <c:v>0.13499700000000001</c:v>
                </c:pt>
                <c:pt idx="3375">
                  <c:v>0.13503699999999999</c:v>
                </c:pt>
                <c:pt idx="3376">
                  <c:v>0.135077</c:v>
                </c:pt>
                <c:pt idx="3377">
                  <c:v>0.13511699999999999</c:v>
                </c:pt>
                <c:pt idx="3378">
                  <c:v>0.135157</c:v>
                </c:pt>
                <c:pt idx="3379">
                  <c:v>0.13519700000000001</c:v>
                </c:pt>
                <c:pt idx="3380">
                  <c:v>0.135237</c:v>
                </c:pt>
                <c:pt idx="3381">
                  <c:v>0.13527700000000001</c:v>
                </c:pt>
                <c:pt idx="3382">
                  <c:v>0.13531699999999999</c:v>
                </c:pt>
                <c:pt idx="3383">
                  <c:v>0.13535700000000001</c:v>
                </c:pt>
                <c:pt idx="3384">
                  <c:v>0.13539699999999999</c:v>
                </c:pt>
                <c:pt idx="3385">
                  <c:v>0.135437</c:v>
                </c:pt>
                <c:pt idx="3386">
                  <c:v>0.13547699999999999</c:v>
                </c:pt>
                <c:pt idx="3387">
                  <c:v>0.135517</c:v>
                </c:pt>
                <c:pt idx="3388">
                  <c:v>0.13555700000000001</c:v>
                </c:pt>
                <c:pt idx="3389">
                  <c:v>0.135597</c:v>
                </c:pt>
                <c:pt idx="3390">
                  <c:v>0.13563700000000001</c:v>
                </c:pt>
                <c:pt idx="3391">
                  <c:v>0.13567699999999999</c:v>
                </c:pt>
                <c:pt idx="3392">
                  <c:v>0.135717</c:v>
                </c:pt>
                <c:pt idx="3393">
                  <c:v>0.13575699999999999</c:v>
                </c:pt>
                <c:pt idx="3394">
                  <c:v>0.135797</c:v>
                </c:pt>
                <c:pt idx="3395">
                  <c:v>0.13583700000000001</c:v>
                </c:pt>
                <c:pt idx="3396">
                  <c:v>0.135877</c:v>
                </c:pt>
                <c:pt idx="3397">
                  <c:v>0.13591700000000001</c:v>
                </c:pt>
                <c:pt idx="3398">
                  <c:v>0.13595699999999999</c:v>
                </c:pt>
                <c:pt idx="3399">
                  <c:v>0.13599700000000001</c:v>
                </c:pt>
                <c:pt idx="3400">
                  <c:v>0.13603699999999999</c:v>
                </c:pt>
                <c:pt idx="3401">
                  <c:v>0.136077</c:v>
                </c:pt>
                <c:pt idx="3402">
                  <c:v>0.13611699999999999</c:v>
                </c:pt>
                <c:pt idx="3403">
                  <c:v>0.136157</c:v>
                </c:pt>
                <c:pt idx="3404">
                  <c:v>0.13619700000000001</c:v>
                </c:pt>
                <c:pt idx="3405">
                  <c:v>0.136237</c:v>
                </c:pt>
                <c:pt idx="3406">
                  <c:v>0.13627700000000001</c:v>
                </c:pt>
                <c:pt idx="3407">
                  <c:v>0.13631699999999999</c:v>
                </c:pt>
                <c:pt idx="3408">
                  <c:v>0.13635700000000001</c:v>
                </c:pt>
                <c:pt idx="3409">
                  <c:v>0.13639699999999999</c:v>
                </c:pt>
                <c:pt idx="3410">
                  <c:v>0.136437</c:v>
                </c:pt>
                <c:pt idx="3411">
                  <c:v>0.13647699999999999</c:v>
                </c:pt>
                <c:pt idx="3412">
                  <c:v>0.136517</c:v>
                </c:pt>
                <c:pt idx="3413">
                  <c:v>0.13655700000000001</c:v>
                </c:pt>
                <c:pt idx="3414">
                  <c:v>0.136597</c:v>
                </c:pt>
                <c:pt idx="3415">
                  <c:v>0.13663700000000001</c:v>
                </c:pt>
                <c:pt idx="3416">
                  <c:v>0.13667699999999999</c:v>
                </c:pt>
                <c:pt idx="3417">
                  <c:v>0.13671700000000001</c:v>
                </c:pt>
                <c:pt idx="3418">
                  <c:v>0.13675699999999999</c:v>
                </c:pt>
                <c:pt idx="3419">
                  <c:v>0.136797</c:v>
                </c:pt>
                <c:pt idx="3420">
                  <c:v>0.13683699999999999</c:v>
                </c:pt>
                <c:pt idx="3421">
                  <c:v>0.136877</c:v>
                </c:pt>
                <c:pt idx="3422">
                  <c:v>0.13691700000000001</c:v>
                </c:pt>
                <c:pt idx="3423">
                  <c:v>0.136957</c:v>
                </c:pt>
                <c:pt idx="3424">
                  <c:v>0.13699700000000001</c:v>
                </c:pt>
                <c:pt idx="3425">
                  <c:v>0.13703699999999999</c:v>
                </c:pt>
                <c:pt idx="3426">
                  <c:v>0.137077</c:v>
                </c:pt>
                <c:pt idx="3427">
                  <c:v>0.13711699999999999</c:v>
                </c:pt>
                <c:pt idx="3428">
                  <c:v>0.137157</c:v>
                </c:pt>
                <c:pt idx="3429">
                  <c:v>0.13719700000000001</c:v>
                </c:pt>
                <c:pt idx="3430">
                  <c:v>0.137237</c:v>
                </c:pt>
                <c:pt idx="3431">
                  <c:v>0.13727700000000001</c:v>
                </c:pt>
                <c:pt idx="3432">
                  <c:v>0.13731699999999999</c:v>
                </c:pt>
                <c:pt idx="3433">
                  <c:v>0.13735700000000001</c:v>
                </c:pt>
                <c:pt idx="3434">
                  <c:v>0.13739699999999999</c:v>
                </c:pt>
                <c:pt idx="3435">
                  <c:v>0.137437</c:v>
                </c:pt>
                <c:pt idx="3436">
                  <c:v>0.13747699999999999</c:v>
                </c:pt>
                <c:pt idx="3437">
                  <c:v>0.137517</c:v>
                </c:pt>
                <c:pt idx="3438">
                  <c:v>0.13755700000000001</c:v>
                </c:pt>
                <c:pt idx="3439">
                  <c:v>0.137597</c:v>
                </c:pt>
                <c:pt idx="3440">
                  <c:v>0.13763700000000001</c:v>
                </c:pt>
                <c:pt idx="3441">
                  <c:v>0.13767699999999999</c:v>
                </c:pt>
                <c:pt idx="3442">
                  <c:v>0.13771700000000001</c:v>
                </c:pt>
                <c:pt idx="3443">
                  <c:v>0.13775699999999999</c:v>
                </c:pt>
                <c:pt idx="3444">
                  <c:v>0.137797</c:v>
                </c:pt>
                <c:pt idx="3445">
                  <c:v>0.13783699999999999</c:v>
                </c:pt>
                <c:pt idx="3446">
                  <c:v>0.137877</c:v>
                </c:pt>
                <c:pt idx="3447">
                  <c:v>0.13791700000000001</c:v>
                </c:pt>
                <c:pt idx="3448">
                  <c:v>0.137957</c:v>
                </c:pt>
                <c:pt idx="3449">
                  <c:v>0.13799700000000001</c:v>
                </c:pt>
                <c:pt idx="3450">
                  <c:v>0.13803699999999999</c:v>
                </c:pt>
                <c:pt idx="3451">
                  <c:v>0.13807700000000001</c:v>
                </c:pt>
                <c:pt idx="3452">
                  <c:v>0.13811699999999999</c:v>
                </c:pt>
                <c:pt idx="3453">
                  <c:v>0.138157</c:v>
                </c:pt>
                <c:pt idx="3454">
                  <c:v>0.13819699999999999</c:v>
                </c:pt>
                <c:pt idx="3455">
                  <c:v>0.138237</c:v>
                </c:pt>
                <c:pt idx="3456">
                  <c:v>0.13827700000000001</c:v>
                </c:pt>
                <c:pt idx="3457">
                  <c:v>0.138317</c:v>
                </c:pt>
                <c:pt idx="3458">
                  <c:v>0.13835700000000001</c:v>
                </c:pt>
                <c:pt idx="3459">
                  <c:v>0.13839699999999999</c:v>
                </c:pt>
                <c:pt idx="3460">
                  <c:v>0.138437</c:v>
                </c:pt>
                <c:pt idx="3461">
                  <c:v>0.13847699999999999</c:v>
                </c:pt>
                <c:pt idx="3462">
                  <c:v>0.138517</c:v>
                </c:pt>
                <c:pt idx="3463">
                  <c:v>0.13855700000000001</c:v>
                </c:pt>
                <c:pt idx="3464">
                  <c:v>0.138597</c:v>
                </c:pt>
                <c:pt idx="3465">
                  <c:v>0.13863700000000001</c:v>
                </c:pt>
                <c:pt idx="3466">
                  <c:v>0.13867699999999999</c:v>
                </c:pt>
                <c:pt idx="3467">
                  <c:v>0.13871700000000001</c:v>
                </c:pt>
                <c:pt idx="3468">
                  <c:v>0.13875699999999999</c:v>
                </c:pt>
                <c:pt idx="3469">
                  <c:v>0.138797</c:v>
                </c:pt>
                <c:pt idx="3470">
                  <c:v>0.13883699999999999</c:v>
                </c:pt>
                <c:pt idx="3471">
                  <c:v>0.138877</c:v>
                </c:pt>
                <c:pt idx="3472">
                  <c:v>0.13891700000000001</c:v>
                </c:pt>
                <c:pt idx="3473">
                  <c:v>0.138957</c:v>
                </c:pt>
                <c:pt idx="3474">
                  <c:v>0.13899700000000001</c:v>
                </c:pt>
                <c:pt idx="3475">
                  <c:v>0.13903699999999999</c:v>
                </c:pt>
                <c:pt idx="3476">
                  <c:v>0.13907700000000001</c:v>
                </c:pt>
                <c:pt idx="3477">
                  <c:v>0.13911699999999999</c:v>
                </c:pt>
                <c:pt idx="3478">
                  <c:v>0.139157</c:v>
                </c:pt>
                <c:pt idx="3479">
                  <c:v>0.13919699999999999</c:v>
                </c:pt>
                <c:pt idx="3480">
                  <c:v>0.139237</c:v>
                </c:pt>
                <c:pt idx="3481">
                  <c:v>0.13927700000000001</c:v>
                </c:pt>
                <c:pt idx="3482">
                  <c:v>0.139317</c:v>
                </c:pt>
                <c:pt idx="3483">
                  <c:v>0.13935700000000001</c:v>
                </c:pt>
                <c:pt idx="3484">
                  <c:v>0.13939699999999999</c:v>
                </c:pt>
                <c:pt idx="3485">
                  <c:v>0.13943700000000001</c:v>
                </c:pt>
                <c:pt idx="3486">
                  <c:v>0.13947699999999999</c:v>
                </c:pt>
                <c:pt idx="3487">
                  <c:v>0.139517</c:v>
                </c:pt>
                <c:pt idx="3488">
                  <c:v>0.13955699999999999</c:v>
                </c:pt>
                <c:pt idx="3489">
                  <c:v>0.139597</c:v>
                </c:pt>
                <c:pt idx="3490">
                  <c:v>0.13963700000000001</c:v>
                </c:pt>
                <c:pt idx="3491">
                  <c:v>0.139677</c:v>
                </c:pt>
                <c:pt idx="3492">
                  <c:v>0.13971700000000001</c:v>
                </c:pt>
                <c:pt idx="3493">
                  <c:v>0.13975699999999999</c:v>
                </c:pt>
                <c:pt idx="3494">
                  <c:v>0.139797</c:v>
                </c:pt>
                <c:pt idx="3495">
                  <c:v>0.13983699999999999</c:v>
                </c:pt>
                <c:pt idx="3496">
                  <c:v>0.139877</c:v>
                </c:pt>
                <c:pt idx="3497">
                  <c:v>0.13991700000000001</c:v>
                </c:pt>
                <c:pt idx="3498">
                  <c:v>0.139957</c:v>
                </c:pt>
                <c:pt idx="3499">
                  <c:v>0.13999700000000001</c:v>
                </c:pt>
                <c:pt idx="3500">
                  <c:v>0.14003699999999999</c:v>
                </c:pt>
                <c:pt idx="3501">
                  <c:v>0.14007700000000001</c:v>
                </c:pt>
                <c:pt idx="3502">
                  <c:v>0.14011699999999999</c:v>
                </c:pt>
                <c:pt idx="3503">
                  <c:v>0.140157</c:v>
                </c:pt>
                <c:pt idx="3504">
                  <c:v>0.14019699999999999</c:v>
                </c:pt>
                <c:pt idx="3505">
                  <c:v>0.140237</c:v>
                </c:pt>
                <c:pt idx="3506">
                  <c:v>0.14027700000000001</c:v>
                </c:pt>
                <c:pt idx="3507">
                  <c:v>0.140317</c:v>
                </c:pt>
                <c:pt idx="3508">
                  <c:v>0.14035700000000001</c:v>
                </c:pt>
                <c:pt idx="3509">
                  <c:v>0.14039699999999999</c:v>
                </c:pt>
                <c:pt idx="3510">
                  <c:v>0.14043700000000001</c:v>
                </c:pt>
                <c:pt idx="3511">
                  <c:v>0.14047699999999999</c:v>
                </c:pt>
                <c:pt idx="3512">
                  <c:v>0.140517</c:v>
                </c:pt>
                <c:pt idx="3513">
                  <c:v>0.14055699999999999</c:v>
                </c:pt>
                <c:pt idx="3514">
                  <c:v>0.140597</c:v>
                </c:pt>
                <c:pt idx="3515">
                  <c:v>0.14063700000000001</c:v>
                </c:pt>
                <c:pt idx="3516">
                  <c:v>0.140677</c:v>
                </c:pt>
                <c:pt idx="3517">
                  <c:v>0.14071700000000001</c:v>
                </c:pt>
                <c:pt idx="3518">
                  <c:v>0.14075699999999999</c:v>
                </c:pt>
                <c:pt idx="3519">
                  <c:v>0.14079700000000001</c:v>
                </c:pt>
                <c:pt idx="3520">
                  <c:v>0.14083699999999999</c:v>
                </c:pt>
                <c:pt idx="3521">
                  <c:v>0.140877</c:v>
                </c:pt>
                <c:pt idx="3522">
                  <c:v>0.14091699999999999</c:v>
                </c:pt>
                <c:pt idx="3523">
                  <c:v>0.140957</c:v>
                </c:pt>
                <c:pt idx="3524">
                  <c:v>0.14099700000000001</c:v>
                </c:pt>
                <c:pt idx="3525">
                  <c:v>0.141037</c:v>
                </c:pt>
                <c:pt idx="3526">
                  <c:v>0.14107700000000001</c:v>
                </c:pt>
                <c:pt idx="3527">
                  <c:v>0.14111699999999999</c:v>
                </c:pt>
                <c:pt idx="3528">
                  <c:v>0.141157</c:v>
                </c:pt>
                <c:pt idx="3529">
                  <c:v>0.14119699999999999</c:v>
                </c:pt>
                <c:pt idx="3530">
                  <c:v>0.141237</c:v>
                </c:pt>
                <c:pt idx="3531">
                  <c:v>0.14127700000000001</c:v>
                </c:pt>
                <c:pt idx="3532">
                  <c:v>0.141317</c:v>
                </c:pt>
                <c:pt idx="3533">
                  <c:v>0.14135700000000001</c:v>
                </c:pt>
                <c:pt idx="3534">
                  <c:v>0.14139699999999999</c:v>
                </c:pt>
                <c:pt idx="3535">
                  <c:v>0.14143700000000001</c:v>
                </c:pt>
                <c:pt idx="3536">
                  <c:v>0.14147699999999999</c:v>
                </c:pt>
                <c:pt idx="3537">
                  <c:v>0.141517</c:v>
                </c:pt>
                <c:pt idx="3538">
                  <c:v>0.14155699999999999</c:v>
                </c:pt>
                <c:pt idx="3539">
                  <c:v>0.141597</c:v>
                </c:pt>
                <c:pt idx="3540">
                  <c:v>0.14163700000000001</c:v>
                </c:pt>
                <c:pt idx="3541">
                  <c:v>0.141677</c:v>
                </c:pt>
                <c:pt idx="3542">
                  <c:v>0.14171700000000001</c:v>
                </c:pt>
                <c:pt idx="3543">
                  <c:v>0.14175699999999999</c:v>
                </c:pt>
                <c:pt idx="3544">
                  <c:v>0.14179700000000001</c:v>
                </c:pt>
                <c:pt idx="3545">
                  <c:v>0.14183699999999999</c:v>
                </c:pt>
                <c:pt idx="3546">
                  <c:v>0.141877</c:v>
                </c:pt>
                <c:pt idx="3547">
                  <c:v>0.14191699999999999</c:v>
                </c:pt>
                <c:pt idx="3548">
                  <c:v>0.141957</c:v>
                </c:pt>
                <c:pt idx="3549">
                  <c:v>0.14199700000000001</c:v>
                </c:pt>
                <c:pt idx="3550">
                  <c:v>0.142037</c:v>
                </c:pt>
                <c:pt idx="3551">
                  <c:v>0.14207700000000001</c:v>
                </c:pt>
                <c:pt idx="3552">
                  <c:v>0.14211699999999999</c:v>
                </c:pt>
                <c:pt idx="3553">
                  <c:v>0.14215700000000001</c:v>
                </c:pt>
                <c:pt idx="3554">
                  <c:v>0.14219699999999999</c:v>
                </c:pt>
                <c:pt idx="3555">
                  <c:v>0.142237</c:v>
                </c:pt>
                <c:pt idx="3556">
                  <c:v>0.14227699999999999</c:v>
                </c:pt>
                <c:pt idx="3557">
                  <c:v>0.142317</c:v>
                </c:pt>
                <c:pt idx="3558">
                  <c:v>0.14235700000000001</c:v>
                </c:pt>
                <c:pt idx="3559">
                  <c:v>0.142397</c:v>
                </c:pt>
                <c:pt idx="3560">
                  <c:v>0.14243700000000001</c:v>
                </c:pt>
                <c:pt idx="3561">
                  <c:v>0.14247699999999999</c:v>
                </c:pt>
                <c:pt idx="3562">
                  <c:v>0.142517</c:v>
                </c:pt>
                <c:pt idx="3563">
                  <c:v>0.14255699999999999</c:v>
                </c:pt>
                <c:pt idx="3564">
                  <c:v>0.142597</c:v>
                </c:pt>
                <c:pt idx="3565">
                  <c:v>0.14263700000000001</c:v>
                </c:pt>
                <c:pt idx="3566">
                  <c:v>0.142677</c:v>
                </c:pt>
                <c:pt idx="3567">
                  <c:v>0.14271700000000001</c:v>
                </c:pt>
                <c:pt idx="3568">
                  <c:v>0.142757</c:v>
                </c:pt>
                <c:pt idx="3569">
                  <c:v>0.14279700000000001</c:v>
                </c:pt>
                <c:pt idx="3570">
                  <c:v>0.14283699999999999</c:v>
                </c:pt>
                <c:pt idx="3571">
                  <c:v>0.142877</c:v>
                </c:pt>
                <c:pt idx="3572">
                  <c:v>0.14291699999999999</c:v>
                </c:pt>
                <c:pt idx="3573">
                  <c:v>0.142957</c:v>
                </c:pt>
                <c:pt idx="3574">
                  <c:v>0.14299700000000001</c:v>
                </c:pt>
                <c:pt idx="3575">
                  <c:v>0.143037</c:v>
                </c:pt>
                <c:pt idx="3576">
                  <c:v>0.14307700000000001</c:v>
                </c:pt>
                <c:pt idx="3577">
                  <c:v>0.14311699999999999</c:v>
                </c:pt>
                <c:pt idx="3578">
                  <c:v>0.14315700000000001</c:v>
                </c:pt>
                <c:pt idx="3579">
                  <c:v>0.14319699999999999</c:v>
                </c:pt>
                <c:pt idx="3580">
                  <c:v>0.143237</c:v>
                </c:pt>
                <c:pt idx="3581">
                  <c:v>0.14327699999999999</c:v>
                </c:pt>
                <c:pt idx="3582">
                  <c:v>0.143317</c:v>
                </c:pt>
                <c:pt idx="3583">
                  <c:v>0.14335700000000001</c:v>
                </c:pt>
                <c:pt idx="3584">
                  <c:v>0.143397</c:v>
                </c:pt>
                <c:pt idx="3585">
                  <c:v>0.14343700000000001</c:v>
                </c:pt>
                <c:pt idx="3586">
                  <c:v>0.14347699999999999</c:v>
                </c:pt>
                <c:pt idx="3587">
                  <c:v>0.14351700000000001</c:v>
                </c:pt>
                <c:pt idx="3588">
                  <c:v>0.14355699999999999</c:v>
                </c:pt>
                <c:pt idx="3589">
                  <c:v>0.143597</c:v>
                </c:pt>
                <c:pt idx="3590">
                  <c:v>0.14363699999999999</c:v>
                </c:pt>
                <c:pt idx="3591">
                  <c:v>0.143677</c:v>
                </c:pt>
                <c:pt idx="3592">
                  <c:v>0.14371700000000001</c:v>
                </c:pt>
                <c:pt idx="3593">
                  <c:v>0.143757</c:v>
                </c:pt>
                <c:pt idx="3594">
                  <c:v>0.14379700000000001</c:v>
                </c:pt>
                <c:pt idx="3595">
                  <c:v>0.14383699999999999</c:v>
                </c:pt>
                <c:pt idx="3596">
                  <c:v>0.143877</c:v>
                </c:pt>
                <c:pt idx="3597">
                  <c:v>0.14391699999999999</c:v>
                </c:pt>
                <c:pt idx="3598">
                  <c:v>0.143957</c:v>
                </c:pt>
                <c:pt idx="3599">
                  <c:v>0.14399700000000001</c:v>
                </c:pt>
                <c:pt idx="3600">
                  <c:v>0.144037</c:v>
                </c:pt>
                <c:pt idx="3601">
                  <c:v>0.14407700000000001</c:v>
                </c:pt>
                <c:pt idx="3602">
                  <c:v>0.144117</c:v>
                </c:pt>
                <c:pt idx="3603">
                  <c:v>0.14415700000000001</c:v>
                </c:pt>
                <c:pt idx="3604">
                  <c:v>0.14419699999999999</c:v>
                </c:pt>
                <c:pt idx="3605">
                  <c:v>0.144237</c:v>
                </c:pt>
                <c:pt idx="3606">
                  <c:v>0.14427699999999999</c:v>
                </c:pt>
                <c:pt idx="3607">
                  <c:v>0.144317</c:v>
                </c:pt>
                <c:pt idx="3608">
                  <c:v>0.14435700000000001</c:v>
                </c:pt>
                <c:pt idx="3609">
                  <c:v>0.144397</c:v>
                </c:pt>
                <c:pt idx="3610">
                  <c:v>0.14443700000000001</c:v>
                </c:pt>
                <c:pt idx="3611">
                  <c:v>0.14447699999999999</c:v>
                </c:pt>
                <c:pt idx="3612">
                  <c:v>0.14451700000000001</c:v>
                </c:pt>
                <c:pt idx="3613">
                  <c:v>0.14455699999999999</c:v>
                </c:pt>
                <c:pt idx="3614">
                  <c:v>0.144597</c:v>
                </c:pt>
                <c:pt idx="3615">
                  <c:v>0.14463699999999999</c:v>
                </c:pt>
                <c:pt idx="3616">
                  <c:v>0.144677</c:v>
                </c:pt>
                <c:pt idx="3617">
                  <c:v>0.14471700000000001</c:v>
                </c:pt>
                <c:pt idx="3618">
                  <c:v>0.144757</c:v>
                </c:pt>
                <c:pt idx="3619">
                  <c:v>0.14479700000000001</c:v>
                </c:pt>
                <c:pt idx="3620">
                  <c:v>0.14483699999999999</c:v>
                </c:pt>
                <c:pt idx="3621">
                  <c:v>0.14487700000000001</c:v>
                </c:pt>
                <c:pt idx="3622">
                  <c:v>0.14491699999999999</c:v>
                </c:pt>
                <c:pt idx="3623">
                  <c:v>0.144957</c:v>
                </c:pt>
                <c:pt idx="3624">
                  <c:v>0.14499699999999999</c:v>
                </c:pt>
                <c:pt idx="3625">
                  <c:v>0.145037</c:v>
                </c:pt>
                <c:pt idx="3626">
                  <c:v>0.14507700000000001</c:v>
                </c:pt>
                <c:pt idx="3627">
                  <c:v>0.145117</c:v>
                </c:pt>
                <c:pt idx="3628">
                  <c:v>0.14515700000000001</c:v>
                </c:pt>
                <c:pt idx="3629">
                  <c:v>0.14519699999999999</c:v>
                </c:pt>
                <c:pt idx="3630">
                  <c:v>0.145237</c:v>
                </c:pt>
                <c:pt idx="3631">
                  <c:v>0.14527699999999999</c:v>
                </c:pt>
                <c:pt idx="3632">
                  <c:v>0.145317</c:v>
                </c:pt>
                <c:pt idx="3633">
                  <c:v>0.14535699999999999</c:v>
                </c:pt>
                <c:pt idx="3634">
                  <c:v>0.145397</c:v>
                </c:pt>
                <c:pt idx="3635">
                  <c:v>0.14543700000000001</c:v>
                </c:pt>
                <c:pt idx="3636">
                  <c:v>0.145477</c:v>
                </c:pt>
                <c:pt idx="3637">
                  <c:v>0.14551700000000001</c:v>
                </c:pt>
                <c:pt idx="3638">
                  <c:v>0.14555699999999999</c:v>
                </c:pt>
                <c:pt idx="3639">
                  <c:v>0.145597</c:v>
                </c:pt>
                <c:pt idx="3640">
                  <c:v>0.14563699999999999</c:v>
                </c:pt>
                <c:pt idx="3641">
                  <c:v>0.145677</c:v>
                </c:pt>
                <c:pt idx="3642">
                  <c:v>0.14571700000000001</c:v>
                </c:pt>
                <c:pt idx="3643">
                  <c:v>0.145757</c:v>
                </c:pt>
                <c:pt idx="3644">
                  <c:v>0.14579700000000001</c:v>
                </c:pt>
                <c:pt idx="3645">
                  <c:v>0.14583699999999999</c:v>
                </c:pt>
                <c:pt idx="3646">
                  <c:v>0.14587700000000001</c:v>
                </c:pt>
                <c:pt idx="3647">
                  <c:v>0.14591699999999999</c:v>
                </c:pt>
                <c:pt idx="3648">
                  <c:v>0.145957</c:v>
                </c:pt>
                <c:pt idx="3649">
                  <c:v>0.14599699999999999</c:v>
                </c:pt>
                <c:pt idx="3650">
                  <c:v>0.146037</c:v>
                </c:pt>
                <c:pt idx="3651">
                  <c:v>0.14607700000000001</c:v>
                </c:pt>
                <c:pt idx="3652">
                  <c:v>0.146117</c:v>
                </c:pt>
                <c:pt idx="3653">
                  <c:v>0.14615700000000001</c:v>
                </c:pt>
                <c:pt idx="3654">
                  <c:v>0.14619699999999999</c:v>
                </c:pt>
                <c:pt idx="3655">
                  <c:v>0.14623700000000001</c:v>
                </c:pt>
                <c:pt idx="3656">
                  <c:v>0.14627699999999999</c:v>
                </c:pt>
                <c:pt idx="3657">
                  <c:v>0.146317</c:v>
                </c:pt>
                <c:pt idx="3658">
                  <c:v>0.14635699999999999</c:v>
                </c:pt>
                <c:pt idx="3659">
                  <c:v>0.146397</c:v>
                </c:pt>
                <c:pt idx="3660">
                  <c:v>0.14643700000000001</c:v>
                </c:pt>
                <c:pt idx="3661">
                  <c:v>0.146477</c:v>
                </c:pt>
                <c:pt idx="3662">
                  <c:v>0.14651700000000001</c:v>
                </c:pt>
                <c:pt idx="3663">
                  <c:v>0.14655699999999999</c:v>
                </c:pt>
                <c:pt idx="3664">
                  <c:v>0.14659700000000001</c:v>
                </c:pt>
                <c:pt idx="3665">
                  <c:v>0.14663699999999999</c:v>
                </c:pt>
                <c:pt idx="3666">
                  <c:v>0.146677</c:v>
                </c:pt>
                <c:pt idx="3667">
                  <c:v>0.14671699999999999</c:v>
                </c:pt>
                <c:pt idx="3668">
                  <c:v>0.146757</c:v>
                </c:pt>
                <c:pt idx="3669">
                  <c:v>0.14679700000000001</c:v>
                </c:pt>
                <c:pt idx="3670">
                  <c:v>0.146837</c:v>
                </c:pt>
                <c:pt idx="3671">
                  <c:v>0.14687700000000001</c:v>
                </c:pt>
                <c:pt idx="3672">
                  <c:v>0.14691699999999999</c:v>
                </c:pt>
                <c:pt idx="3673">
                  <c:v>0.146957</c:v>
                </c:pt>
                <c:pt idx="3674">
                  <c:v>0.14699699999999999</c:v>
                </c:pt>
                <c:pt idx="3675">
                  <c:v>0.147037</c:v>
                </c:pt>
                <c:pt idx="3676">
                  <c:v>0.14707700000000001</c:v>
                </c:pt>
                <c:pt idx="3677">
                  <c:v>0.147117</c:v>
                </c:pt>
                <c:pt idx="3678">
                  <c:v>0.14715700000000001</c:v>
                </c:pt>
                <c:pt idx="3679">
                  <c:v>0.14719699999999999</c:v>
                </c:pt>
                <c:pt idx="3680">
                  <c:v>0.14723700000000001</c:v>
                </c:pt>
                <c:pt idx="3681">
                  <c:v>0.14727699999999999</c:v>
                </c:pt>
                <c:pt idx="3682">
                  <c:v>0.147317</c:v>
                </c:pt>
                <c:pt idx="3683">
                  <c:v>0.14735699999999999</c:v>
                </c:pt>
                <c:pt idx="3684">
                  <c:v>0.147397</c:v>
                </c:pt>
                <c:pt idx="3685">
                  <c:v>0.14743700000000001</c:v>
                </c:pt>
                <c:pt idx="3686">
                  <c:v>0.147477</c:v>
                </c:pt>
                <c:pt idx="3687">
                  <c:v>0.14751700000000001</c:v>
                </c:pt>
                <c:pt idx="3688">
                  <c:v>0.14755699999999999</c:v>
                </c:pt>
                <c:pt idx="3689">
                  <c:v>0.14759700000000001</c:v>
                </c:pt>
                <c:pt idx="3690">
                  <c:v>0.14763699999999999</c:v>
                </c:pt>
                <c:pt idx="3691">
                  <c:v>0.147677</c:v>
                </c:pt>
                <c:pt idx="3692">
                  <c:v>0.14771699999999999</c:v>
                </c:pt>
                <c:pt idx="3693">
                  <c:v>0.147757</c:v>
                </c:pt>
                <c:pt idx="3694">
                  <c:v>0.14779700000000001</c:v>
                </c:pt>
                <c:pt idx="3695">
                  <c:v>0.147837</c:v>
                </c:pt>
                <c:pt idx="3696">
                  <c:v>0.14787700000000001</c:v>
                </c:pt>
                <c:pt idx="3697">
                  <c:v>0.14791699999999999</c:v>
                </c:pt>
                <c:pt idx="3698">
                  <c:v>0.14795700000000001</c:v>
                </c:pt>
                <c:pt idx="3699">
                  <c:v>0.14799699999999999</c:v>
                </c:pt>
                <c:pt idx="3700">
                  <c:v>0.148037</c:v>
                </c:pt>
                <c:pt idx="3701">
                  <c:v>0.14807699999999999</c:v>
                </c:pt>
                <c:pt idx="3702">
                  <c:v>0.148117</c:v>
                </c:pt>
                <c:pt idx="3703">
                  <c:v>0.14815700000000001</c:v>
                </c:pt>
                <c:pt idx="3704">
                  <c:v>0.148197</c:v>
                </c:pt>
                <c:pt idx="3705">
                  <c:v>0.14823700000000001</c:v>
                </c:pt>
                <c:pt idx="3706">
                  <c:v>0.14827699999999999</c:v>
                </c:pt>
                <c:pt idx="3707">
                  <c:v>0.148317</c:v>
                </c:pt>
                <c:pt idx="3708">
                  <c:v>0.14835699999999999</c:v>
                </c:pt>
                <c:pt idx="3709">
                  <c:v>0.148397</c:v>
                </c:pt>
                <c:pt idx="3710">
                  <c:v>0.14843700000000001</c:v>
                </c:pt>
                <c:pt idx="3711">
                  <c:v>0.148477</c:v>
                </c:pt>
                <c:pt idx="3712">
                  <c:v>0.14851700000000001</c:v>
                </c:pt>
                <c:pt idx="3713">
                  <c:v>0.14855699999999999</c:v>
                </c:pt>
                <c:pt idx="3714">
                  <c:v>0.14859700000000001</c:v>
                </c:pt>
                <c:pt idx="3715">
                  <c:v>0.14863699999999999</c:v>
                </c:pt>
                <c:pt idx="3716">
                  <c:v>0.148677</c:v>
                </c:pt>
                <c:pt idx="3717">
                  <c:v>0.14871699999999999</c:v>
                </c:pt>
                <c:pt idx="3718">
                  <c:v>0.148757</c:v>
                </c:pt>
                <c:pt idx="3719">
                  <c:v>0.14879700000000001</c:v>
                </c:pt>
                <c:pt idx="3720">
                  <c:v>0.148837</c:v>
                </c:pt>
                <c:pt idx="3721">
                  <c:v>0.14887700000000001</c:v>
                </c:pt>
                <c:pt idx="3722">
                  <c:v>0.14891699999999999</c:v>
                </c:pt>
                <c:pt idx="3723">
                  <c:v>0.14895700000000001</c:v>
                </c:pt>
                <c:pt idx="3724">
                  <c:v>0.14899699999999999</c:v>
                </c:pt>
                <c:pt idx="3725">
                  <c:v>0.149037</c:v>
                </c:pt>
                <c:pt idx="3726">
                  <c:v>0.14907699999999999</c:v>
                </c:pt>
                <c:pt idx="3727">
                  <c:v>0.149117</c:v>
                </c:pt>
                <c:pt idx="3728">
                  <c:v>0.14915700000000001</c:v>
                </c:pt>
                <c:pt idx="3729">
                  <c:v>0.149197</c:v>
                </c:pt>
                <c:pt idx="3730">
                  <c:v>0.14923700000000001</c:v>
                </c:pt>
                <c:pt idx="3731">
                  <c:v>0.14927699999999999</c:v>
                </c:pt>
                <c:pt idx="3732">
                  <c:v>0.14931700000000001</c:v>
                </c:pt>
                <c:pt idx="3733">
                  <c:v>0.14935699999999999</c:v>
                </c:pt>
                <c:pt idx="3734">
                  <c:v>0.149397</c:v>
                </c:pt>
                <c:pt idx="3735">
                  <c:v>0.14943699999999999</c:v>
                </c:pt>
                <c:pt idx="3736">
                  <c:v>0.149477</c:v>
                </c:pt>
                <c:pt idx="3737">
                  <c:v>0.14951700000000001</c:v>
                </c:pt>
                <c:pt idx="3738">
                  <c:v>0.149557</c:v>
                </c:pt>
                <c:pt idx="3739">
                  <c:v>0.14959700000000001</c:v>
                </c:pt>
                <c:pt idx="3740">
                  <c:v>0.14963699999999999</c:v>
                </c:pt>
                <c:pt idx="3741">
                  <c:v>0.149677</c:v>
                </c:pt>
                <c:pt idx="3742">
                  <c:v>0.14971699999999999</c:v>
                </c:pt>
                <c:pt idx="3743">
                  <c:v>0.149757</c:v>
                </c:pt>
                <c:pt idx="3744">
                  <c:v>0.14979700000000001</c:v>
                </c:pt>
                <c:pt idx="3745">
                  <c:v>0.149837</c:v>
                </c:pt>
                <c:pt idx="3746">
                  <c:v>0.14987700000000001</c:v>
                </c:pt>
                <c:pt idx="3747">
                  <c:v>0.14991699999999999</c:v>
                </c:pt>
                <c:pt idx="3748">
                  <c:v>0.14995700000000001</c:v>
                </c:pt>
                <c:pt idx="3749">
                  <c:v>0.14999699999999999</c:v>
                </c:pt>
                <c:pt idx="3750">
                  <c:v>0.150037</c:v>
                </c:pt>
                <c:pt idx="3751">
                  <c:v>0.15007699999999999</c:v>
                </c:pt>
                <c:pt idx="3752">
                  <c:v>0.150117</c:v>
                </c:pt>
                <c:pt idx="3753">
                  <c:v>0.15015700000000001</c:v>
                </c:pt>
                <c:pt idx="3754">
                  <c:v>0.150197</c:v>
                </c:pt>
                <c:pt idx="3755">
                  <c:v>0.15023700000000001</c:v>
                </c:pt>
                <c:pt idx="3756">
                  <c:v>0.15027699999999999</c:v>
                </c:pt>
                <c:pt idx="3757">
                  <c:v>0.15031700000000001</c:v>
                </c:pt>
                <c:pt idx="3758">
                  <c:v>0.15035699999999999</c:v>
                </c:pt>
                <c:pt idx="3759">
                  <c:v>0.150397</c:v>
                </c:pt>
                <c:pt idx="3760">
                  <c:v>0.15043699999999999</c:v>
                </c:pt>
                <c:pt idx="3761">
                  <c:v>0.150477</c:v>
                </c:pt>
                <c:pt idx="3762">
                  <c:v>0.15051700000000001</c:v>
                </c:pt>
                <c:pt idx="3763">
                  <c:v>0.150557</c:v>
                </c:pt>
                <c:pt idx="3764">
                  <c:v>0.15059700000000001</c:v>
                </c:pt>
                <c:pt idx="3765">
                  <c:v>0.15063699999999999</c:v>
                </c:pt>
                <c:pt idx="3766">
                  <c:v>0.15067700000000001</c:v>
                </c:pt>
                <c:pt idx="3767">
                  <c:v>0.15071699999999999</c:v>
                </c:pt>
                <c:pt idx="3768">
                  <c:v>0.150757</c:v>
                </c:pt>
                <c:pt idx="3769">
                  <c:v>0.15079699999999999</c:v>
                </c:pt>
                <c:pt idx="3770">
                  <c:v>0.150837</c:v>
                </c:pt>
                <c:pt idx="3771">
                  <c:v>0.15087700000000001</c:v>
                </c:pt>
                <c:pt idx="3772">
                  <c:v>0.150917</c:v>
                </c:pt>
                <c:pt idx="3773">
                  <c:v>0.15095700000000001</c:v>
                </c:pt>
                <c:pt idx="3774">
                  <c:v>0.15099699999999999</c:v>
                </c:pt>
                <c:pt idx="3775">
                  <c:v>0.151037</c:v>
                </c:pt>
                <c:pt idx="3776">
                  <c:v>0.15107699999999999</c:v>
                </c:pt>
                <c:pt idx="3777">
                  <c:v>0.151117</c:v>
                </c:pt>
                <c:pt idx="3778">
                  <c:v>0.15115700000000001</c:v>
                </c:pt>
                <c:pt idx="3779">
                  <c:v>0.151197</c:v>
                </c:pt>
                <c:pt idx="3780">
                  <c:v>0.15123700000000001</c:v>
                </c:pt>
                <c:pt idx="3781">
                  <c:v>0.15127699999999999</c:v>
                </c:pt>
                <c:pt idx="3782">
                  <c:v>0.15131700000000001</c:v>
                </c:pt>
                <c:pt idx="3783">
                  <c:v>0.15135699999999999</c:v>
                </c:pt>
                <c:pt idx="3784">
                  <c:v>0.151397</c:v>
                </c:pt>
                <c:pt idx="3785">
                  <c:v>0.15143699999999999</c:v>
                </c:pt>
                <c:pt idx="3786">
                  <c:v>0.151477</c:v>
                </c:pt>
                <c:pt idx="3787">
                  <c:v>0.15151700000000001</c:v>
                </c:pt>
                <c:pt idx="3788">
                  <c:v>0.151557</c:v>
                </c:pt>
                <c:pt idx="3789">
                  <c:v>0.15159700000000001</c:v>
                </c:pt>
                <c:pt idx="3790">
                  <c:v>0.15163699999999999</c:v>
                </c:pt>
                <c:pt idx="3791">
                  <c:v>0.15167700000000001</c:v>
                </c:pt>
                <c:pt idx="3792">
                  <c:v>0.15171699999999999</c:v>
                </c:pt>
                <c:pt idx="3793">
                  <c:v>0.151757</c:v>
                </c:pt>
                <c:pt idx="3794">
                  <c:v>0.15179699999999999</c:v>
                </c:pt>
                <c:pt idx="3795">
                  <c:v>0.151837</c:v>
                </c:pt>
                <c:pt idx="3796">
                  <c:v>0.15187700000000001</c:v>
                </c:pt>
                <c:pt idx="3797">
                  <c:v>0.151917</c:v>
                </c:pt>
                <c:pt idx="3798">
                  <c:v>0.15195700000000001</c:v>
                </c:pt>
                <c:pt idx="3799">
                  <c:v>0.15199699999999999</c:v>
                </c:pt>
                <c:pt idx="3800">
                  <c:v>0.15203700000000001</c:v>
                </c:pt>
                <c:pt idx="3801">
                  <c:v>0.15207699999999999</c:v>
                </c:pt>
                <c:pt idx="3802">
                  <c:v>0.152117</c:v>
                </c:pt>
                <c:pt idx="3803">
                  <c:v>0.15215699999999999</c:v>
                </c:pt>
                <c:pt idx="3804">
                  <c:v>0.152197</c:v>
                </c:pt>
                <c:pt idx="3805">
                  <c:v>0.15223700000000001</c:v>
                </c:pt>
                <c:pt idx="3806">
                  <c:v>0.152277</c:v>
                </c:pt>
                <c:pt idx="3807">
                  <c:v>0.15231700000000001</c:v>
                </c:pt>
                <c:pt idx="3808">
                  <c:v>0.15235699999999999</c:v>
                </c:pt>
                <c:pt idx="3809">
                  <c:v>0.152397</c:v>
                </c:pt>
                <c:pt idx="3810">
                  <c:v>0.15243699999999999</c:v>
                </c:pt>
                <c:pt idx="3811">
                  <c:v>0.152477</c:v>
                </c:pt>
                <c:pt idx="3812">
                  <c:v>0.15251700000000001</c:v>
                </c:pt>
                <c:pt idx="3813">
                  <c:v>0.152557</c:v>
                </c:pt>
                <c:pt idx="3814">
                  <c:v>0.15259700000000001</c:v>
                </c:pt>
                <c:pt idx="3815">
                  <c:v>0.15263699999999999</c:v>
                </c:pt>
                <c:pt idx="3816">
                  <c:v>0.15267700000000001</c:v>
                </c:pt>
                <c:pt idx="3817">
                  <c:v>0.15271699999999999</c:v>
                </c:pt>
                <c:pt idx="3818">
                  <c:v>0.152757</c:v>
                </c:pt>
                <c:pt idx="3819">
                  <c:v>0.15279699999999999</c:v>
                </c:pt>
                <c:pt idx="3820">
                  <c:v>0.152837</c:v>
                </c:pt>
                <c:pt idx="3821">
                  <c:v>0.15287700000000001</c:v>
                </c:pt>
                <c:pt idx="3822">
                  <c:v>0.152917</c:v>
                </c:pt>
                <c:pt idx="3823">
                  <c:v>0.15295700000000001</c:v>
                </c:pt>
                <c:pt idx="3824">
                  <c:v>0.15299699999999999</c:v>
                </c:pt>
                <c:pt idx="3825">
                  <c:v>0.15303700000000001</c:v>
                </c:pt>
                <c:pt idx="3826">
                  <c:v>0.15307699999999999</c:v>
                </c:pt>
                <c:pt idx="3827">
                  <c:v>0.153117</c:v>
                </c:pt>
                <c:pt idx="3828">
                  <c:v>0.15315699999999999</c:v>
                </c:pt>
                <c:pt idx="3829">
                  <c:v>0.153197</c:v>
                </c:pt>
                <c:pt idx="3830">
                  <c:v>0.15323700000000001</c:v>
                </c:pt>
                <c:pt idx="3831">
                  <c:v>0.153277</c:v>
                </c:pt>
                <c:pt idx="3832">
                  <c:v>0.15331700000000001</c:v>
                </c:pt>
                <c:pt idx="3833">
                  <c:v>0.15335699999999999</c:v>
                </c:pt>
                <c:pt idx="3834">
                  <c:v>0.15339700000000001</c:v>
                </c:pt>
                <c:pt idx="3835">
                  <c:v>0.15343699999999999</c:v>
                </c:pt>
                <c:pt idx="3836">
                  <c:v>0.153477</c:v>
                </c:pt>
                <c:pt idx="3837">
                  <c:v>0.15351699999999999</c:v>
                </c:pt>
                <c:pt idx="3838">
                  <c:v>0.153557</c:v>
                </c:pt>
                <c:pt idx="3839">
                  <c:v>0.15359700000000001</c:v>
                </c:pt>
                <c:pt idx="3840">
                  <c:v>0.153637</c:v>
                </c:pt>
                <c:pt idx="3841">
                  <c:v>0.15367700000000001</c:v>
                </c:pt>
                <c:pt idx="3842">
                  <c:v>0.15371699999999999</c:v>
                </c:pt>
                <c:pt idx="3843">
                  <c:v>0.153757</c:v>
                </c:pt>
                <c:pt idx="3844">
                  <c:v>0.15379699999999999</c:v>
                </c:pt>
                <c:pt idx="3845">
                  <c:v>0.153837</c:v>
                </c:pt>
                <c:pt idx="3846">
                  <c:v>0.15387700000000001</c:v>
                </c:pt>
                <c:pt idx="3847">
                  <c:v>0.153917</c:v>
                </c:pt>
                <c:pt idx="3848">
                  <c:v>0.15395700000000001</c:v>
                </c:pt>
                <c:pt idx="3849">
                  <c:v>0.153997</c:v>
                </c:pt>
                <c:pt idx="3850">
                  <c:v>0.15403700000000001</c:v>
                </c:pt>
                <c:pt idx="3851">
                  <c:v>0.15407699999999999</c:v>
                </c:pt>
                <c:pt idx="3852">
                  <c:v>0.154117</c:v>
                </c:pt>
                <c:pt idx="3853">
                  <c:v>0.15415699999999999</c:v>
                </c:pt>
                <c:pt idx="3854">
                  <c:v>0.154197</c:v>
                </c:pt>
                <c:pt idx="3855">
                  <c:v>0.15423700000000001</c:v>
                </c:pt>
                <c:pt idx="3856">
                  <c:v>0.154277</c:v>
                </c:pt>
                <c:pt idx="3857">
                  <c:v>0.15431700000000001</c:v>
                </c:pt>
                <c:pt idx="3858">
                  <c:v>0.15435699999999999</c:v>
                </c:pt>
                <c:pt idx="3859">
                  <c:v>0.15439700000000001</c:v>
                </c:pt>
                <c:pt idx="3860">
                  <c:v>0.15443699999999999</c:v>
                </c:pt>
                <c:pt idx="3861">
                  <c:v>0.154477</c:v>
                </c:pt>
                <c:pt idx="3862">
                  <c:v>0.15451699999999999</c:v>
                </c:pt>
                <c:pt idx="3863">
                  <c:v>0.154557</c:v>
                </c:pt>
                <c:pt idx="3864">
                  <c:v>0.15459700000000001</c:v>
                </c:pt>
                <c:pt idx="3865">
                  <c:v>0.154637</c:v>
                </c:pt>
                <c:pt idx="3866">
                  <c:v>0.15467700000000001</c:v>
                </c:pt>
                <c:pt idx="3867">
                  <c:v>0.15471699999999999</c:v>
                </c:pt>
                <c:pt idx="3868">
                  <c:v>0.15475700000000001</c:v>
                </c:pt>
                <c:pt idx="3869">
                  <c:v>0.15479699999999999</c:v>
                </c:pt>
                <c:pt idx="3870">
                  <c:v>0.154837</c:v>
                </c:pt>
                <c:pt idx="3871">
                  <c:v>0.15487699999999999</c:v>
                </c:pt>
                <c:pt idx="3872">
                  <c:v>0.154917</c:v>
                </c:pt>
                <c:pt idx="3873">
                  <c:v>0.15495700000000001</c:v>
                </c:pt>
                <c:pt idx="3874">
                  <c:v>0.154997</c:v>
                </c:pt>
                <c:pt idx="3875">
                  <c:v>0.15503700000000001</c:v>
                </c:pt>
                <c:pt idx="3876">
                  <c:v>0.15507699999999999</c:v>
                </c:pt>
                <c:pt idx="3877">
                  <c:v>0.155117</c:v>
                </c:pt>
                <c:pt idx="3878">
                  <c:v>0.15515699999999999</c:v>
                </c:pt>
                <c:pt idx="3879">
                  <c:v>0.155197</c:v>
                </c:pt>
                <c:pt idx="3880">
                  <c:v>0.15523700000000001</c:v>
                </c:pt>
                <c:pt idx="3881">
                  <c:v>0.155277</c:v>
                </c:pt>
                <c:pt idx="3882">
                  <c:v>0.15531700000000001</c:v>
                </c:pt>
                <c:pt idx="3883">
                  <c:v>0.155357</c:v>
                </c:pt>
                <c:pt idx="3884">
                  <c:v>0.15539700000000001</c:v>
                </c:pt>
                <c:pt idx="3885">
                  <c:v>0.15543699999999999</c:v>
                </c:pt>
                <c:pt idx="3886">
                  <c:v>0.155477</c:v>
                </c:pt>
                <c:pt idx="3887">
                  <c:v>0.15551699999999999</c:v>
                </c:pt>
                <c:pt idx="3888">
                  <c:v>0.155557</c:v>
                </c:pt>
                <c:pt idx="3889">
                  <c:v>0.15559700000000001</c:v>
                </c:pt>
                <c:pt idx="3890">
                  <c:v>0.155637</c:v>
                </c:pt>
                <c:pt idx="3891">
                  <c:v>0.15567700000000001</c:v>
                </c:pt>
                <c:pt idx="3892">
                  <c:v>0.15571699999999999</c:v>
                </c:pt>
                <c:pt idx="3893">
                  <c:v>0.15575700000000001</c:v>
                </c:pt>
                <c:pt idx="3894">
                  <c:v>0.15579699999999999</c:v>
                </c:pt>
                <c:pt idx="3895">
                  <c:v>0.155837</c:v>
                </c:pt>
                <c:pt idx="3896">
                  <c:v>0.15587699999999999</c:v>
                </c:pt>
                <c:pt idx="3897">
                  <c:v>0.155917</c:v>
                </c:pt>
                <c:pt idx="3898">
                  <c:v>0.15595700000000001</c:v>
                </c:pt>
                <c:pt idx="3899">
                  <c:v>0.155997</c:v>
                </c:pt>
                <c:pt idx="3900">
                  <c:v>0.15603700000000001</c:v>
                </c:pt>
                <c:pt idx="3901">
                  <c:v>0.15607699999999999</c:v>
                </c:pt>
                <c:pt idx="3902">
                  <c:v>0.15611700000000001</c:v>
                </c:pt>
                <c:pt idx="3903">
                  <c:v>0.15615699999999999</c:v>
                </c:pt>
                <c:pt idx="3904">
                  <c:v>0.156197</c:v>
                </c:pt>
                <c:pt idx="3905">
                  <c:v>0.15623699999999999</c:v>
                </c:pt>
                <c:pt idx="3906">
                  <c:v>0.156277</c:v>
                </c:pt>
                <c:pt idx="3907">
                  <c:v>0.15631700000000001</c:v>
                </c:pt>
                <c:pt idx="3908">
                  <c:v>0.156357</c:v>
                </c:pt>
                <c:pt idx="3909">
                  <c:v>0.15639700000000001</c:v>
                </c:pt>
                <c:pt idx="3910">
                  <c:v>0.15643699999999999</c:v>
                </c:pt>
                <c:pt idx="3911">
                  <c:v>0.156477</c:v>
                </c:pt>
                <c:pt idx="3912">
                  <c:v>0.15651699999999999</c:v>
                </c:pt>
                <c:pt idx="3913">
                  <c:v>0.156557</c:v>
                </c:pt>
                <c:pt idx="3914">
                  <c:v>0.15659699999999999</c:v>
                </c:pt>
                <c:pt idx="3915">
                  <c:v>0.156637</c:v>
                </c:pt>
                <c:pt idx="3916">
                  <c:v>0.15667700000000001</c:v>
                </c:pt>
                <c:pt idx="3917">
                  <c:v>0.156717</c:v>
                </c:pt>
                <c:pt idx="3918">
                  <c:v>0.15675700000000001</c:v>
                </c:pt>
                <c:pt idx="3919">
                  <c:v>0.15679699999999999</c:v>
                </c:pt>
                <c:pt idx="3920">
                  <c:v>0.156837</c:v>
                </c:pt>
                <c:pt idx="3921">
                  <c:v>0.15687699999999999</c:v>
                </c:pt>
                <c:pt idx="3922">
                  <c:v>0.156917</c:v>
                </c:pt>
                <c:pt idx="3923">
                  <c:v>0.15695700000000001</c:v>
                </c:pt>
                <c:pt idx="3924">
                  <c:v>0.156997</c:v>
                </c:pt>
                <c:pt idx="3925">
                  <c:v>0.15703700000000001</c:v>
                </c:pt>
                <c:pt idx="3926">
                  <c:v>0.15707699999999999</c:v>
                </c:pt>
                <c:pt idx="3927">
                  <c:v>0.15711700000000001</c:v>
                </c:pt>
                <c:pt idx="3928">
                  <c:v>0.15715699999999999</c:v>
                </c:pt>
                <c:pt idx="3929">
                  <c:v>0.157197</c:v>
                </c:pt>
                <c:pt idx="3930">
                  <c:v>0.15723699999999999</c:v>
                </c:pt>
                <c:pt idx="3931">
                  <c:v>0.157277</c:v>
                </c:pt>
                <c:pt idx="3932">
                  <c:v>0.15731700000000001</c:v>
                </c:pt>
                <c:pt idx="3933">
                  <c:v>0.157357</c:v>
                </c:pt>
                <c:pt idx="3934">
                  <c:v>0.15739700000000001</c:v>
                </c:pt>
                <c:pt idx="3935">
                  <c:v>0.15743699999999999</c:v>
                </c:pt>
                <c:pt idx="3936">
                  <c:v>0.15747700000000001</c:v>
                </c:pt>
                <c:pt idx="3937">
                  <c:v>0.15751699999999999</c:v>
                </c:pt>
                <c:pt idx="3938">
                  <c:v>0.157557</c:v>
                </c:pt>
                <c:pt idx="3939">
                  <c:v>0.15759699999999999</c:v>
                </c:pt>
                <c:pt idx="3940">
                  <c:v>0.157637</c:v>
                </c:pt>
                <c:pt idx="3941">
                  <c:v>0.15767700000000001</c:v>
                </c:pt>
                <c:pt idx="3942">
                  <c:v>0.157717</c:v>
                </c:pt>
                <c:pt idx="3943">
                  <c:v>0.15775700000000001</c:v>
                </c:pt>
                <c:pt idx="3944">
                  <c:v>0.15779699999999999</c:v>
                </c:pt>
                <c:pt idx="3945">
                  <c:v>0.15783700000000001</c:v>
                </c:pt>
                <c:pt idx="3946">
                  <c:v>0.15787699999999999</c:v>
                </c:pt>
                <c:pt idx="3947">
                  <c:v>0.157917</c:v>
                </c:pt>
                <c:pt idx="3948">
                  <c:v>0.15795699999999999</c:v>
                </c:pt>
                <c:pt idx="3949">
                  <c:v>0.157997</c:v>
                </c:pt>
                <c:pt idx="3950">
                  <c:v>0.15803700000000001</c:v>
                </c:pt>
                <c:pt idx="3951">
                  <c:v>0.158077</c:v>
                </c:pt>
                <c:pt idx="3952">
                  <c:v>0.15811700000000001</c:v>
                </c:pt>
                <c:pt idx="3953">
                  <c:v>0.15815699999999999</c:v>
                </c:pt>
                <c:pt idx="3954">
                  <c:v>0.158197</c:v>
                </c:pt>
                <c:pt idx="3955">
                  <c:v>0.15823699999999999</c:v>
                </c:pt>
                <c:pt idx="3956">
                  <c:v>0.158277</c:v>
                </c:pt>
                <c:pt idx="3957">
                  <c:v>0.15831700000000001</c:v>
                </c:pt>
                <c:pt idx="3958">
                  <c:v>0.158357</c:v>
                </c:pt>
                <c:pt idx="3959">
                  <c:v>0.15839700000000001</c:v>
                </c:pt>
                <c:pt idx="3960">
                  <c:v>0.15843699999999999</c:v>
                </c:pt>
                <c:pt idx="3961">
                  <c:v>0.15847700000000001</c:v>
                </c:pt>
                <c:pt idx="3962">
                  <c:v>0.15851699999999999</c:v>
                </c:pt>
                <c:pt idx="3963">
                  <c:v>0.158557</c:v>
                </c:pt>
                <c:pt idx="3964">
                  <c:v>0.15859699999999999</c:v>
                </c:pt>
                <c:pt idx="3965">
                  <c:v>0.158637</c:v>
                </c:pt>
                <c:pt idx="3966">
                  <c:v>0.15867700000000001</c:v>
                </c:pt>
                <c:pt idx="3967">
                  <c:v>0.158717</c:v>
                </c:pt>
                <c:pt idx="3968">
                  <c:v>0.15875700000000001</c:v>
                </c:pt>
                <c:pt idx="3969">
                  <c:v>0.15879699999999999</c:v>
                </c:pt>
                <c:pt idx="3970">
                  <c:v>0.15883700000000001</c:v>
                </c:pt>
                <c:pt idx="3971">
                  <c:v>0.15887699999999999</c:v>
                </c:pt>
                <c:pt idx="3972">
                  <c:v>0.158917</c:v>
                </c:pt>
                <c:pt idx="3973">
                  <c:v>0.15895699999999999</c:v>
                </c:pt>
                <c:pt idx="3974">
                  <c:v>0.158997</c:v>
                </c:pt>
                <c:pt idx="3975">
                  <c:v>0.15903700000000001</c:v>
                </c:pt>
                <c:pt idx="3976">
                  <c:v>0.159077</c:v>
                </c:pt>
                <c:pt idx="3977">
                  <c:v>0.15911700000000001</c:v>
                </c:pt>
                <c:pt idx="3978">
                  <c:v>0.15915699999999999</c:v>
                </c:pt>
                <c:pt idx="3979">
                  <c:v>0.15919700000000001</c:v>
                </c:pt>
                <c:pt idx="3980">
                  <c:v>0.15923699999999999</c:v>
                </c:pt>
                <c:pt idx="3981">
                  <c:v>0.159277</c:v>
                </c:pt>
                <c:pt idx="3982">
                  <c:v>0.15931699999999999</c:v>
                </c:pt>
                <c:pt idx="3983">
                  <c:v>0.159357</c:v>
                </c:pt>
                <c:pt idx="3984">
                  <c:v>0.15939700000000001</c:v>
                </c:pt>
                <c:pt idx="3985">
                  <c:v>0.159437</c:v>
                </c:pt>
                <c:pt idx="3986">
                  <c:v>0.15947700000000001</c:v>
                </c:pt>
                <c:pt idx="3987">
                  <c:v>0.15951699999999999</c:v>
                </c:pt>
                <c:pt idx="3988">
                  <c:v>0.159557</c:v>
                </c:pt>
                <c:pt idx="3989">
                  <c:v>0.15959699999999999</c:v>
                </c:pt>
                <c:pt idx="3990">
                  <c:v>0.159637</c:v>
                </c:pt>
                <c:pt idx="3991">
                  <c:v>0.15967700000000001</c:v>
                </c:pt>
                <c:pt idx="3992">
                  <c:v>0.159717</c:v>
                </c:pt>
                <c:pt idx="3993">
                  <c:v>0.15975700000000001</c:v>
                </c:pt>
                <c:pt idx="3994">
                  <c:v>0.15979699999999999</c:v>
                </c:pt>
                <c:pt idx="3995">
                  <c:v>0.15983700000000001</c:v>
                </c:pt>
                <c:pt idx="3996">
                  <c:v>0.15987699999999999</c:v>
                </c:pt>
                <c:pt idx="3997">
                  <c:v>0.159917</c:v>
                </c:pt>
                <c:pt idx="3998">
                  <c:v>0.15995699999999999</c:v>
                </c:pt>
                <c:pt idx="3999">
                  <c:v>0.159997</c:v>
                </c:pt>
                <c:pt idx="4000">
                  <c:v>0.16003700000000001</c:v>
                </c:pt>
                <c:pt idx="4001">
                  <c:v>0.160077</c:v>
                </c:pt>
                <c:pt idx="4002">
                  <c:v>0.16011700000000001</c:v>
                </c:pt>
                <c:pt idx="4003">
                  <c:v>0.16015699999999999</c:v>
                </c:pt>
                <c:pt idx="4004">
                  <c:v>0.16019700000000001</c:v>
                </c:pt>
                <c:pt idx="4005">
                  <c:v>0.16023699999999999</c:v>
                </c:pt>
                <c:pt idx="4006">
                  <c:v>0.160277</c:v>
                </c:pt>
                <c:pt idx="4007">
                  <c:v>0.16031699999999999</c:v>
                </c:pt>
                <c:pt idx="4008">
                  <c:v>0.160357</c:v>
                </c:pt>
                <c:pt idx="4009">
                  <c:v>0.16039700000000001</c:v>
                </c:pt>
                <c:pt idx="4010">
                  <c:v>0.160437</c:v>
                </c:pt>
                <c:pt idx="4011">
                  <c:v>0.16047700000000001</c:v>
                </c:pt>
                <c:pt idx="4012">
                  <c:v>0.16051699999999999</c:v>
                </c:pt>
                <c:pt idx="4013">
                  <c:v>0.16055700000000001</c:v>
                </c:pt>
                <c:pt idx="4014">
                  <c:v>0.16059699999999999</c:v>
                </c:pt>
                <c:pt idx="4015">
                  <c:v>0.160637</c:v>
                </c:pt>
                <c:pt idx="4016">
                  <c:v>0.16067699999999999</c:v>
                </c:pt>
                <c:pt idx="4017">
                  <c:v>0.160717</c:v>
                </c:pt>
                <c:pt idx="4018">
                  <c:v>0.16075700000000001</c:v>
                </c:pt>
                <c:pt idx="4019">
                  <c:v>0.160797</c:v>
                </c:pt>
                <c:pt idx="4020">
                  <c:v>0.16083700000000001</c:v>
                </c:pt>
                <c:pt idx="4021">
                  <c:v>0.16087699999999999</c:v>
                </c:pt>
                <c:pt idx="4022">
                  <c:v>0.160917</c:v>
                </c:pt>
                <c:pt idx="4023">
                  <c:v>0.16095699999999999</c:v>
                </c:pt>
                <c:pt idx="4024">
                  <c:v>0.160997</c:v>
                </c:pt>
                <c:pt idx="4025">
                  <c:v>0.16103700000000001</c:v>
                </c:pt>
                <c:pt idx="4026">
                  <c:v>0.161077</c:v>
                </c:pt>
                <c:pt idx="4027">
                  <c:v>0.16111700000000001</c:v>
                </c:pt>
                <c:pt idx="4028">
                  <c:v>0.16115699999999999</c:v>
                </c:pt>
                <c:pt idx="4029">
                  <c:v>0.16119700000000001</c:v>
                </c:pt>
                <c:pt idx="4030">
                  <c:v>0.16123699999999999</c:v>
                </c:pt>
                <c:pt idx="4031">
                  <c:v>0.161277</c:v>
                </c:pt>
                <c:pt idx="4032">
                  <c:v>0.16131699999999999</c:v>
                </c:pt>
                <c:pt idx="4033">
                  <c:v>0.161357</c:v>
                </c:pt>
                <c:pt idx="4034">
                  <c:v>0.16139700000000001</c:v>
                </c:pt>
                <c:pt idx="4035">
                  <c:v>0.161437</c:v>
                </c:pt>
                <c:pt idx="4036">
                  <c:v>0.16147700000000001</c:v>
                </c:pt>
                <c:pt idx="4037">
                  <c:v>0.16151699999999999</c:v>
                </c:pt>
                <c:pt idx="4038">
                  <c:v>0.16155700000000001</c:v>
                </c:pt>
                <c:pt idx="4039">
                  <c:v>0.16159699999999999</c:v>
                </c:pt>
                <c:pt idx="4040">
                  <c:v>0.161637</c:v>
                </c:pt>
                <c:pt idx="4041">
                  <c:v>0.16167699999999999</c:v>
                </c:pt>
                <c:pt idx="4042">
                  <c:v>0.161717</c:v>
                </c:pt>
                <c:pt idx="4043">
                  <c:v>0.16175700000000001</c:v>
                </c:pt>
                <c:pt idx="4044">
                  <c:v>0.161797</c:v>
                </c:pt>
                <c:pt idx="4045">
                  <c:v>0.16183700000000001</c:v>
                </c:pt>
                <c:pt idx="4046">
                  <c:v>0.16187699999999999</c:v>
                </c:pt>
                <c:pt idx="4047">
                  <c:v>0.16191700000000001</c:v>
                </c:pt>
                <c:pt idx="4048">
                  <c:v>0.16195699999999999</c:v>
                </c:pt>
                <c:pt idx="4049">
                  <c:v>0.161997</c:v>
                </c:pt>
                <c:pt idx="4050">
                  <c:v>0.16203699999999999</c:v>
                </c:pt>
                <c:pt idx="4051">
                  <c:v>0.162077</c:v>
                </c:pt>
                <c:pt idx="4052">
                  <c:v>0.16211700000000001</c:v>
                </c:pt>
                <c:pt idx="4053">
                  <c:v>0.162157</c:v>
                </c:pt>
                <c:pt idx="4054">
                  <c:v>0.16219700000000001</c:v>
                </c:pt>
                <c:pt idx="4055">
                  <c:v>0.16223699999999999</c:v>
                </c:pt>
                <c:pt idx="4056">
                  <c:v>0.162277</c:v>
                </c:pt>
                <c:pt idx="4057">
                  <c:v>0.16231699999999999</c:v>
                </c:pt>
                <c:pt idx="4058">
                  <c:v>0.162357</c:v>
                </c:pt>
                <c:pt idx="4059">
                  <c:v>0.16239700000000001</c:v>
                </c:pt>
                <c:pt idx="4060">
                  <c:v>0.162437</c:v>
                </c:pt>
                <c:pt idx="4061">
                  <c:v>0.16247700000000001</c:v>
                </c:pt>
                <c:pt idx="4062">
                  <c:v>0.16251699999999999</c:v>
                </c:pt>
                <c:pt idx="4063">
                  <c:v>0.16255700000000001</c:v>
                </c:pt>
                <c:pt idx="4064">
                  <c:v>0.16259699999999999</c:v>
                </c:pt>
                <c:pt idx="4065">
                  <c:v>0.162637</c:v>
                </c:pt>
                <c:pt idx="4066">
                  <c:v>0.16267699999999999</c:v>
                </c:pt>
                <c:pt idx="4067">
                  <c:v>0.162717</c:v>
                </c:pt>
                <c:pt idx="4068">
                  <c:v>0.16275700000000001</c:v>
                </c:pt>
                <c:pt idx="4069">
                  <c:v>0.162797</c:v>
                </c:pt>
                <c:pt idx="4070">
                  <c:v>0.16283700000000001</c:v>
                </c:pt>
                <c:pt idx="4071">
                  <c:v>0.16287699999999999</c:v>
                </c:pt>
                <c:pt idx="4072">
                  <c:v>0.16291700000000001</c:v>
                </c:pt>
                <c:pt idx="4073">
                  <c:v>0.16295699999999999</c:v>
                </c:pt>
                <c:pt idx="4074">
                  <c:v>0.162997</c:v>
                </c:pt>
                <c:pt idx="4075">
                  <c:v>0.16303699999999999</c:v>
                </c:pt>
                <c:pt idx="4076">
                  <c:v>0.163077</c:v>
                </c:pt>
                <c:pt idx="4077">
                  <c:v>0.16311700000000001</c:v>
                </c:pt>
                <c:pt idx="4078">
                  <c:v>0.163157</c:v>
                </c:pt>
                <c:pt idx="4079">
                  <c:v>0.16319700000000001</c:v>
                </c:pt>
                <c:pt idx="4080">
                  <c:v>0.16323699999999999</c:v>
                </c:pt>
                <c:pt idx="4081">
                  <c:v>0.16327700000000001</c:v>
                </c:pt>
                <c:pt idx="4082">
                  <c:v>0.16331699999999999</c:v>
                </c:pt>
                <c:pt idx="4083">
                  <c:v>0.163357</c:v>
                </c:pt>
                <c:pt idx="4084">
                  <c:v>0.16339699999999999</c:v>
                </c:pt>
                <c:pt idx="4085">
                  <c:v>0.163437</c:v>
                </c:pt>
                <c:pt idx="4086">
                  <c:v>0.16347700000000001</c:v>
                </c:pt>
                <c:pt idx="4087">
                  <c:v>0.163517</c:v>
                </c:pt>
                <c:pt idx="4088">
                  <c:v>0.16355700000000001</c:v>
                </c:pt>
                <c:pt idx="4089">
                  <c:v>0.16359699999999999</c:v>
                </c:pt>
                <c:pt idx="4090">
                  <c:v>0.163637</c:v>
                </c:pt>
                <c:pt idx="4091">
                  <c:v>0.16367699999999999</c:v>
                </c:pt>
                <c:pt idx="4092">
                  <c:v>0.163717</c:v>
                </c:pt>
                <c:pt idx="4093">
                  <c:v>0.16375700000000001</c:v>
                </c:pt>
                <c:pt idx="4094">
                  <c:v>0.163797</c:v>
                </c:pt>
                <c:pt idx="4095">
                  <c:v>0.16383700000000001</c:v>
                </c:pt>
                <c:pt idx="4096">
                  <c:v>0.16387699999999999</c:v>
                </c:pt>
                <c:pt idx="4097">
                  <c:v>0.16391700000000001</c:v>
                </c:pt>
                <c:pt idx="4098">
                  <c:v>0.16395699999999999</c:v>
                </c:pt>
                <c:pt idx="4099">
                  <c:v>0.163997</c:v>
                </c:pt>
                <c:pt idx="4100">
                  <c:v>0.16403699999999999</c:v>
                </c:pt>
                <c:pt idx="4101">
                  <c:v>0.164077</c:v>
                </c:pt>
                <c:pt idx="4102">
                  <c:v>0.16411700000000001</c:v>
                </c:pt>
                <c:pt idx="4103">
                  <c:v>0.164157</c:v>
                </c:pt>
                <c:pt idx="4104">
                  <c:v>0.16419700000000001</c:v>
                </c:pt>
                <c:pt idx="4105">
                  <c:v>0.16423699999999999</c:v>
                </c:pt>
                <c:pt idx="4106">
                  <c:v>0.16427700000000001</c:v>
                </c:pt>
                <c:pt idx="4107">
                  <c:v>0.16431699999999999</c:v>
                </c:pt>
                <c:pt idx="4108">
                  <c:v>0.164357</c:v>
                </c:pt>
                <c:pt idx="4109">
                  <c:v>0.16439699999999999</c:v>
                </c:pt>
                <c:pt idx="4110">
                  <c:v>0.164437</c:v>
                </c:pt>
                <c:pt idx="4111">
                  <c:v>0.16447700000000001</c:v>
                </c:pt>
                <c:pt idx="4112">
                  <c:v>0.164517</c:v>
                </c:pt>
                <c:pt idx="4113">
                  <c:v>0.16455700000000001</c:v>
                </c:pt>
                <c:pt idx="4114">
                  <c:v>0.16459699999999999</c:v>
                </c:pt>
                <c:pt idx="4115">
                  <c:v>0.16463700000000001</c:v>
                </c:pt>
                <c:pt idx="4116">
                  <c:v>0.16467699999999999</c:v>
                </c:pt>
                <c:pt idx="4117">
                  <c:v>0.164717</c:v>
                </c:pt>
                <c:pt idx="4118">
                  <c:v>0.16475699999999999</c:v>
                </c:pt>
                <c:pt idx="4119">
                  <c:v>0.164797</c:v>
                </c:pt>
                <c:pt idx="4120">
                  <c:v>0.16483700000000001</c:v>
                </c:pt>
                <c:pt idx="4121">
                  <c:v>0.164877</c:v>
                </c:pt>
                <c:pt idx="4122">
                  <c:v>0.16491700000000001</c:v>
                </c:pt>
                <c:pt idx="4123">
                  <c:v>0.16495699999999999</c:v>
                </c:pt>
                <c:pt idx="4124">
                  <c:v>0.164997</c:v>
                </c:pt>
                <c:pt idx="4125">
                  <c:v>0.16503699999999999</c:v>
                </c:pt>
                <c:pt idx="4126">
                  <c:v>0.165077</c:v>
                </c:pt>
                <c:pt idx="4127">
                  <c:v>0.16511700000000001</c:v>
                </c:pt>
                <c:pt idx="4128">
                  <c:v>0.165157</c:v>
                </c:pt>
                <c:pt idx="4129">
                  <c:v>0.16519700000000001</c:v>
                </c:pt>
                <c:pt idx="4130">
                  <c:v>0.16523699999999999</c:v>
                </c:pt>
                <c:pt idx="4131">
                  <c:v>0.16527700000000001</c:v>
                </c:pt>
                <c:pt idx="4132">
                  <c:v>0.16531699999999999</c:v>
                </c:pt>
                <c:pt idx="4133">
                  <c:v>0.165357</c:v>
                </c:pt>
                <c:pt idx="4134">
                  <c:v>0.16539699999999999</c:v>
                </c:pt>
                <c:pt idx="4135">
                  <c:v>0.165437</c:v>
                </c:pt>
                <c:pt idx="4136">
                  <c:v>0.16547700000000001</c:v>
                </c:pt>
                <c:pt idx="4137">
                  <c:v>0.165517</c:v>
                </c:pt>
                <c:pt idx="4138">
                  <c:v>0.16555700000000001</c:v>
                </c:pt>
                <c:pt idx="4139">
                  <c:v>0.16559699999999999</c:v>
                </c:pt>
                <c:pt idx="4140">
                  <c:v>0.16563700000000001</c:v>
                </c:pt>
                <c:pt idx="4141">
                  <c:v>0.16567699999999999</c:v>
                </c:pt>
                <c:pt idx="4142">
                  <c:v>0.165717</c:v>
                </c:pt>
                <c:pt idx="4143">
                  <c:v>0.16575699999999999</c:v>
                </c:pt>
                <c:pt idx="4144">
                  <c:v>0.165797</c:v>
                </c:pt>
                <c:pt idx="4145">
                  <c:v>0.16583700000000001</c:v>
                </c:pt>
                <c:pt idx="4146">
                  <c:v>0.165877</c:v>
                </c:pt>
                <c:pt idx="4147">
                  <c:v>0.16591700000000001</c:v>
                </c:pt>
                <c:pt idx="4148">
                  <c:v>0.16595699999999999</c:v>
                </c:pt>
                <c:pt idx="4149">
                  <c:v>0.16599700000000001</c:v>
                </c:pt>
                <c:pt idx="4150">
                  <c:v>0.16603699999999999</c:v>
                </c:pt>
                <c:pt idx="4151">
                  <c:v>0.166077</c:v>
                </c:pt>
                <c:pt idx="4152">
                  <c:v>0.16611699999999999</c:v>
                </c:pt>
                <c:pt idx="4153">
                  <c:v>0.166157</c:v>
                </c:pt>
                <c:pt idx="4154">
                  <c:v>0.16619700000000001</c:v>
                </c:pt>
                <c:pt idx="4155">
                  <c:v>0.166237</c:v>
                </c:pt>
                <c:pt idx="4156">
                  <c:v>0.16627700000000001</c:v>
                </c:pt>
                <c:pt idx="4157">
                  <c:v>0.16631699999999999</c:v>
                </c:pt>
                <c:pt idx="4158">
                  <c:v>0.166357</c:v>
                </c:pt>
                <c:pt idx="4159">
                  <c:v>0.16639699999999999</c:v>
                </c:pt>
                <c:pt idx="4160">
                  <c:v>0.166437</c:v>
                </c:pt>
                <c:pt idx="4161">
                  <c:v>0.16647700000000001</c:v>
                </c:pt>
                <c:pt idx="4162">
                  <c:v>0.166517</c:v>
                </c:pt>
                <c:pt idx="4163">
                  <c:v>0.16655700000000001</c:v>
                </c:pt>
                <c:pt idx="4164">
                  <c:v>0.166597</c:v>
                </c:pt>
                <c:pt idx="4165">
                  <c:v>0.16663700000000001</c:v>
                </c:pt>
                <c:pt idx="4166">
                  <c:v>0.16667699999999999</c:v>
                </c:pt>
                <c:pt idx="4167">
                  <c:v>0.166717</c:v>
                </c:pt>
                <c:pt idx="4168">
                  <c:v>0.16675699999999999</c:v>
                </c:pt>
                <c:pt idx="4169">
                  <c:v>0.166797</c:v>
                </c:pt>
                <c:pt idx="4170">
                  <c:v>0.16683700000000001</c:v>
                </c:pt>
                <c:pt idx="4171">
                  <c:v>0.166877</c:v>
                </c:pt>
                <c:pt idx="4172">
                  <c:v>0.16691700000000001</c:v>
                </c:pt>
                <c:pt idx="4173">
                  <c:v>0.16695699999999999</c:v>
                </c:pt>
                <c:pt idx="4174">
                  <c:v>0.16699700000000001</c:v>
                </c:pt>
                <c:pt idx="4175">
                  <c:v>0.16703699999999999</c:v>
                </c:pt>
                <c:pt idx="4176">
                  <c:v>0.167077</c:v>
                </c:pt>
                <c:pt idx="4177">
                  <c:v>0.16711699999999999</c:v>
                </c:pt>
                <c:pt idx="4178">
                  <c:v>0.167157</c:v>
                </c:pt>
                <c:pt idx="4179">
                  <c:v>0.16719700000000001</c:v>
                </c:pt>
                <c:pt idx="4180">
                  <c:v>0.167237</c:v>
                </c:pt>
                <c:pt idx="4181">
                  <c:v>0.16727700000000001</c:v>
                </c:pt>
                <c:pt idx="4182">
                  <c:v>0.16731699999999999</c:v>
                </c:pt>
                <c:pt idx="4183">
                  <c:v>0.16735700000000001</c:v>
                </c:pt>
                <c:pt idx="4184">
                  <c:v>0.16739699999999999</c:v>
                </c:pt>
                <c:pt idx="4185">
                  <c:v>0.167437</c:v>
                </c:pt>
                <c:pt idx="4186">
                  <c:v>0.16747699999999999</c:v>
                </c:pt>
                <c:pt idx="4187">
                  <c:v>0.167517</c:v>
                </c:pt>
                <c:pt idx="4188">
                  <c:v>0.16755700000000001</c:v>
                </c:pt>
                <c:pt idx="4189">
                  <c:v>0.167597</c:v>
                </c:pt>
                <c:pt idx="4190">
                  <c:v>0.16763700000000001</c:v>
                </c:pt>
                <c:pt idx="4191">
                  <c:v>0.16767699999999999</c:v>
                </c:pt>
                <c:pt idx="4192">
                  <c:v>0.167717</c:v>
                </c:pt>
                <c:pt idx="4193">
                  <c:v>0.16775699999999999</c:v>
                </c:pt>
                <c:pt idx="4194">
                  <c:v>0.167797</c:v>
                </c:pt>
                <c:pt idx="4195">
                  <c:v>0.16783699999999999</c:v>
                </c:pt>
                <c:pt idx="4196">
                  <c:v>0.167877</c:v>
                </c:pt>
                <c:pt idx="4197">
                  <c:v>0.16791700000000001</c:v>
                </c:pt>
                <c:pt idx="4198">
                  <c:v>0.167957</c:v>
                </c:pt>
                <c:pt idx="4199">
                  <c:v>0.16799700000000001</c:v>
                </c:pt>
                <c:pt idx="4200">
                  <c:v>0.16803699999999999</c:v>
                </c:pt>
                <c:pt idx="4201">
                  <c:v>0.168077</c:v>
                </c:pt>
                <c:pt idx="4202">
                  <c:v>0.16811699999999999</c:v>
                </c:pt>
                <c:pt idx="4203">
                  <c:v>0.168157</c:v>
                </c:pt>
                <c:pt idx="4204">
                  <c:v>0.16819700000000001</c:v>
                </c:pt>
                <c:pt idx="4205">
                  <c:v>0.168237</c:v>
                </c:pt>
                <c:pt idx="4206">
                  <c:v>0.16827700000000001</c:v>
                </c:pt>
                <c:pt idx="4207">
                  <c:v>0.16831699999999999</c:v>
                </c:pt>
                <c:pt idx="4208">
                  <c:v>0.16835700000000001</c:v>
                </c:pt>
                <c:pt idx="4209">
                  <c:v>0.16839699999999999</c:v>
                </c:pt>
                <c:pt idx="4210">
                  <c:v>0.168437</c:v>
                </c:pt>
                <c:pt idx="4211">
                  <c:v>0.16847699999999999</c:v>
                </c:pt>
                <c:pt idx="4212">
                  <c:v>0.168517</c:v>
                </c:pt>
                <c:pt idx="4213">
                  <c:v>0.16855700000000001</c:v>
                </c:pt>
                <c:pt idx="4214">
                  <c:v>0.168597</c:v>
                </c:pt>
                <c:pt idx="4215">
                  <c:v>0.16863700000000001</c:v>
                </c:pt>
                <c:pt idx="4216">
                  <c:v>0.16867699999999999</c:v>
                </c:pt>
                <c:pt idx="4217">
                  <c:v>0.16871700000000001</c:v>
                </c:pt>
                <c:pt idx="4218">
                  <c:v>0.16875699999999999</c:v>
                </c:pt>
                <c:pt idx="4219">
                  <c:v>0.168797</c:v>
                </c:pt>
                <c:pt idx="4220">
                  <c:v>0.16883699999999999</c:v>
                </c:pt>
                <c:pt idx="4221">
                  <c:v>0.168877</c:v>
                </c:pt>
                <c:pt idx="4222">
                  <c:v>0.16891700000000001</c:v>
                </c:pt>
                <c:pt idx="4223">
                  <c:v>0.168957</c:v>
                </c:pt>
                <c:pt idx="4224">
                  <c:v>0.16899700000000001</c:v>
                </c:pt>
                <c:pt idx="4225">
                  <c:v>0.16903699999999999</c:v>
                </c:pt>
                <c:pt idx="4226">
                  <c:v>0.16907700000000001</c:v>
                </c:pt>
                <c:pt idx="4227">
                  <c:v>0.16911699999999999</c:v>
                </c:pt>
                <c:pt idx="4228">
                  <c:v>0.169157</c:v>
                </c:pt>
                <c:pt idx="4229">
                  <c:v>0.16919699999999999</c:v>
                </c:pt>
                <c:pt idx="4230">
                  <c:v>0.169237</c:v>
                </c:pt>
                <c:pt idx="4231">
                  <c:v>0.16927700000000001</c:v>
                </c:pt>
                <c:pt idx="4232">
                  <c:v>0.169317</c:v>
                </c:pt>
                <c:pt idx="4233">
                  <c:v>0.16935700000000001</c:v>
                </c:pt>
                <c:pt idx="4234">
                  <c:v>0.16939699999999999</c:v>
                </c:pt>
                <c:pt idx="4235">
                  <c:v>0.169437</c:v>
                </c:pt>
                <c:pt idx="4236">
                  <c:v>0.16947699999999999</c:v>
                </c:pt>
                <c:pt idx="4237">
                  <c:v>0.169517</c:v>
                </c:pt>
                <c:pt idx="4238">
                  <c:v>0.16955700000000001</c:v>
                </c:pt>
                <c:pt idx="4239">
                  <c:v>0.169597</c:v>
                </c:pt>
                <c:pt idx="4240">
                  <c:v>0.16963700000000001</c:v>
                </c:pt>
                <c:pt idx="4241">
                  <c:v>0.16967699999999999</c:v>
                </c:pt>
                <c:pt idx="4242">
                  <c:v>0.16971700000000001</c:v>
                </c:pt>
                <c:pt idx="4243">
                  <c:v>0.16975699999999999</c:v>
                </c:pt>
                <c:pt idx="4244">
                  <c:v>0.169797</c:v>
                </c:pt>
                <c:pt idx="4245">
                  <c:v>0.16983699999999999</c:v>
                </c:pt>
                <c:pt idx="4246">
                  <c:v>0.169877</c:v>
                </c:pt>
                <c:pt idx="4247">
                  <c:v>0.16991700000000001</c:v>
                </c:pt>
                <c:pt idx="4248">
                  <c:v>0.169957</c:v>
                </c:pt>
                <c:pt idx="4249">
                  <c:v>0.16999700000000001</c:v>
                </c:pt>
                <c:pt idx="4250">
                  <c:v>0.17003699999999999</c:v>
                </c:pt>
                <c:pt idx="4251">
                  <c:v>0.17007700000000001</c:v>
                </c:pt>
                <c:pt idx="4252">
                  <c:v>0.17011699999999999</c:v>
                </c:pt>
                <c:pt idx="4253">
                  <c:v>0.170157</c:v>
                </c:pt>
                <c:pt idx="4254">
                  <c:v>0.17019699999999999</c:v>
                </c:pt>
                <c:pt idx="4255">
                  <c:v>0.170237</c:v>
                </c:pt>
                <c:pt idx="4256">
                  <c:v>0.17027700000000001</c:v>
                </c:pt>
                <c:pt idx="4257">
                  <c:v>0.170317</c:v>
                </c:pt>
                <c:pt idx="4258">
                  <c:v>0.17035700000000001</c:v>
                </c:pt>
                <c:pt idx="4259">
                  <c:v>0.17039699999999999</c:v>
                </c:pt>
                <c:pt idx="4260">
                  <c:v>0.17043700000000001</c:v>
                </c:pt>
                <c:pt idx="4261">
                  <c:v>0.17047699999999999</c:v>
                </c:pt>
                <c:pt idx="4262">
                  <c:v>0.170517</c:v>
                </c:pt>
                <c:pt idx="4263">
                  <c:v>0.17055699999999999</c:v>
                </c:pt>
                <c:pt idx="4264">
                  <c:v>0.170597</c:v>
                </c:pt>
                <c:pt idx="4265">
                  <c:v>0.17063700000000001</c:v>
                </c:pt>
                <c:pt idx="4266">
                  <c:v>0.170677</c:v>
                </c:pt>
                <c:pt idx="4267">
                  <c:v>0.17071700000000001</c:v>
                </c:pt>
                <c:pt idx="4268">
                  <c:v>0.17075699999999999</c:v>
                </c:pt>
                <c:pt idx="4269">
                  <c:v>0.170797</c:v>
                </c:pt>
                <c:pt idx="4270">
                  <c:v>0.17083699999999999</c:v>
                </c:pt>
                <c:pt idx="4271">
                  <c:v>0.170877</c:v>
                </c:pt>
                <c:pt idx="4272">
                  <c:v>0.17091700000000001</c:v>
                </c:pt>
                <c:pt idx="4273">
                  <c:v>0.170957</c:v>
                </c:pt>
                <c:pt idx="4274">
                  <c:v>0.17099700000000001</c:v>
                </c:pt>
                <c:pt idx="4275">
                  <c:v>0.17103699999999999</c:v>
                </c:pt>
                <c:pt idx="4276">
                  <c:v>0.17107700000000001</c:v>
                </c:pt>
                <c:pt idx="4277">
                  <c:v>0.17111699999999999</c:v>
                </c:pt>
                <c:pt idx="4278">
                  <c:v>0.171157</c:v>
                </c:pt>
                <c:pt idx="4279">
                  <c:v>0.17119699999999999</c:v>
                </c:pt>
                <c:pt idx="4280">
                  <c:v>0.171237</c:v>
                </c:pt>
                <c:pt idx="4281">
                  <c:v>0.17127700000000001</c:v>
                </c:pt>
                <c:pt idx="4282">
                  <c:v>0.171317</c:v>
                </c:pt>
                <c:pt idx="4283">
                  <c:v>0.17135700000000001</c:v>
                </c:pt>
                <c:pt idx="4284">
                  <c:v>0.17139699999999999</c:v>
                </c:pt>
                <c:pt idx="4285">
                  <c:v>0.17143700000000001</c:v>
                </c:pt>
                <c:pt idx="4286">
                  <c:v>0.17147699999999999</c:v>
                </c:pt>
                <c:pt idx="4287">
                  <c:v>0.171517</c:v>
                </c:pt>
                <c:pt idx="4288">
                  <c:v>0.17155699999999999</c:v>
                </c:pt>
                <c:pt idx="4289">
                  <c:v>0.171597</c:v>
                </c:pt>
                <c:pt idx="4290">
                  <c:v>0.17163700000000001</c:v>
                </c:pt>
                <c:pt idx="4291">
                  <c:v>0.171677</c:v>
                </c:pt>
                <c:pt idx="4292">
                  <c:v>0.17171700000000001</c:v>
                </c:pt>
                <c:pt idx="4293">
                  <c:v>0.17175699999999999</c:v>
                </c:pt>
                <c:pt idx="4294">
                  <c:v>0.17179700000000001</c:v>
                </c:pt>
                <c:pt idx="4295">
                  <c:v>0.17183699999999999</c:v>
                </c:pt>
                <c:pt idx="4296">
                  <c:v>0.171877</c:v>
                </c:pt>
                <c:pt idx="4297">
                  <c:v>0.17191699999999999</c:v>
                </c:pt>
                <c:pt idx="4298">
                  <c:v>0.171957</c:v>
                </c:pt>
                <c:pt idx="4299">
                  <c:v>0.17199700000000001</c:v>
                </c:pt>
                <c:pt idx="4300">
                  <c:v>0.172037</c:v>
                </c:pt>
                <c:pt idx="4301">
                  <c:v>0.17207700000000001</c:v>
                </c:pt>
                <c:pt idx="4302">
                  <c:v>0.17211699999999999</c:v>
                </c:pt>
                <c:pt idx="4303">
                  <c:v>0.172157</c:v>
                </c:pt>
                <c:pt idx="4304">
                  <c:v>0.17219699999999999</c:v>
                </c:pt>
                <c:pt idx="4305">
                  <c:v>0.172237</c:v>
                </c:pt>
                <c:pt idx="4306">
                  <c:v>0.17227700000000001</c:v>
                </c:pt>
                <c:pt idx="4307">
                  <c:v>0.172317</c:v>
                </c:pt>
                <c:pt idx="4308">
                  <c:v>0.17235700000000001</c:v>
                </c:pt>
                <c:pt idx="4309">
                  <c:v>0.17239699999999999</c:v>
                </c:pt>
                <c:pt idx="4310">
                  <c:v>0.17243700000000001</c:v>
                </c:pt>
                <c:pt idx="4311">
                  <c:v>0.17247699999999999</c:v>
                </c:pt>
                <c:pt idx="4312">
                  <c:v>0.172517</c:v>
                </c:pt>
                <c:pt idx="4313">
                  <c:v>0.17255699999999999</c:v>
                </c:pt>
                <c:pt idx="4314">
                  <c:v>0.172597</c:v>
                </c:pt>
                <c:pt idx="4315">
                  <c:v>0.17263700000000001</c:v>
                </c:pt>
                <c:pt idx="4316">
                  <c:v>0.172677</c:v>
                </c:pt>
                <c:pt idx="4317">
                  <c:v>0.17271700000000001</c:v>
                </c:pt>
                <c:pt idx="4318">
                  <c:v>0.17275699999999999</c:v>
                </c:pt>
                <c:pt idx="4319">
                  <c:v>0.17279700000000001</c:v>
                </c:pt>
                <c:pt idx="4320">
                  <c:v>0.17283699999999999</c:v>
                </c:pt>
                <c:pt idx="4321">
                  <c:v>0.172877</c:v>
                </c:pt>
                <c:pt idx="4322">
                  <c:v>0.17291699999999999</c:v>
                </c:pt>
                <c:pt idx="4323">
                  <c:v>0.172957</c:v>
                </c:pt>
                <c:pt idx="4324">
                  <c:v>0.17299700000000001</c:v>
                </c:pt>
                <c:pt idx="4325">
                  <c:v>0.173037</c:v>
                </c:pt>
                <c:pt idx="4326">
                  <c:v>0.17307700000000001</c:v>
                </c:pt>
                <c:pt idx="4327">
                  <c:v>0.17311699999999999</c:v>
                </c:pt>
                <c:pt idx="4328">
                  <c:v>0.17315700000000001</c:v>
                </c:pt>
                <c:pt idx="4329">
                  <c:v>0.17319699999999999</c:v>
                </c:pt>
                <c:pt idx="4330">
                  <c:v>0.173237</c:v>
                </c:pt>
                <c:pt idx="4331">
                  <c:v>0.17327699999999999</c:v>
                </c:pt>
                <c:pt idx="4332">
                  <c:v>0.173317</c:v>
                </c:pt>
                <c:pt idx="4333">
                  <c:v>0.17335700000000001</c:v>
                </c:pt>
                <c:pt idx="4334">
                  <c:v>0.173397</c:v>
                </c:pt>
                <c:pt idx="4335">
                  <c:v>0.17343700000000001</c:v>
                </c:pt>
                <c:pt idx="4336">
                  <c:v>0.17347699999999999</c:v>
                </c:pt>
                <c:pt idx="4337">
                  <c:v>0.173517</c:v>
                </c:pt>
                <c:pt idx="4338">
                  <c:v>0.17355699999999999</c:v>
                </c:pt>
                <c:pt idx="4339">
                  <c:v>0.173597</c:v>
                </c:pt>
                <c:pt idx="4340">
                  <c:v>0.17363700000000001</c:v>
                </c:pt>
                <c:pt idx="4341">
                  <c:v>0.173677</c:v>
                </c:pt>
                <c:pt idx="4342">
                  <c:v>0.17371700000000001</c:v>
                </c:pt>
                <c:pt idx="4343">
                  <c:v>0.17375699999999999</c:v>
                </c:pt>
                <c:pt idx="4344">
                  <c:v>0.17379700000000001</c:v>
                </c:pt>
                <c:pt idx="4345">
                  <c:v>0.17383699999999999</c:v>
                </c:pt>
                <c:pt idx="4346">
                  <c:v>0.173877</c:v>
                </c:pt>
                <c:pt idx="4347">
                  <c:v>0.17391699999999999</c:v>
                </c:pt>
                <c:pt idx="4348">
                  <c:v>0.173957</c:v>
                </c:pt>
                <c:pt idx="4349">
                  <c:v>0.17399700000000001</c:v>
                </c:pt>
                <c:pt idx="4350">
                  <c:v>0.174037</c:v>
                </c:pt>
                <c:pt idx="4351">
                  <c:v>0.17407700000000001</c:v>
                </c:pt>
                <c:pt idx="4352">
                  <c:v>0.17411699999999999</c:v>
                </c:pt>
                <c:pt idx="4353">
                  <c:v>0.17415700000000001</c:v>
                </c:pt>
                <c:pt idx="4354">
                  <c:v>0.17419699999999999</c:v>
                </c:pt>
                <c:pt idx="4355">
                  <c:v>0.174237</c:v>
                </c:pt>
                <c:pt idx="4356">
                  <c:v>0.17427699999999999</c:v>
                </c:pt>
                <c:pt idx="4357">
                  <c:v>0.174317</c:v>
                </c:pt>
                <c:pt idx="4358">
                  <c:v>0.17435700000000001</c:v>
                </c:pt>
                <c:pt idx="4359">
                  <c:v>0.174397</c:v>
                </c:pt>
                <c:pt idx="4360">
                  <c:v>0.17443700000000001</c:v>
                </c:pt>
                <c:pt idx="4361">
                  <c:v>0.17447699999999999</c:v>
                </c:pt>
                <c:pt idx="4362">
                  <c:v>0.17451700000000001</c:v>
                </c:pt>
                <c:pt idx="4363">
                  <c:v>0.17455699999999999</c:v>
                </c:pt>
                <c:pt idx="4364">
                  <c:v>0.174597</c:v>
                </c:pt>
                <c:pt idx="4365">
                  <c:v>0.17463699999999999</c:v>
                </c:pt>
                <c:pt idx="4366">
                  <c:v>0.174677</c:v>
                </c:pt>
                <c:pt idx="4367">
                  <c:v>0.17471700000000001</c:v>
                </c:pt>
                <c:pt idx="4368">
                  <c:v>0.174757</c:v>
                </c:pt>
                <c:pt idx="4369">
                  <c:v>0.17479700000000001</c:v>
                </c:pt>
                <c:pt idx="4370">
                  <c:v>0.17483699999999999</c:v>
                </c:pt>
                <c:pt idx="4371">
                  <c:v>0.174877</c:v>
                </c:pt>
                <c:pt idx="4372">
                  <c:v>0.17491699999999999</c:v>
                </c:pt>
                <c:pt idx="4373">
                  <c:v>0.174957</c:v>
                </c:pt>
                <c:pt idx="4374">
                  <c:v>0.17499700000000001</c:v>
                </c:pt>
                <c:pt idx="4375">
                  <c:v>0.175037</c:v>
                </c:pt>
                <c:pt idx="4376">
                  <c:v>0.17507700000000001</c:v>
                </c:pt>
                <c:pt idx="4377">
                  <c:v>0.17511699999999999</c:v>
                </c:pt>
                <c:pt idx="4378">
                  <c:v>0.17515700000000001</c:v>
                </c:pt>
                <c:pt idx="4379">
                  <c:v>0.17519699999999999</c:v>
                </c:pt>
                <c:pt idx="4380">
                  <c:v>0.175237</c:v>
                </c:pt>
                <c:pt idx="4381">
                  <c:v>0.17527699999999999</c:v>
                </c:pt>
                <c:pt idx="4382">
                  <c:v>0.175317</c:v>
                </c:pt>
                <c:pt idx="4383">
                  <c:v>0.17535700000000001</c:v>
                </c:pt>
                <c:pt idx="4384">
                  <c:v>0.175397</c:v>
                </c:pt>
                <c:pt idx="4385">
                  <c:v>0.17543700000000001</c:v>
                </c:pt>
                <c:pt idx="4386">
                  <c:v>0.17547699999999999</c:v>
                </c:pt>
                <c:pt idx="4387">
                  <c:v>0.17551700000000001</c:v>
                </c:pt>
                <c:pt idx="4388">
                  <c:v>0.17555699999999999</c:v>
                </c:pt>
                <c:pt idx="4389">
                  <c:v>0.175597</c:v>
                </c:pt>
                <c:pt idx="4390">
                  <c:v>0.17563699999999999</c:v>
                </c:pt>
                <c:pt idx="4391">
                  <c:v>0.175677</c:v>
                </c:pt>
                <c:pt idx="4392">
                  <c:v>0.17571700000000001</c:v>
                </c:pt>
                <c:pt idx="4393">
                  <c:v>0.175757</c:v>
                </c:pt>
                <c:pt idx="4394">
                  <c:v>0.17579700000000001</c:v>
                </c:pt>
                <c:pt idx="4395">
                  <c:v>0.17583699999999999</c:v>
                </c:pt>
                <c:pt idx="4396">
                  <c:v>0.17587700000000001</c:v>
                </c:pt>
                <c:pt idx="4397">
                  <c:v>0.17591699999999999</c:v>
                </c:pt>
                <c:pt idx="4398">
                  <c:v>0.175957</c:v>
                </c:pt>
                <c:pt idx="4399">
                  <c:v>0.17599699999999999</c:v>
                </c:pt>
                <c:pt idx="4400">
                  <c:v>0.176037</c:v>
                </c:pt>
                <c:pt idx="4401">
                  <c:v>0.17607700000000001</c:v>
                </c:pt>
                <c:pt idx="4402">
                  <c:v>0.176117</c:v>
                </c:pt>
                <c:pt idx="4403">
                  <c:v>0.17615700000000001</c:v>
                </c:pt>
                <c:pt idx="4404">
                  <c:v>0.17619699999999999</c:v>
                </c:pt>
                <c:pt idx="4405">
                  <c:v>0.176237</c:v>
                </c:pt>
                <c:pt idx="4406">
                  <c:v>0.17627699999999999</c:v>
                </c:pt>
                <c:pt idx="4407">
                  <c:v>0.176317</c:v>
                </c:pt>
                <c:pt idx="4408">
                  <c:v>0.17635700000000001</c:v>
                </c:pt>
                <c:pt idx="4409">
                  <c:v>0.176397</c:v>
                </c:pt>
                <c:pt idx="4410">
                  <c:v>0.17643700000000001</c:v>
                </c:pt>
                <c:pt idx="4411">
                  <c:v>0.17647699999999999</c:v>
                </c:pt>
                <c:pt idx="4412">
                  <c:v>0.17651700000000001</c:v>
                </c:pt>
                <c:pt idx="4413">
                  <c:v>0.17655699999999999</c:v>
                </c:pt>
                <c:pt idx="4414">
                  <c:v>0.176597</c:v>
                </c:pt>
                <c:pt idx="4415">
                  <c:v>0.17663699999999999</c:v>
                </c:pt>
                <c:pt idx="4416">
                  <c:v>0.176677</c:v>
                </c:pt>
                <c:pt idx="4417">
                  <c:v>0.17671700000000001</c:v>
                </c:pt>
                <c:pt idx="4418">
                  <c:v>0.176757</c:v>
                </c:pt>
                <c:pt idx="4419">
                  <c:v>0.17679700000000001</c:v>
                </c:pt>
                <c:pt idx="4420">
                  <c:v>0.17683699999999999</c:v>
                </c:pt>
                <c:pt idx="4421">
                  <c:v>0.17687700000000001</c:v>
                </c:pt>
                <c:pt idx="4422">
                  <c:v>0.17691699999999999</c:v>
                </c:pt>
                <c:pt idx="4423">
                  <c:v>0.176957</c:v>
                </c:pt>
                <c:pt idx="4424">
                  <c:v>0.17699699999999999</c:v>
                </c:pt>
                <c:pt idx="4425">
                  <c:v>0.177037</c:v>
                </c:pt>
                <c:pt idx="4426">
                  <c:v>0.17707700000000001</c:v>
                </c:pt>
                <c:pt idx="4427">
                  <c:v>0.177117</c:v>
                </c:pt>
                <c:pt idx="4428">
                  <c:v>0.17715700000000001</c:v>
                </c:pt>
                <c:pt idx="4429">
                  <c:v>0.17719699999999999</c:v>
                </c:pt>
                <c:pt idx="4430">
                  <c:v>0.17723700000000001</c:v>
                </c:pt>
                <c:pt idx="4431">
                  <c:v>0.17727699999999999</c:v>
                </c:pt>
                <c:pt idx="4432">
                  <c:v>0.177317</c:v>
                </c:pt>
                <c:pt idx="4433">
                  <c:v>0.17735699999999999</c:v>
                </c:pt>
                <c:pt idx="4434">
                  <c:v>0.177397</c:v>
                </c:pt>
                <c:pt idx="4435">
                  <c:v>0.17743700000000001</c:v>
                </c:pt>
                <c:pt idx="4436">
                  <c:v>0.177477</c:v>
                </c:pt>
                <c:pt idx="4437">
                  <c:v>0.17751700000000001</c:v>
                </c:pt>
                <c:pt idx="4438">
                  <c:v>0.17755699999999999</c:v>
                </c:pt>
                <c:pt idx="4439">
                  <c:v>0.177597</c:v>
                </c:pt>
                <c:pt idx="4440">
                  <c:v>0.17763699999999999</c:v>
                </c:pt>
                <c:pt idx="4441">
                  <c:v>0.177677</c:v>
                </c:pt>
                <c:pt idx="4442">
                  <c:v>0.17771700000000001</c:v>
                </c:pt>
                <c:pt idx="4443">
                  <c:v>0.177757</c:v>
                </c:pt>
                <c:pt idx="4444">
                  <c:v>0.17779700000000001</c:v>
                </c:pt>
                <c:pt idx="4445">
                  <c:v>0.177837</c:v>
                </c:pt>
                <c:pt idx="4446">
                  <c:v>0.17787700000000001</c:v>
                </c:pt>
                <c:pt idx="4447">
                  <c:v>0.17791699999999999</c:v>
                </c:pt>
                <c:pt idx="4448">
                  <c:v>0.177957</c:v>
                </c:pt>
                <c:pt idx="4449">
                  <c:v>0.17799699999999999</c:v>
                </c:pt>
                <c:pt idx="4450">
                  <c:v>0.178037</c:v>
                </c:pt>
                <c:pt idx="4451">
                  <c:v>0.17807700000000001</c:v>
                </c:pt>
                <c:pt idx="4452">
                  <c:v>0.178117</c:v>
                </c:pt>
                <c:pt idx="4453">
                  <c:v>0.17815700000000001</c:v>
                </c:pt>
                <c:pt idx="4454">
                  <c:v>0.17819699999999999</c:v>
                </c:pt>
                <c:pt idx="4455">
                  <c:v>0.17823700000000001</c:v>
                </c:pt>
                <c:pt idx="4456">
                  <c:v>0.17827699999999999</c:v>
                </c:pt>
                <c:pt idx="4457">
                  <c:v>0.178317</c:v>
                </c:pt>
                <c:pt idx="4458">
                  <c:v>0.17835699999999999</c:v>
                </c:pt>
                <c:pt idx="4459">
                  <c:v>0.178397</c:v>
                </c:pt>
                <c:pt idx="4460">
                  <c:v>0.17843700000000001</c:v>
                </c:pt>
                <c:pt idx="4461">
                  <c:v>0.178477</c:v>
                </c:pt>
                <c:pt idx="4462">
                  <c:v>0.17851700000000001</c:v>
                </c:pt>
                <c:pt idx="4463">
                  <c:v>0.17855699999999999</c:v>
                </c:pt>
                <c:pt idx="4464">
                  <c:v>0.17859700000000001</c:v>
                </c:pt>
                <c:pt idx="4465">
                  <c:v>0.17863699999999999</c:v>
                </c:pt>
                <c:pt idx="4466">
                  <c:v>0.178677</c:v>
                </c:pt>
                <c:pt idx="4467">
                  <c:v>0.17871699999999999</c:v>
                </c:pt>
                <c:pt idx="4468">
                  <c:v>0.178757</c:v>
                </c:pt>
                <c:pt idx="4469">
                  <c:v>0.17879700000000001</c:v>
                </c:pt>
                <c:pt idx="4470">
                  <c:v>0.178837</c:v>
                </c:pt>
                <c:pt idx="4471">
                  <c:v>0.17887700000000001</c:v>
                </c:pt>
                <c:pt idx="4472">
                  <c:v>0.17891699999999999</c:v>
                </c:pt>
                <c:pt idx="4473">
                  <c:v>0.178957</c:v>
                </c:pt>
                <c:pt idx="4474">
                  <c:v>0.17899699999999999</c:v>
                </c:pt>
                <c:pt idx="4475">
                  <c:v>0.179037</c:v>
                </c:pt>
                <c:pt idx="4476">
                  <c:v>0.17907699999999999</c:v>
                </c:pt>
                <c:pt idx="4477">
                  <c:v>0.179117</c:v>
                </c:pt>
                <c:pt idx="4478">
                  <c:v>0.17915700000000001</c:v>
                </c:pt>
                <c:pt idx="4479">
                  <c:v>0.179197</c:v>
                </c:pt>
                <c:pt idx="4480">
                  <c:v>0.17923700000000001</c:v>
                </c:pt>
                <c:pt idx="4481">
                  <c:v>0.17927699999999999</c:v>
                </c:pt>
                <c:pt idx="4482">
                  <c:v>0.179317</c:v>
                </c:pt>
                <c:pt idx="4483">
                  <c:v>0.17935699999999999</c:v>
                </c:pt>
                <c:pt idx="4484">
                  <c:v>0.179397</c:v>
                </c:pt>
                <c:pt idx="4485">
                  <c:v>0.17943700000000001</c:v>
                </c:pt>
                <c:pt idx="4486">
                  <c:v>0.179477</c:v>
                </c:pt>
                <c:pt idx="4487">
                  <c:v>0.17951700000000001</c:v>
                </c:pt>
                <c:pt idx="4488">
                  <c:v>0.17955699999999999</c:v>
                </c:pt>
                <c:pt idx="4489">
                  <c:v>0.17959700000000001</c:v>
                </c:pt>
                <c:pt idx="4490">
                  <c:v>0.17963699999999999</c:v>
                </c:pt>
                <c:pt idx="4491">
                  <c:v>0.179677</c:v>
                </c:pt>
                <c:pt idx="4492">
                  <c:v>0.17971699999999999</c:v>
                </c:pt>
                <c:pt idx="4493">
                  <c:v>0.179757</c:v>
                </c:pt>
                <c:pt idx="4494">
                  <c:v>0.17979700000000001</c:v>
                </c:pt>
                <c:pt idx="4495">
                  <c:v>0.179837</c:v>
                </c:pt>
                <c:pt idx="4496">
                  <c:v>0.17987700000000001</c:v>
                </c:pt>
                <c:pt idx="4497">
                  <c:v>0.17991699999999999</c:v>
                </c:pt>
                <c:pt idx="4498">
                  <c:v>0.17995700000000001</c:v>
                </c:pt>
                <c:pt idx="4499">
                  <c:v>0.17999699999999999</c:v>
                </c:pt>
                <c:pt idx="4500">
                  <c:v>0.180037</c:v>
                </c:pt>
                <c:pt idx="4501">
                  <c:v>0.18007699999999999</c:v>
                </c:pt>
                <c:pt idx="4502">
                  <c:v>0.180117</c:v>
                </c:pt>
                <c:pt idx="4503">
                  <c:v>0.18015700000000001</c:v>
                </c:pt>
                <c:pt idx="4504">
                  <c:v>0.180197</c:v>
                </c:pt>
                <c:pt idx="4505">
                  <c:v>0.18023700000000001</c:v>
                </c:pt>
                <c:pt idx="4506">
                  <c:v>0.18027699999999999</c:v>
                </c:pt>
                <c:pt idx="4507">
                  <c:v>0.18031700000000001</c:v>
                </c:pt>
                <c:pt idx="4508">
                  <c:v>0.18035699999999999</c:v>
                </c:pt>
                <c:pt idx="4509">
                  <c:v>0.180397</c:v>
                </c:pt>
                <c:pt idx="4510">
                  <c:v>0.18043699999999999</c:v>
                </c:pt>
                <c:pt idx="4511">
                  <c:v>0.180477</c:v>
                </c:pt>
                <c:pt idx="4512">
                  <c:v>0.18051700000000001</c:v>
                </c:pt>
                <c:pt idx="4513">
                  <c:v>0.180557</c:v>
                </c:pt>
                <c:pt idx="4514">
                  <c:v>0.18059700000000001</c:v>
                </c:pt>
                <c:pt idx="4515">
                  <c:v>0.18063699999999999</c:v>
                </c:pt>
                <c:pt idx="4516">
                  <c:v>0.180677</c:v>
                </c:pt>
                <c:pt idx="4517">
                  <c:v>0.18071699999999999</c:v>
                </c:pt>
                <c:pt idx="4518">
                  <c:v>0.180757</c:v>
                </c:pt>
                <c:pt idx="4519">
                  <c:v>0.18079700000000001</c:v>
                </c:pt>
                <c:pt idx="4520">
                  <c:v>0.180837</c:v>
                </c:pt>
                <c:pt idx="4521">
                  <c:v>0.18087700000000001</c:v>
                </c:pt>
                <c:pt idx="4522">
                  <c:v>0.18091699999999999</c:v>
                </c:pt>
                <c:pt idx="4523">
                  <c:v>0.18095700000000001</c:v>
                </c:pt>
                <c:pt idx="4524">
                  <c:v>0.18099699999999999</c:v>
                </c:pt>
                <c:pt idx="4525">
                  <c:v>0.181037</c:v>
                </c:pt>
                <c:pt idx="4526">
                  <c:v>0.18107699999999999</c:v>
                </c:pt>
                <c:pt idx="4527">
                  <c:v>0.181117</c:v>
                </c:pt>
                <c:pt idx="4528">
                  <c:v>0.18115700000000001</c:v>
                </c:pt>
                <c:pt idx="4529">
                  <c:v>0.181197</c:v>
                </c:pt>
                <c:pt idx="4530">
                  <c:v>0.18123700000000001</c:v>
                </c:pt>
                <c:pt idx="4531">
                  <c:v>0.18127699999999999</c:v>
                </c:pt>
                <c:pt idx="4532">
                  <c:v>0.18131700000000001</c:v>
                </c:pt>
                <c:pt idx="4533">
                  <c:v>0.18135699999999999</c:v>
                </c:pt>
                <c:pt idx="4534">
                  <c:v>0.181397</c:v>
                </c:pt>
                <c:pt idx="4535">
                  <c:v>0.18143699999999999</c:v>
                </c:pt>
                <c:pt idx="4536">
                  <c:v>0.181477</c:v>
                </c:pt>
                <c:pt idx="4537">
                  <c:v>0.18151700000000001</c:v>
                </c:pt>
                <c:pt idx="4538">
                  <c:v>0.181557</c:v>
                </c:pt>
                <c:pt idx="4539">
                  <c:v>0.18159700000000001</c:v>
                </c:pt>
                <c:pt idx="4540">
                  <c:v>0.18163699999999999</c:v>
                </c:pt>
                <c:pt idx="4541">
                  <c:v>0.18167700000000001</c:v>
                </c:pt>
                <c:pt idx="4542">
                  <c:v>0.18171699999999999</c:v>
                </c:pt>
                <c:pt idx="4543">
                  <c:v>0.181757</c:v>
                </c:pt>
                <c:pt idx="4544">
                  <c:v>0.18179699999999999</c:v>
                </c:pt>
                <c:pt idx="4545">
                  <c:v>0.181837</c:v>
                </c:pt>
                <c:pt idx="4546">
                  <c:v>0.18187700000000001</c:v>
                </c:pt>
                <c:pt idx="4547">
                  <c:v>0.181917</c:v>
                </c:pt>
                <c:pt idx="4548">
                  <c:v>0.18195700000000001</c:v>
                </c:pt>
                <c:pt idx="4549">
                  <c:v>0.18199699999999999</c:v>
                </c:pt>
                <c:pt idx="4550">
                  <c:v>0.182037</c:v>
                </c:pt>
                <c:pt idx="4551">
                  <c:v>0.18207699999999999</c:v>
                </c:pt>
                <c:pt idx="4552">
                  <c:v>0.182117</c:v>
                </c:pt>
                <c:pt idx="4553">
                  <c:v>0.18215700000000001</c:v>
                </c:pt>
                <c:pt idx="4554">
                  <c:v>0.182197</c:v>
                </c:pt>
                <c:pt idx="4555">
                  <c:v>0.18223700000000001</c:v>
                </c:pt>
                <c:pt idx="4556">
                  <c:v>0.18227699999999999</c:v>
                </c:pt>
                <c:pt idx="4557">
                  <c:v>0.18231700000000001</c:v>
                </c:pt>
                <c:pt idx="4558">
                  <c:v>0.18235699999999999</c:v>
                </c:pt>
                <c:pt idx="4559">
                  <c:v>0.182397</c:v>
                </c:pt>
                <c:pt idx="4560">
                  <c:v>0.18243699999999999</c:v>
                </c:pt>
                <c:pt idx="4561">
                  <c:v>0.182477</c:v>
                </c:pt>
                <c:pt idx="4562">
                  <c:v>0.18251700000000001</c:v>
                </c:pt>
                <c:pt idx="4563">
                  <c:v>0.182557</c:v>
                </c:pt>
                <c:pt idx="4564">
                  <c:v>0.18259700000000001</c:v>
                </c:pt>
                <c:pt idx="4565">
                  <c:v>0.18263699999999999</c:v>
                </c:pt>
                <c:pt idx="4566">
                  <c:v>0.18267700000000001</c:v>
                </c:pt>
                <c:pt idx="4567">
                  <c:v>0.18271699999999999</c:v>
                </c:pt>
                <c:pt idx="4568">
                  <c:v>0.182757</c:v>
                </c:pt>
                <c:pt idx="4569">
                  <c:v>0.18279699999999999</c:v>
                </c:pt>
                <c:pt idx="4570">
                  <c:v>0.182837</c:v>
                </c:pt>
                <c:pt idx="4571">
                  <c:v>0.18287700000000001</c:v>
                </c:pt>
                <c:pt idx="4572">
                  <c:v>0.182917</c:v>
                </c:pt>
                <c:pt idx="4573">
                  <c:v>0.18295700000000001</c:v>
                </c:pt>
                <c:pt idx="4574">
                  <c:v>0.18299699999999999</c:v>
                </c:pt>
                <c:pt idx="4575">
                  <c:v>0.18303700000000001</c:v>
                </c:pt>
                <c:pt idx="4576">
                  <c:v>0.18307699999999999</c:v>
                </c:pt>
                <c:pt idx="4577">
                  <c:v>0.183117</c:v>
                </c:pt>
                <c:pt idx="4578">
                  <c:v>0.18315699999999999</c:v>
                </c:pt>
                <c:pt idx="4579">
                  <c:v>0.183197</c:v>
                </c:pt>
                <c:pt idx="4580">
                  <c:v>0.18323700000000001</c:v>
                </c:pt>
                <c:pt idx="4581">
                  <c:v>0.183277</c:v>
                </c:pt>
                <c:pt idx="4582">
                  <c:v>0.18331700000000001</c:v>
                </c:pt>
                <c:pt idx="4583">
                  <c:v>0.18335699999999999</c:v>
                </c:pt>
                <c:pt idx="4584">
                  <c:v>0.183397</c:v>
                </c:pt>
                <c:pt idx="4585">
                  <c:v>0.18343699999999999</c:v>
                </c:pt>
                <c:pt idx="4586">
                  <c:v>0.183477</c:v>
                </c:pt>
                <c:pt idx="4587">
                  <c:v>0.18351700000000001</c:v>
                </c:pt>
                <c:pt idx="4588">
                  <c:v>0.183557</c:v>
                </c:pt>
                <c:pt idx="4589">
                  <c:v>0.18359700000000001</c:v>
                </c:pt>
                <c:pt idx="4590">
                  <c:v>0.18363699999999999</c:v>
                </c:pt>
                <c:pt idx="4591">
                  <c:v>0.18367700000000001</c:v>
                </c:pt>
                <c:pt idx="4592">
                  <c:v>0.18371699999999999</c:v>
                </c:pt>
                <c:pt idx="4593">
                  <c:v>0.183757</c:v>
                </c:pt>
                <c:pt idx="4594">
                  <c:v>0.18379699999999999</c:v>
                </c:pt>
                <c:pt idx="4595">
                  <c:v>0.183837</c:v>
                </c:pt>
                <c:pt idx="4596">
                  <c:v>0.18387700000000001</c:v>
                </c:pt>
                <c:pt idx="4597">
                  <c:v>0.183917</c:v>
                </c:pt>
                <c:pt idx="4598">
                  <c:v>0.18395700000000001</c:v>
                </c:pt>
                <c:pt idx="4599">
                  <c:v>0.18399699999999999</c:v>
                </c:pt>
                <c:pt idx="4600">
                  <c:v>0.18403700000000001</c:v>
                </c:pt>
                <c:pt idx="4601">
                  <c:v>0.18407699999999999</c:v>
                </c:pt>
                <c:pt idx="4602">
                  <c:v>0.184117</c:v>
                </c:pt>
                <c:pt idx="4603">
                  <c:v>0.18415699999999999</c:v>
                </c:pt>
                <c:pt idx="4604">
                  <c:v>0.184197</c:v>
                </c:pt>
                <c:pt idx="4605">
                  <c:v>0.18423700000000001</c:v>
                </c:pt>
                <c:pt idx="4606">
                  <c:v>0.184277</c:v>
                </c:pt>
                <c:pt idx="4607">
                  <c:v>0.18431700000000001</c:v>
                </c:pt>
                <c:pt idx="4608">
                  <c:v>0.18435699999999999</c:v>
                </c:pt>
                <c:pt idx="4609">
                  <c:v>0.18439700000000001</c:v>
                </c:pt>
                <c:pt idx="4610">
                  <c:v>0.18443699999999999</c:v>
                </c:pt>
                <c:pt idx="4611">
                  <c:v>0.184477</c:v>
                </c:pt>
                <c:pt idx="4612">
                  <c:v>0.18451699999999999</c:v>
                </c:pt>
                <c:pt idx="4613">
                  <c:v>0.184557</c:v>
                </c:pt>
                <c:pt idx="4614">
                  <c:v>0.18459700000000001</c:v>
                </c:pt>
                <c:pt idx="4615">
                  <c:v>0.184637</c:v>
                </c:pt>
                <c:pt idx="4616">
                  <c:v>0.18467700000000001</c:v>
                </c:pt>
                <c:pt idx="4617">
                  <c:v>0.18471699999999999</c:v>
                </c:pt>
                <c:pt idx="4618">
                  <c:v>0.184757</c:v>
                </c:pt>
                <c:pt idx="4619">
                  <c:v>0.18479699999999999</c:v>
                </c:pt>
                <c:pt idx="4620">
                  <c:v>0.184837</c:v>
                </c:pt>
                <c:pt idx="4621">
                  <c:v>0.18487700000000001</c:v>
                </c:pt>
                <c:pt idx="4622">
                  <c:v>0.184917</c:v>
                </c:pt>
                <c:pt idx="4623">
                  <c:v>0.18495700000000001</c:v>
                </c:pt>
                <c:pt idx="4624">
                  <c:v>0.18499699999999999</c:v>
                </c:pt>
                <c:pt idx="4625">
                  <c:v>0.18503700000000001</c:v>
                </c:pt>
                <c:pt idx="4626">
                  <c:v>0.18507699999999999</c:v>
                </c:pt>
                <c:pt idx="4627">
                  <c:v>0.185117</c:v>
                </c:pt>
                <c:pt idx="4628">
                  <c:v>0.18515699999999999</c:v>
                </c:pt>
                <c:pt idx="4629">
                  <c:v>0.185197</c:v>
                </c:pt>
                <c:pt idx="4630">
                  <c:v>0.18523700000000001</c:v>
                </c:pt>
                <c:pt idx="4631">
                  <c:v>0.185277</c:v>
                </c:pt>
                <c:pt idx="4632">
                  <c:v>0.18531700000000001</c:v>
                </c:pt>
                <c:pt idx="4633">
                  <c:v>0.18535699999999999</c:v>
                </c:pt>
                <c:pt idx="4634">
                  <c:v>0.18539700000000001</c:v>
                </c:pt>
                <c:pt idx="4635">
                  <c:v>0.18543699999999999</c:v>
                </c:pt>
                <c:pt idx="4636">
                  <c:v>0.185477</c:v>
                </c:pt>
                <c:pt idx="4637">
                  <c:v>0.18551699999999999</c:v>
                </c:pt>
                <c:pt idx="4638">
                  <c:v>0.185557</c:v>
                </c:pt>
                <c:pt idx="4639">
                  <c:v>0.18559700000000001</c:v>
                </c:pt>
                <c:pt idx="4640">
                  <c:v>0.185637</c:v>
                </c:pt>
                <c:pt idx="4641">
                  <c:v>0.18567700000000001</c:v>
                </c:pt>
                <c:pt idx="4642">
                  <c:v>0.18571699999999999</c:v>
                </c:pt>
                <c:pt idx="4643">
                  <c:v>0.18575700000000001</c:v>
                </c:pt>
                <c:pt idx="4644">
                  <c:v>0.18579699999999999</c:v>
                </c:pt>
                <c:pt idx="4645">
                  <c:v>0.185837</c:v>
                </c:pt>
                <c:pt idx="4646">
                  <c:v>0.18587699999999999</c:v>
                </c:pt>
                <c:pt idx="4647">
                  <c:v>0.185917</c:v>
                </c:pt>
                <c:pt idx="4648">
                  <c:v>0.18595700000000001</c:v>
                </c:pt>
                <c:pt idx="4649">
                  <c:v>0.185997</c:v>
                </c:pt>
                <c:pt idx="4650">
                  <c:v>0.18603700000000001</c:v>
                </c:pt>
                <c:pt idx="4651">
                  <c:v>0.18607699999999999</c:v>
                </c:pt>
                <c:pt idx="4652">
                  <c:v>0.186117</c:v>
                </c:pt>
                <c:pt idx="4653">
                  <c:v>0.18615699999999999</c:v>
                </c:pt>
                <c:pt idx="4654">
                  <c:v>0.186197</c:v>
                </c:pt>
                <c:pt idx="4655">
                  <c:v>0.18623700000000001</c:v>
                </c:pt>
                <c:pt idx="4656">
                  <c:v>0.186277</c:v>
                </c:pt>
                <c:pt idx="4657">
                  <c:v>0.18631700000000001</c:v>
                </c:pt>
                <c:pt idx="4658">
                  <c:v>0.18635699999999999</c:v>
                </c:pt>
                <c:pt idx="4659">
                  <c:v>0.18639700000000001</c:v>
                </c:pt>
                <c:pt idx="4660">
                  <c:v>0.18643699999999999</c:v>
                </c:pt>
                <c:pt idx="4661">
                  <c:v>0.186477</c:v>
                </c:pt>
                <c:pt idx="4662">
                  <c:v>0.18651699999999999</c:v>
                </c:pt>
                <c:pt idx="4663">
                  <c:v>0.186557</c:v>
                </c:pt>
                <c:pt idx="4664">
                  <c:v>0.18659700000000001</c:v>
                </c:pt>
                <c:pt idx="4665">
                  <c:v>0.186637</c:v>
                </c:pt>
                <c:pt idx="4666">
                  <c:v>0.18667700000000001</c:v>
                </c:pt>
                <c:pt idx="4667">
                  <c:v>0.18671699999999999</c:v>
                </c:pt>
                <c:pt idx="4668">
                  <c:v>0.18675700000000001</c:v>
                </c:pt>
                <c:pt idx="4669">
                  <c:v>0.18679699999999999</c:v>
                </c:pt>
                <c:pt idx="4670">
                  <c:v>0.186837</c:v>
                </c:pt>
                <c:pt idx="4671">
                  <c:v>0.18687699999999999</c:v>
                </c:pt>
                <c:pt idx="4672">
                  <c:v>0.186917</c:v>
                </c:pt>
                <c:pt idx="4673">
                  <c:v>0.18695700000000001</c:v>
                </c:pt>
                <c:pt idx="4674">
                  <c:v>0.186997</c:v>
                </c:pt>
                <c:pt idx="4675">
                  <c:v>0.18703700000000001</c:v>
                </c:pt>
                <c:pt idx="4676">
                  <c:v>0.18707699999999999</c:v>
                </c:pt>
                <c:pt idx="4677">
                  <c:v>0.18711700000000001</c:v>
                </c:pt>
                <c:pt idx="4678">
                  <c:v>0.18715699999999999</c:v>
                </c:pt>
                <c:pt idx="4679">
                  <c:v>0.187197</c:v>
                </c:pt>
                <c:pt idx="4680">
                  <c:v>0.18723699999999999</c:v>
                </c:pt>
                <c:pt idx="4681">
                  <c:v>0.187277</c:v>
                </c:pt>
                <c:pt idx="4682">
                  <c:v>0.18731700000000001</c:v>
                </c:pt>
                <c:pt idx="4683">
                  <c:v>0.187357</c:v>
                </c:pt>
                <c:pt idx="4684">
                  <c:v>0.18739700000000001</c:v>
                </c:pt>
                <c:pt idx="4685">
                  <c:v>0.18743699999999999</c:v>
                </c:pt>
                <c:pt idx="4686">
                  <c:v>0.187477</c:v>
                </c:pt>
                <c:pt idx="4687">
                  <c:v>0.18751699999999999</c:v>
                </c:pt>
                <c:pt idx="4688">
                  <c:v>0.187557</c:v>
                </c:pt>
                <c:pt idx="4689">
                  <c:v>0.18759700000000001</c:v>
                </c:pt>
                <c:pt idx="4690">
                  <c:v>0.187637</c:v>
                </c:pt>
                <c:pt idx="4691">
                  <c:v>0.18767700000000001</c:v>
                </c:pt>
                <c:pt idx="4692">
                  <c:v>0.18771699999999999</c:v>
                </c:pt>
                <c:pt idx="4693">
                  <c:v>0.18775700000000001</c:v>
                </c:pt>
                <c:pt idx="4694">
                  <c:v>0.18779699999999999</c:v>
                </c:pt>
                <c:pt idx="4695">
                  <c:v>0.187837</c:v>
                </c:pt>
                <c:pt idx="4696">
                  <c:v>0.18787699999999999</c:v>
                </c:pt>
                <c:pt idx="4697">
                  <c:v>0.187917</c:v>
                </c:pt>
                <c:pt idx="4698">
                  <c:v>0.18795700000000001</c:v>
                </c:pt>
                <c:pt idx="4699">
                  <c:v>0.187997</c:v>
                </c:pt>
                <c:pt idx="4700">
                  <c:v>0.18803700000000001</c:v>
                </c:pt>
                <c:pt idx="4701">
                  <c:v>0.18807699999999999</c:v>
                </c:pt>
                <c:pt idx="4702">
                  <c:v>0.18811700000000001</c:v>
                </c:pt>
                <c:pt idx="4703">
                  <c:v>0.18815699999999999</c:v>
                </c:pt>
                <c:pt idx="4704">
                  <c:v>0.188197</c:v>
                </c:pt>
                <c:pt idx="4705">
                  <c:v>0.18823699999999999</c:v>
                </c:pt>
                <c:pt idx="4706">
                  <c:v>0.188277</c:v>
                </c:pt>
                <c:pt idx="4707">
                  <c:v>0.18831700000000001</c:v>
                </c:pt>
                <c:pt idx="4708">
                  <c:v>0.188357</c:v>
                </c:pt>
                <c:pt idx="4709">
                  <c:v>0.18839700000000001</c:v>
                </c:pt>
                <c:pt idx="4710">
                  <c:v>0.18843699999999999</c:v>
                </c:pt>
                <c:pt idx="4711">
                  <c:v>0.18847700000000001</c:v>
                </c:pt>
                <c:pt idx="4712">
                  <c:v>0.18851699999999999</c:v>
                </c:pt>
                <c:pt idx="4713">
                  <c:v>0.188557</c:v>
                </c:pt>
                <c:pt idx="4714">
                  <c:v>0.18859699999999999</c:v>
                </c:pt>
                <c:pt idx="4715">
                  <c:v>0.188637</c:v>
                </c:pt>
                <c:pt idx="4716">
                  <c:v>0.18867700000000001</c:v>
                </c:pt>
                <c:pt idx="4717">
                  <c:v>0.188717</c:v>
                </c:pt>
                <c:pt idx="4718">
                  <c:v>0.18875700000000001</c:v>
                </c:pt>
                <c:pt idx="4719">
                  <c:v>0.18879699999999999</c:v>
                </c:pt>
                <c:pt idx="4720">
                  <c:v>0.188837</c:v>
                </c:pt>
                <c:pt idx="4721">
                  <c:v>0.18887699999999999</c:v>
                </c:pt>
                <c:pt idx="4722">
                  <c:v>0.188917</c:v>
                </c:pt>
                <c:pt idx="4723">
                  <c:v>0.18895700000000001</c:v>
                </c:pt>
                <c:pt idx="4724">
                  <c:v>0.188997</c:v>
                </c:pt>
                <c:pt idx="4725">
                  <c:v>0.18903700000000001</c:v>
                </c:pt>
                <c:pt idx="4726">
                  <c:v>0.189077</c:v>
                </c:pt>
                <c:pt idx="4727">
                  <c:v>0.18911700000000001</c:v>
                </c:pt>
                <c:pt idx="4728">
                  <c:v>0.18915699999999999</c:v>
                </c:pt>
              </c:numCache>
            </c:numRef>
          </c:xVal>
          <c:yVal>
            <c:numRef>
              <c:f>'[2]Base Node Reaction'!$H$4:$H$5460</c:f>
              <c:numCache>
                <c:formatCode>General</c:formatCode>
                <c:ptCount val="5457"/>
                <c:pt idx="0">
                  <c:v>-1.3137399999999992</c:v>
                </c:pt>
                <c:pt idx="1">
                  <c:v>-2.6275699999999986</c:v>
                </c:pt>
                <c:pt idx="2">
                  <c:v>-3.9412100000000017</c:v>
                </c:pt>
                <c:pt idx="3">
                  <c:v>-5.2550500000000007</c:v>
                </c:pt>
                <c:pt idx="4">
                  <c:v>-6.5687819999999997</c:v>
                </c:pt>
                <c:pt idx="5">
                  <c:v>-7.882617999999999</c:v>
                </c:pt>
                <c:pt idx="6">
                  <c:v>-9.1962544000000008</c:v>
                </c:pt>
                <c:pt idx="7">
                  <c:v>-10.510092</c:v>
                </c:pt>
                <c:pt idx="8">
                  <c:v>-11.823831</c:v>
                </c:pt>
                <c:pt idx="9">
                  <c:v>-13.137599999999999</c:v>
                </c:pt>
                <c:pt idx="10">
                  <c:v>-14.45135</c:v>
                </c:pt>
                <c:pt idx="11">
                  <c:v>-15.765090000000001</c:v>
                </c:pt>
                <c:pt idx="12">
                  <c:v>-17.077390000000001</c:v>
                </c:pt>
                <c:pt idx="13">
                  <c:v>-18.348289999999999</c:v>
                </c:pt>
                <c:pt idx="14">
                  <c:v>-19.619299999999999</c:v>
                </c:pt>
                <c:pt idx="15">
                  <c:v>-20.8903</c:v>
                </c:pt>
                <c:pt idx="16">
                  <c:v>-22.16132</c:v>
                </c:pt>
                <c:pt idx="17">
                  <c:v>-23.43224</c:v>
                </c:pt>
                <c:pt idx="18">
                  <c:v>-24.70327</c:v>
                </c:pt>
                <c:pt idx="19">
                  <c:v>-25.974209999999999</c:v>
                </c:pt>
                <c:pt idx="20">
                  <c:v>-27.245229999999999</c:v>
                </c:pt>
                <c:pt idx="21">
                  <c:v>-28.516179999999999</c:v>
                </c:pt>
                <c:pt idx="22">
                  <c:v>-29.78725</c:v>
                </c:pt>
                <c:pt idx="23">
                  <c:v>-31.058219999999999</c:v>
                </c:pt>
                <c:pt idx="24">
                  <c:v>-32.329099999999997</c:v>
                </c:pt>
                <c:pt idx="25">
                  <c:v>-33.600189999999998</c:v>
                </c:pt>
                <c:pt idx="26">
                  <c:v>-34.871169999999999</c:v>
                </c:pt>
                <c:pt idx="27">
                  <c:v>-36.14217</c:v>
                </c:pt>
                <c:pt idx="28">
                  <c:v>-37.405370000000005</c:v>
                </c:pt>
                <c:pt idx="29">
                  <c:v>-38.630290000000002</c:v>
                </c:pt>
                <c:pt idx="30">
                  <c:v>-39.855119999999999</c:v>
                </c:pt>
                <c:pt idx="31">
                  <c:v>-41.080069999999999</c:v>
                </c:pt>
                <c:pt idx="32">
                  <c:v>-42.305019999999999</c:v>
                </c:pt>
                <c:pt idx="33">
                  <c:v>-43.529910000000001</c:v>
                </c:pt>
                <c:pt idx="34">
                  <c:v>-44.754779999999997</c:v>
                </c:pt>
                <c:pt idx="35">
                  <c:v>-45.979750000000003</c:v>
                </c:pt>
                <c:pt idx="36">
                  <c:v>-47.204630000000002</c:v>
                </c:pt>
                <c:pt idx="37">
                  <c:v>-48.42962</c:v>
                </c:pt>
                <c:pt idx="38">
                  <c:v>-49.6389</c:v>
                </c:pt>
                <c:pt idx="39">
                  <c:v>-50.829949999999997</c:v>
                </c:pt>
                <c:pt idx="40">
                  <c:v>-52.021000000000001</c:v>
                </c:pt>
                <c:pt idx="41">
                  <c:v>-53.211963999999995</c:v>
                </c:pt>
                <c:pt idx="42">
                  <c:v>-54.403033000000001</c:v>
                </c:pt>
                <c:pt idx="43">
                  <c:v>-55.594008000000002</c:v>
                </c:pt>
                <c:pt idx="44">
                  <c:v>-56.785089400000004</c:v>
                </c:pt>
                <c:pt idx="45">
                  <c:v>-57.960629000000012</c:v>
                </c:pt>
                <c:pt idx="46">
                  <c:v>-59.108257999999999</c:v>
                </c:pt>
                <c:pt idx="47">
                  <c:v>-60.255994000000001</c:v>
                </c:pt>
                <c:pt idx="48">
                  <c:v>-61.373722999999998</c:v>
                </c:pt>
                <c:pt idx="49">
                  <c:v>-62.46555</c:v>
                </c:pt>
                <c:pt idx="50">
                  <c:v>-63.557279999999992</c:v>
                </c:pt>
                <c:pt idx="51">
                  <c:v>-64.649010000000004</c:v>
                </c:pt>
                <c:pt idx="52">
                  <c:v>-65.740759999999995</c:v>
                </c:pt>
                <c:pt idx="53">
                  <c:v>-66.832610000000003</c:v>
                </c:pt>
                <c:pt idx="54">
                  <c:v>-67.924270000000007</c:v>
                </c:pt>
                <c:pt idx="55">
                  <c:v>-69.016040000000004</c:v>
                </c:pt>
                <c:pt idx="56">
                  <c:v>-70.107820000000004</c:v>
                </c:pt>
                <c:pt idx="57">
                  <c:v>-71.1995</c:v>
                </c:pt>
                <c:pt idx="58">
                  <c:v>-72.291290000000004</c:v>
                </c:pt>
                <c:pt idx="59">
                  <c:v>-73.383189999999999</c:v>
                </c:pt>
                <c:pt idx="60">
                  <c:v>-74.474890000000002</c:v>
                </c:pt>
                <c:pt idx="61">
                  <c:v>-75.56671</c:v>
                </c:pt>
                <c:pt idx="62">
                  <c:v>-76.658429999999996</c:v>
                </c:pt>
                <c:pt idx="63">
                  <c:v>-77.750160000000008</c:v>
                </c:pt>
                <c:pt idx="64">
                  <c:v>-78.757220000000004</c:v>
                </c:pt>
                <c:pt idx="65">
                  <c:v>-79.727139999999991</c:v>
                </c:pt>
                <c:pt idx="66">
                  <c:v>-80.69735</c:v>
                </c:pt>
                <c:pt idx="67">
                  <c:v>-81.667280000000005</c:v>
                </c:pt>
                <c:pt idx="68">
                  <c:v>-82.637299999999996</c:v>
                </c:pt>
                <c:pt idx="69">
                  <c:v>-83.607339999999994</c:v>
                </c:pt>
                <c:pt idx="70">
                  <c:v>-84.577380000000005</c:v>
                </c:pt>
                <c:pt idx="71">
                  <c:v>-85.547420000000002</c:v>
                </c:pt>
                <c:pt idx="72">
                  <c:v>-86.517570000000006</c:v>
                </c:pt>
                <c:pt idx="73">
                  <c:v>-87.487619999999993</c:v>
                </c:pt>
                <c:pt idx="74">
                  <c:v>-88.457680000000011</c:v>
                </c:pt>
                <c:pt idx="75">
                  <c:v>-89.427639999999997</c:v>
                </c:pt>
                <c:pt idx="76">
                  <c:v>-90.397710000000004</c:v>
                </c:pt>
                <c:pt idx="77">
                  <c:v>-91.367789999999999</c:v>
                </c:pt>
                <c:pt idx="78">
                  <c:v>-92.337870000000009</c:v>
                </c:pt>
                <c:pt idx="79">
                  <c:v>-93.307950000000005</c:v>
                </c:pt>
                <c:pt idx="80">
                  <c:v>-94.278040000000004</c:v>
                </c:pt>
                <c:pt idx="81">
                  <c:v>-95.24803</c:v>
                </c:pt>
                <c:pt idx="82">
                  <c:v>-96.218130000000002</c:v>
                </c:pt>
                <c:pt idx="83">
                  <c:v>-97.188240000000008</c:v>
                </c:pt>
                <c:pt idx="84">
                  <c:v>-98.15825000000001</c:v>
                </c:pt>
                <c:pt idx="85">
                  <c:v>-99.128460000000004</c:v>
                </c:pt>
                <c:pt idx="86">
                  <c:v>-100.09848000000001</c:v>
                </c:pt>
                <c:pt idx="87">
                  <c:v>-101.03546</c:v>
                </c:pt>
                <c:pt idx="88">
                  <c:v>-101.96451999999999</c:v>
                </c:pt>
                <c:pt idx="89">
                  <c:v>-102.89368</c:v>
                </c:pt>
                <c:pt idx="90">
                  <c:v>-103.82274000000001</c:v>
                </c:pt>
                <c:pt idx="91">
                  <c:v>-104.75191000000001</c:v>
                </c:pt>
                <c:pt idx="92">
                  <c:v>-105.68107999999999</c:v>
                </c:pt>
                <c:pt idx="93">
                  <c:v>-106.61016000000001</c:v>
                </c:pt>
                <c:pt idx="94">
                  <c:v>-107.53925000000001</c:v>
                </c:pt>
                <c:pt idx="95">
                  <c:v>-108.46843</c:v>
                </c:pt>
                <c:pt idx="96">
                  <c:v>-109.39752000000001</c:v>
                </c:pt>
                <c:pt idx="97">
                  <c:v>-110.32672000000001</c:v>
                </c:pt>
                <c:pt idx="98">
                  <c:v>-111.25582</c:v>
                </c:pt>
                <c:pt idx="99">
                  <c:v>-112.18492999999999</c:v>
                </c:pt>
                <c:pt idx="100">
                  <c:v>-113.11404</c:v>
                </c:pt>
                <c:pt idx="101">
                  <c:v>-114.04325</c:v>
                </c:pt>
                <c:pt idx="102">
                  <c:v>-114.95454999999998</c:v>
                </c:pt>
                <c:pt idx="103">
                  <c:v>-115.86331999999999</c:v>
                </c:pt>
                <c:pt idx="104">
                  <c:v>-116.77198999999999</c:v>
                </c:pt>
                <c:pt idx="105">
                  <c:v>-117.68066999999999</c:v>
                </c:pt>
                <c:pt idx="106">
                  <c:v>-118.58935</c:v>
                </c:pt>
                <c:pt idx="107">
                  <c:v>-119.49813999999999</c:v>
                </c:pt>
                <c:pt idx="108">
                  <c:v>-120.40683</c:v>
                </c:pt>
                <c:pt idx="109">
                  <c:v>-121.31553000000001</c:v>
                </c:pt>
                <c:pt idx="110">
                  <c:v>-122.22423000000001</c:v>
                </c:pt>
                <c:pt idx="111">
                  <c:v>-123.13293999999999</c:v>
                </c:pt>
                <c:pt idx="112">
                  <c:v>-124.04166000000001</c:v>
                </c:pt>
                <c:pt idx="113">
                  <c:v>-124.94298000000001</c:v>
                </c:pt>
                <c:pt idx="114">
                  <c:v>-125.83015999999999</c:v>
                </c:pt>
                <c:pt idx="115">
                  <c:v>-126.71764</c:v>
                </c:pt>
                <c:pt idx="116">
                  <c:v>-127.60244</c:v>
                </c:pt>
                <c:pt idx="117">
                  <c:v>-128.48508000000001</c:v>
                </c:pt>
                <c:pt idx="118">
                  <c:v>-129.36780999999999</c:v>
                </c:pt>
                <c:pt idx="119">
                  <c:v>-130.25036</c:v>
                </c:pt>
                <c:pt idx="120">
                  <c:v>-131.11144999999999</c:v>
                </c:pt>
                <c:pt idx="121">
                  <c:v>-131.96656000000002</c:v>
                </c:pt>
                <c:pt idx="122">
                  <c:v>-132.82177999999999</c:v>
                </c:pt>
                <c:pt idx="123">
                  <c:v>-133.67701</c:v>
                </c:pt>
                <c:pt idx="124">
                  <c:v>-134.53214</c:v>
                </c:pt>
                <c:pt idx="125">
                  <c:v>-135.38727</c:v>
                </c:pt>
                <c:pt idx="126">
                  <c:v>-136.24250999999998</c:v>
                </c:pt>
                <c:pt idx="127">
                  <c:v>-137.09764999999999</c:v>
                </c:pt>
                <c:pt idx="128">
                  <c:v>-137.9529</c:v>
                </c:pt>
                <c:pt idx="129">
                  <c:v>-138.79557</c:v>
                </c:pt>
                <c:pt idx="130">
                  <c:v>-139.62567000000001</c:v>
                </c:pt>
                <c:pt idx="131">
                  <c:v>-140.45578</c:v>
                </c:pt>
                <c:pt idx="132">
                  <c:v>-141.28587999999999</c:v>
                </c:pt>
                <c:pt idx="133">
                  <c:v>-142.11590000000001</c:v>
                </c:pt>
                <c:pt idx="134">
                  <c:v>-142.9425</c:v>
                </c:pt>
                <c:pt idx="135">
                  <c:v>-143.75835999999998</c:v>
                </c:pt>
                <c:pt idx="136">
                  <c:v>-144.57401999999999</c:v>
                </c:pt>
                <c:pt idx="137">
                  <c:v>-145.38989000000001</c:v>
                </c:pt>
                <c:pt idx="138">
                  <c:v>-146.20565999999999</c:v>
                </c:pt>
                <c:pt idx="139">
                  <c:v>-147.02134000000001</c:v>
                </c:pt>
                <c:pt idx="140">
                  <c:v>-147.83712</c:v>
                </c:pt>
                <c:pt idx="141">
                  <c:v>-148.65289999999999</c:v>
                </c:pt>
                <c:pt idx="142">
                  <c:v>-149.46859000000001</c:v>
                </c:pt>
                <c:pt idx="143">
                  <c:v>-150.28439</c:v>
                </c:pt>
                <c:pt idx="144">
                  <c:v>-151.10017999999999</c:v>
                </c:pt>
                <c:pt idx="145">
                  <c:v>-151.91597999999999</c:v>
                </c:pt>
                <c:pt idx="146">
                  <c:v>-152.73178999999999</c:v>
                </c:pt>
                <c:pt idx="147">
                  <c:v>-153.54138</c:v>
                </c:pt>
                <c:pt idx="148">
                  <c:v>-154.33699000000001</c:v>
                </c:pt>
                <c:pt idx="149">
                  <c:v>-155.1327</c:v>
                </c:pt>
                <c:pt idx="150">
                  <c:v>-155.92841999999999</c:v>
                </c:pt>
                <c:pt idx="151">
                  <c:v>-156.72404</c:v>
                </c:pt>
                <c:pt idx="152">
                  <c:v>-157.51966999999999</c:v>
                </c:pt>
                <c:pt idx="153">
                  <c:v>-158.31539000000001</c:v>
                </c:pt>
                <c:pt idx="154">
                  <c:v>-159.11103</c:v>
                </c:pt>
                <c:pt idx="155">
                  <c:v>-159.90675999999999</c:v>
                </c:pt>
                <c:pt idx="156">
                  <c:v>-160.70240999999999</c:v>
                </c:pt>
                <c:pt idx="157">
                  <c:v>-161.49825000000001</c:v>
                </c:pt>
                <c:pt idx="158">
                  <c:v>-162.29390000000001</c:v>
                </c:pt>
                <c:pt idx="159">
                  <c:v>-163.08965000000001</c:v>
                </c:pt>
                <c:pt idx="160">
                  <c:v>-163.88531</c:v>
                </c:pt>
                <c:pt idx="161">
                  <c:v>-164.68107000000001</c:v>
                </c:pt>
                <c:pt idx="162">
                  <c:v>-165.47663</c:v>
                </c:pt>
                <c:pt idx="163">
                  <c:v>-166.27239999999998</c:v>
                </c:pt>
                <c:pt idx="164">
                  <c:v>-167.06817999999998</c:v>
                </c:pt>
                <c:pt idx="165">
                  <c:v>-167.86394999999999</c:v>
                </c:pt>
                <c:pt idx="166">
                  <c:v>-168.65962999999999</c:v>
                </c:pt>
                <c:pt idx="167">
                  <c:v>-169.45532</c:v>
                </c:pt>
                <c:pt idx="168">
                  <c:v>-170.25101000000001</c:v>
                </c:pt>
                <c:pt idx="169">
                  <c:v>-171.04680000000002</c:v>
                </c:pt>
                <c:pt idx="170">
                  <c:v>-171.84249</c:v>
                </c:pt>
                <c:pt idx="171">
                  <c:v>-172.63830000000002</c:v>
                </c:pt>
                <c:pt idx="172">
                  <c:v>-173.434</c:v>
                </c:pt>
                <c:pt idx="173">
                  <c:v>-174.22980999999999</c:v>
                </c:pt>
                <c:pt idx="174">
                  <c:v>-175.03119000000001</c:v>
                </c:pt>
                <c:pt idx="175">
                  <c:v>-175.83340000000001</c:v>
                </c:pt>
                <c:pt idx="176">
                  <c:v>-176.63551000000001</c:v>
                </c:pt>
                <c:pt idx="177">
                  <c:v>-177.43781999999999</c:v>
                </c:pt>
                <c:pt idx="178">
                  <c:v>-178.23993999999999</c:v>
                </c:pt>
                <c:pt idx="179">
                  <c:v>-179.04216</c:v>
                </c:pt>
                <c:pt idx="180">
                  <c:v>-179.84438999999998</c:v>
                </c:pt>
                <c:pt idx="181">
                  <c:v>-180.64661999999998</c:v>
                </c:pt>
                <c:pt idx="182">
                  <c:v>-181.44886000000002</c:v>
                </c:pt>
                <c:pt idx="183">
                  <c:v>-182.25110000000001</c:v>
                </c:pt>
                <c:pt idx="184">
                  <c:v>-183.05323999999999</c:v>
                </c:pt>
                <c:pt idx="185">
                  <c:v>-183.85549</c:v>
                </c:pt>
                <c:pt idx="186">
                  <c:v>-184.65773999999999</c:v>
                </c:pt>
                <c:pt idx="187">
                  <c:v>-185.45999999999998</c:v>
                </c:pt>
                <c:pt idx="188">
                  <c:v>-186.26215999999999</c:v>
                </c:pt>
                <c:pt idx="189">
                  <c:v>-187.06442000000001</c:v>
                </c:pt>
                <c:pt idx="190">
                  <c:v>-187.86658999999997</c:v>
                </c:pt>
                <c:pt idx="191">
                  <c:v>-188.66886</c:v>
                </c:pt>
                <c:pt idx="192">
                  <c:v>-189.47124000000002</c:v>
                </c:pt>
                <c:pt idx="193">
                  <c:v>-190.27342000000002</c:v>
                </c:pt>
                <c:pt idx="194">
                  <c:v>-191.07560000000001</c:v>
                </c:pt>
                <c:pt idx="195">
                  <c:v>-191.87788999999998</c:v>
                </c:pt>
                <c:pt idx="196">
                  <c:v>-192.68008000000003</c:v>
                </c:pt>
                <c:pt idx="197">
                  <c:v>-193.48238000000001</c:v>
                </c:pt>
                <c:pt idx="198">
                  <c:v>-194.28467999999998</c:v>
                </c:pt>
                <c:pt idx="199">
                  <c:v>-195.08688999999998</c:v>
                </c:pt>
                <c:pt idx="200">
                  <c:v>-195.88919000000001</c:v>
                </c:pt>
                <c:pt idx="201">
                  <c:v>-196.69150999999999</c:v>
                </c:pt>
                <c:pt idx="202">
                  <c:v>-197.49372</c:v>
                </c:pt>
                <c:pt idx="203">
                  <c:v>-198.29595</c:v>
                </c:pt>
                <c:pt idx="204">
                  <c:v>-199.09827000000001</c:v>
                </c:pt>
                <c:pt idx="205">
                  <c:v>-199.9006</c:v>
                </c:pt>
                <c:pt idx="206">
                  <c:v>-200.70283000000001</c:v>
                </c:pt>
                <c:pt idx="207">
                  <c:v>-201.50516999999999</c:v>
                </c:pt>
                <c:pt idx="208">
                  <c:v>-202.30741</c:v>
                </c:pt>
                <c:pt idx="209">
                  <c:v>-203.10966000000002</c:v>
                </c:pt>
                <c:pt idx="210">
                  <c:v>-203.91201000000001</c:v>
                </c:pt>
                <c:pt idx="211">
                  <c:v>-204.71426</c:v>
                </c:pt>
                <c:pt idx="212">
                  <c:v>-205.51662000000002</c:v>
                </c:pt>
                <c:pt idx="213">
                  <c:v>-206.31888000000001</c:v>
                </c:pt>
                <c:pt idx="214">
                  <c:v>-207.11031</c:v>
                </c:pt>
                <c:pt idx="215">
                  <c:v>-207.89328999999998</c:v>
                </c:pt>
                <c:pt idx="216">
                  <c:v>-208.67637999999999</c:v>
                </c:pt>
                <c:pt idx="217">
                  <c:v>-209.45926000000003</c:v>
                </c:pt>
                <c:pt idx="218">
                  <c:v>-210.24225999999999</c:v>
                </c:pt>
                <c:pt idx="219">
                  <c:v>-211.02535</c:v>
                </c:pt>
                <c:pt idx="220">
                  <c:v>-211.80844999999999</c:v>
                </c:pt>
                <c:pt idx="221">
                  <c:v>-212.59145999999998</c:v>
                </c:pt>
                <c:pt idx="222">
                  <c:v>-213.37446</c:v>
                </c:pt>
                <c:pt idx="223">
                  <c:v>-214.15756999999999</c:v>
                </c:pt>
                <c:pt idx="224">
                  <c:v>-214.94058999999999</c:v>
                </c:pt>
                <c:pt idx="225">
                  <c:v>-215.72361000000001</c:v>
                </c:pt>
                <c:pt idx="226">
                  <c:v>-216.50673</c:v>
                </c:pt>
                <c:pt idx="227">
                  <c:v>-217.28966000000003</c:v>
                </c:pt>
                <c:pt idx="228">
                  <c:v>-218.07279</c:v>
                </c:pt>
                <c:pt idx="229">
                  <c:v>-218.85581999999999</c:v>
                </c:pt>
                <c:pt idx="230">
                  <c:v>-219.63896</c:v>
                </c:pt>
                <c:pt idx="231">
                  <c:v>-220.42200000000003</c:v>
                </c:pt>
                <c:pt idx="232">
                  <c:v>-221.20504</c:v>
                </c:pt>
                <c:pt idx="233">
                  <c:v>-221.98819000000003</c:v>
                </c:pt>
                <c:pt idx="234">
                  <c:v>-222.77125000000001</c:v>
                </c:pt>
                <c:pt idx="235">
                  <c:v>-223.55430000000001</c:v>
                </c:pt>
                <c:pt idx="236">
                  <c:v>-224.33746000000002</c:v>
                </c:pt>
                <c:pt idx="237">
                  <c:v>-225.12053</c:v>
                </c:pt>
                <c:pt idx="238">
                  <c:v>-225.90360000000001</c:v>
                </c:pt>
                <c:pt idx="239">
                  <c:v>-226.68656999999999</c:v>
                </c:pt>
                <c:pt idx="240">
                  <c:v>-227.46964</c:v>
                </c:pt>
                <c:pt idx="241">
                  <c:v>-228.25281999999999</c:v>
                </c:pt>
                <c:pt idx="242">
                  <c:v>-229.03591</c:v>
                </c:pt>
                <c:pt idx="243">
                  <c:v>-229.81898999999999</c:v>
                </c:pt>
                <c:pt idx="244">
                  <c:v>-230.60209</c:v>
                </c:pt>
                <c:pt idx="245">
                  <c:v>-231.38527999999999</c:v>
                </c:pt>
                <c:pt idx="246">
                  <c:v>-232.16828000000001</c:v>
                </c:pt>
                <c:pt idx="247">
                  <c:v>-232.95148</c:v>
                </c:pt>
                <c:pt idx="248">
                  <c:v>-233.73459</c:v>
                </c:pt>
                <c:pt idx="249">
                  <c:v>-234.51769999999999</c:v>
                </c:pt>
                <c:pt idx="250">
                  <c:v>-235.30091000000002</c:v>
                </c:pt>
                <c:pt idx="251">
                  <c:v>-236.08393000000001</c:v>
                </c:pt>
                <c:pt idx="252">
                  <c:v>-236.86705000000001</c:v>
                </c:pt>
                <c:pt idx="253">
                  <c:v>-237.65018000000003</c:v>
                </c:pt>
                <c:pt idx="254">
                  <c:v>-238.4333</c:v>
                </c:pt>
                <c:pt idx="255">
                  <c:v>-239.21634</c:v>
                </c:pt>
                <c:pt idx="256">
                  <c:v>-239.99947</c:v>
                </c:pt>
                <c:pt idx="257">
                  <c:v>-240.78271000000001</c:v>
                </c:pt>
                <c:pt idx="258">
                  <c:v>-241.56585999999999</c:v>
                </c:pt>
                <c:pt idx="259">
                  <c:v>-242.34900999999996</c:v>
                </c:pt>
                <c:pt idx="260">
                  <c:v>-243.13205999999997</c:v>
                </c:pt>
                <c:pt idx="261">
                  <c:v>-243.91521</c:v>
                </c:pt>
                <c:pt idx="262">
                  <c:v>-244.69837000000001</c:v>
                </c:pt>
                <c:pt idx="263">
                  <c:v>-245.48154</c:v>
                </c:pt>
                <c:pt idx="264">
                  <c:v>-246.2647</c:v>
                </c:pt>
                <c:pt idx="265">
                  <c:v>-247.04796999999999</c:v>
                </c:pt>
                <c:pt idx="266">
                  <c:v>-247.83105000000003</c:v>
                </c:pt>
                <c:pt idx="267">
                  <c:v>-248.61423000000002</c:v>
                </c:pt>
                <c:pt idx="268">
                  <c:v>-249.39741000000001</c:v>
                </c:pt>
                <c:pt idx="269">
                  <c:v>-250.18059999999997</c:v>
                </c:pt>
                <c:pt idx="270">
                  <c:v>-250.96378999999999</c:v>
                </c:pt>
                <c:pt idx="271">
                  <c:v>-251.74698000000001</c:v>
                </c:pt>
                <c:pt idx="272">
                  <c:v>-252.53008</c:v>
                </c:pt>
                <c:pt idx="273">
                  <c:v>-253.31327999999999</c:v>
                </c:pt>
                <c:pt idx="274">
                  <c:v>-254.09647999999999</c:v>
                </c:pt>
                <c:pt idx="275">
                  <c:v>-254.87969000000001</c:v>
                </c:pt>
                <c:pt idx="276">
                  <c:v>-255.66281000000001</c:v>
                </c:pt>
                <c:pt idx="277">
                  <c:v>-256.44612000000001</c:v>
                </c:pt>
                <c:pt idx="278">
                  <c:v>-257.22924</c:v>
                </c:pt>
                <c:pt idx="279">
                  <c:v>-258.01247000000001</c:v>
                </c:pt>
                <c:pt idx="280">
                  <c:v>-258.79569000000004</c:v>
                </c:pt>
                <c:pt idx="281">
                  <c:v>-259.57883000000004</c:v>
                </c:pt>
                <c:pt idx="282">
                  <c:v>-260.36196000000001</c:v>
                </c:pt>
                <c:pt idx="283">
                  <c:v>-261.14510000000001</c:v>
                </c:pt>
                <c:pt idx="284">
                  <c:v>-261.92844000000002</c:v>
                </c:pt>
                <c:pt idx="285">
                  <c:v>-262.71148999999997</c:v>
                </c:pt>
                <c:pt idx="286">
                  <c:v>-263.49493999999999</c:v>
                </c:pt>
                <c:pt idx="287">
                  <c:v>-264.27839999999998</c:v>
                </c:pt>
                <c:pt idx="288">
                  <c:v>-265.06075999999996</c:v>
                </c:pt>
                <c:pt idx="289">
                  <c:v>-265.84462000000002</c:v>
                </c:pt>
                <c:pt idx="290">
                  <c:v>-266.62738000000002</c:v>
                </c:pt>
                <c:pt idx="291">
                  <c:v>-267.41115000000002</c:v>
                </c:pt>
                <c:pt idx="292">
                  <c:v>-268.19493</c:v>
                </c:pt>
                <c:pt idx="293">
                  <c:v>-268.97669999999999</c:v>
                </c:pt>
                <c:pt idx="294">
                  <c:v>-269.76049</c:v>
                </c:pt>
                <c:pt idx="295">
                  <c:v>-270.54426999999998</c:v>
                </c:pt>
                <c:pt idx="296">
                  <c:v>-271.32706000000002</c:v>
                </c:pt>
                <c:pt idx="297">
                  <c:v>-272.11085000000003</c:v>
                </c:pt>
                <c:pt idx="298">
                  <c:v>-272.89364999999998</c:v>
                </c:pt>
                <c:pt idx="299">
                  <c:v>-273.67644999999999</c:v>
                </c:pt>
                <c:pt idx="300">
                  <c:v>-274.46024999999997</c:v>
                </c:pt>
                <c:pt idx="301">
                  <c:v>-275.24405999999999</c:v>
                </c:pt>
                <c:pt idx="302">
                  <c:v>-276.02587</c:v>
                </c:pt>
                <c:pt idx="303">
                  <c:v>-276.80968999999999</c:v>
                </c:pt>
                <c:pt idx="304">
                  <c:v>-277.59351000000004</c:v>
                </c:pt>
                <c:pt idx="305">
                  <c:v>-278.37633</c:v>
                </c:pt>
                <c:pt idx="306">
                  <c:v>-279.15915999999999</c:v>
                </c:pt>
                <c:pt idx="307">
                  <c:v>-279.94299000000001</c:v>
                </c:pt>
                <c:pt idx="308">
                  <c:v>-280.72681999999998</c:v>
                </c:pt>
                <c:pt idx="309">
                  <c:v>-281.50966</c:v>
                </c:pt>
                <c:pt idx="310">
                  <c:v>-282.29249999999996</c:v>
                </c:pt>
                <c:pt idx="311">
                  <c:v>-283.07634999999999</c:v>
                </c:pt>
                <c:pt idx="312">
                  <c:v>-283.85919999999999</c:v>
                </c:pt>
                <c:pt idx="313">
                  <c:v>-284.64305000000002</c:v>
                </c:pt>
                <c:pt idx="314">
                  <c:v>-285.42585000000003</c:v>
                </c:pt>
                <c:pt idx="315">
                  <c:v>-286.20704000000001</c:v>
                </c:pt>
                <c:pt idx="316">
                  <c:v>-286.98822999999999</c:v>
                </c:pt>
                <c:pt idx="317">
                  <c:v>-287.77042</c:v>
                </c:pt>
                <c:pt idx="318">
                  <c:v>-288.55061999999998</c:v>
                </c:pt>
                <c:pt idx="319">
                  <c:v>-289.33181999999999</c:v>
                </c:pt>
                <c:pt idx="320">
                  <c:v>-290.11411999999996</c:v>
                </c:pt>
                <c:pt idx="321">
                  <c:v>-290.89533</c:v>
                </c:pt>
                <c:pt idx="322">
                  <c:v>-291.67754000000002</c:v>
                </c:pt>
                <c:pt idx="323">
                  <c:v>-292.45875999999998</c:v>
                </c:pt>
                <c:pt idx="324">
                  <c:v>-293.23997000000003</c:v>
                </c:pt>
                <c:pt idx="325">
                  <c:v>-294.0222</c:v>
                </c:pt>
                <c:pt idx="326">
                  <c:v>-294.80342999999999</c:v>
                </c:pt>
                <c:pt idx="327">
                  <c:v>-295.58465999999999</c:v>
                </c:pt>
                <c:pt idx="328">
                  <c:v>-296.36689000000001</c:v>
                </c:pt>
                <c:pt idx="329">
                  <c:v>-297.14812999999998</c:v>
                </c:pt>
                <c:pt idx="330">
                  <c:v>-297.93047000000001</c:v>
                </c:pt>
                <c:pt idx="331">
                  <c:v>-298.71172000000001</c:v>
                </c:pt>
                <c:pt idx="332">
                  <c:v>-299.49297000000001</c:v>
                </c:pt>
                <c:pt idx="333">
                  <c:v>-300.27422000000001</c:v>
                </c:pt>
                <c:pt idx="334">
                  <c:v>-301.05547999999999</c:v>
                </c:pt>
                <c:pt idx="335">
                  <c:v>-301.83774000000005</c:v>
                </c:pt>
                <c:pt idx="336">
                  <c:v>-302.61901</c:v>
                </c:pt>
                <c:pt idx="337">
                  <c:v>-303.40128000000004</c:v>
                </c:pt>
                <c:pt idx="338">
                  <c:v>-304.18254999999999</c:v>
                </c:pt>
                <c:pt idx="339">
                  <c:v>-304.96393</c:v>
                </c:pt>
                <c:pt idx="340">
                  <c:v>-305.74621000000002</c:v>
                </c:pt>
                <c:pt idx="341">
                  <c:v>-306.52749</c:v>
                </c:pt>
                <c:pt idx="342">
                  <c:v>-307.30977999999999</c:v>
                </c:pt>
                <c:pt idx="343">
                  <c:v>-308.09006999999997</c:v>
                </c:pt>
                <c:pt idx="344">
                  <c:v>-308.87137000000001</c:v>
                </c:pt>
                <c:pt idx="345">
                  <c:v>-309.65367000000003</c:v>
                </c:pt>
                <c:pt idx="346">
                  <c:v>-310.43497000000002</c:v>
                </c:pt>
                <c:pt idx="347">
                  <c:v>-311.21737999999999</c:v>
                </c:pt>
                <c:pt idx="348">
                  <c:v>-311.99869000000001</c:v>
                </c:pt>
                <c:pt idx="349">
                  <c:v>-312.78101000000004</c:v>
                </c:pt>
                <c:pt idx="350">
                  <c:v>-313.56232999999997</c:v>
                </c:pt>
                <c:pt idx="351">
                  <c:v>-314.34365000000003</c:v>
                </c:pt>
                <c:pt idx="352">
                  <c:v>-315.12498000000005</c:v>
                </c:pt>
                <c:pt idx="353">
                  <c:v>-315.90630999999996</c:v>
                </c:pt>
                <c:pt idx="354">
                  <c:v>-316.69132000000002</c:v>
                </c:pt>
                <c:pt idx="355">
                  <c:v>-317.48039</c:v>
                </c:pt>
                <c:pt idx="356">
                  <c:v>-318.26846</c:v>
                </c:pt>
                <c:pt idx="357">
                  <c:v>-319.05754000000002</c:v>
                </c:pt>
                <c:pt idx="358">
                  <c:v>-319.84571999999997</c:v>
                </c:pt>
                <c:pt idx="359">
                  <c:v>-320.63480000000004</c:v>
                </c:pt>
                <c:pt idx="360">
                  <c:v>-321.42388000000005</c:v>
                </c:pt>
                <c:pt idx="361">
                  <c:v>-322.21197000000001</c:v>
                </c:pt>
                <c:pt idx="362">
                  <c:v>-323.00107000000003</c:v>
                </c:pt>
                <c:pt idx="363">
                  <c:v>-323.78917000000001</c:v>
                </c:pt>
                <c:pt idx="364">
                  <c:v>-324.57936999999998</c:v>
                </c:pt>
                <c:pt idx="365">
                  <c:v>-325.36748</c:v>
                </c:pt>
                <c:pt idx="366">
                  <c:v>-326.15658999999999</c:v>
                </c:pt>
                <c:pt idx="367">
                  <c:v>-326.94569999999999</c:v>
                </c:pt>
                <c:pt idx="368">
                  <c:v>-327.73381999999998</c:v>
                </c:pt>
                <c:pt idx="369">
                  <c:v>-328.52303999999998</c:v>
                </c:pt>
                <c:pt idx="370">
                  <c:v>-329.31117</c:v>
                </c:pt>
                <c:pt idx="371">
                  <c:v>-330.1003</c:v>
                </c:pt>
                <c:pt idx="372">
                  <c:v>-330.88842999999997</c:v>
                </c:pt>
                <c:pt idx="373">
                  <c:v>-331.67756999999995</c:v>
                </c:pt>
                <c:pt idx="374">
                  <c:v>-332.46671000000003</c:v>
                </c:pt>
                <c:pt idx="375">
                  <c:v>-333.25594999999998</c:v>
                </c:pt>
                <c:pt idx="376">
                  <c:v>-334.04509999999999</c:v>
                </c:pt>
                <c:pt idx="377">
                  <c:v>-334.83326</c:v>
                </c:pt>
                <c:pt idx="378">
                  <c:v>-335.62241</c:v>
                </c:pt>
                <c:pt idx="379">
                  <c:v>-336.41057999999998</c:v>
                </c:pt>
                <c:pt idx="380">
                  <c:v>-337.19983999999999</c:v>
                </c:pt>
                <c:pt idx="381">
                  <c:v>-337.98800999999997</c:v>
                </c:pt>
                <c:pt idx="382">
                  <c:v>-338.77718000000004</c:v>
                </c:pt>
                <c:pt idx="383">
                  <c:v>-339.56636000000003</c:v>
                </c:pt>
                <c:pt idx="384">
                  <c:v>-340.35553999999996</c:v>
                </c:pt>
                <c:pt idx="385">
                  <c:v>-341.14382999999998</c:v>
                </c:pt>
                <c:pt idx="386">
                  <c:v>-341.93300999999997</c:v>
                </c:pt>
                <c:pt idx="387">
                  <c:v>-342.72120999999999</c:v>
                </c:pt>
                <c:pt idx="388">
                  <c:v>-343.5104</c:v>
                </c:pt>
                <c:pt idx="389">
                  <c:v>-344.29860000000002</c:v>
                </c:pt>
                <c:pt idx="390">
                  <c:v>-345.08790999999997</c:v>
                </c:pt>
                <c:pt idx="391">
                  <c:v>-345.87711999999999</c:v>
                </c:pt>
                <c:pt idx="392">
                  <c:v>-346.66633000000002</c:v>
                </c:pt>
                <c:pt idx="393">
                  <c:v>-347.45454999999998</c:v>
                </c:pt>
                <c:pt idx="394">
                  <c:v>-348.24376999999998</c:v>
                </c:pt>
                <c:pt idx="395">
                  <c:v>-349.03209000000004</c:v>
                </c:pt>
                <c:pt idx="396">
                  <c:v>-349.82132000000001</c:v>
                </c:pt>
                <c:pt idx="397">
                  <c:v>-350.6096</c:v>
                </c:pt>
                <c:pt idx="398">
                  <c:v>-351.39980000000003</c:v>
                </c:pt>
                <c:pt idx="399">
                  <c:v>-352.18809999999996</c:v>
                </c:pt>
                <c:pt idx="400">
                  <c:v>-352.97739999999999</c:v>
                </c:pt>
                <c:pt idx="401">
                  <c:v>-353.76560000000001</c:v>
                </c:pt>
                <c:pt idx="402">
                  <c:v>-354.55489999999998</c:v>
                </c:pt>
                <c:pt idx="403">
                  <c:v>-355.34309999999999</c:v>
                </c:pt>
                <c:pt idx="404">
                  <c:v>-356.13250000000005</c:v>
                </c:pt>
                <c:pt idx="405">
                  <c:v>-356.92169999999999</c:v>
                </c:pt>
                <c:pt idx="406">
                  <c:v>-357.71000000000004</c:v>
                </c:pt>
                <c:pt idx="407">
                  <c:v>-358.49929999999995</c:v>
                </c:pt>
                <c:pt idx="408">
                  <c:v>-359.28770000000003</c:v>
                </c:pt>
                <c:pt idx="409">
                  <c:v>-360.07690000000002</c:v>
                </c:pt>
                <c:pt idx="410">
                  <c:v>-360.86619999999999</c:v>
                </c:pt>
                <c:pt idx="411">
                  <c:v>-361.65550000000002</c:v>
                </c:pt>
                <c:pt idx="412">
                  <c:v>-362.44389999999999</c:v>
                </c:pt>
                <c:pt idx="413">
                  <c:v>-363.23219999999998</c:v>
                </c:pt>
                <c:pt idx="414">
                  <c:v>-364.0215</c:v>
                </c:pt>
                <c:pt idx="415">
                  <c:v>-364.8098</c:v>
                </c:pt>
                <c:pt idx="416">
                  <c:v>-365.60019999999997</c:v>
                </c:pt>
                <c:pt idx="417">
                  <c:v>-366.38850000000002</c:v>
                </c:pt>
                <c:pt idx="418">
                  <c:v>-367.17679999999996</c:v>
                </c:pt>
                <c:pt idx="419">
                  <c:v>-367.96620000000001</c:v>
                </c:pt>
                <c:pt idx="420">
                  <c:v>-368.75459999999998</c:v>
                </c:pt>
                <c:pt idx="421">
                  <c:v>-369.54489999999998</c:v>
                </c:pt>
                <c:pt idx="422">
                  <c:v>-370.33320000000003</c:v>
                </c:pt>
                <c:pt idx="423">
                  <c:v>-371.12159999999994</c:v>
                </c:pt>
                <c:pt idx="424">
                  <c:v>-371.911</c:v>
                </c:pt>
                <c:pt idx="425">
                  <c:v>-372.69849999999997</c:v>
                </c:pt>
                <c:pt idx="426">
                  <c:v>-373.48500000000001</c:v>
                </c:pt>
                <c:pt idx="427">
                  <c:v>-374.27060000000006</c:v>
                </c:pt>
                <c:pt idx="428">
                  <c:v>-375.05720000000002</c:v>
                </c:pt>
                <c:pt idx="429">
                  <c:v>-375.84390000000002</c:v>
                </c:pt>
                <c:pt idx="430">
                  <c:v>-376.63049999999998</c:v>
                </c:pt>
                <c:pt idx="431">
                  <c:v>-377.416</c:v>
                </c:pt>
                <c:pt idx="432">
                  <c:v>-378.20260000000002</c:v>
                </c:pt>
                <c:pt idx="433">
                  <c:v>-378.98919999999998</c:v>
                </c:pt>
                <c:pt idx="434">
                  <c:v>-379.7758</c:v>
                </c:pt>
                <c:pt idx="435">
                  <c:v>-380.56150000000002</c:v>
                </c:pt>
                <c:pt idx="436">
                  <c:v>-381.34820000000002</c:v>
                </c:pt>
                <c:pt idx="437">
                  <c:v>-382.13480000000004</c:v>
                </c:pt>
                <c:pt idx="438">
                  <c:v>-382.92139999999995</c:v>
                </c:pt>
                <c:pt idx="439">
                  <c:v>-383.70699999999999</c:v>
                </c:pt>
                <c:pt idx="440">
                  <c:v>-384.49459999999999</c:v>
                </c:pt>
                <c:pt idx="441">
                  <c:v>-385.28140000000002</c:v>
                </c:pt>
                <c:pt idx="442">
                  <c:v>-386.06700000000001</c:v>
                </c:pt>
                <c:pt idx="443">
                  <c:v>-386.8537</c:v>
                </c:pt>
                <c:pt idx="444">
                  <c:v>-387.64030000000002</c:v>
                </c:pt>
                <c:pt idx="445">
                  <c:v>-388.42689999999999</c:v>
                </c:pt>
                <c:pt idx="446">
                  <c:v>-389.21260000000001</c:v>
                </c:pt>
                <c:pt idx="447">
                  <c:v>-389.99930000000006</c:v>
                </c:pt>
                <c:pt idx="448">
                  <c:v>-390.78600000000006</c:v>
                </c:pt>
                <c:pt idx="449">
                  <c:v>-391.57169999999996</c:v>
                </c:pt>
                <c:pt idx="450">
                  <c:v>-392.35829999999999</c:v>
                </c:pt>
                <c:pt idx="451">
                  <c:v>-393.14499999999998</c:v>
                </c:pt>
                <c:pt idx="452">
                  <c:v>-393.9307</c:v>
                </c:pt>
                <c:pt idx="453">
                  <c:v>-394.71750000000003</c:v>
                </c:pt>
                <c:pt idx="454">
                  <c:v>-395.50409999999999</c:v>
                </c:pt>
                <c:pt idx="455">
                  <c:v>-396.28980000000001</c:v>
                </c:pt>
                <c:pt idx="456">
                  <c:v>-397.07650000000001</c:v>
                </c:pt>
                <c:pt idx="457">
                  <c:v>-397.86320000000001</c:v>
                </c:pt>
                <c:pt idx="458">
                  <c:v>-398.649</c:v>
                </c:pt>
                <c:pt idx="459">
                  <c:v>-399.4357</c:v>
                </c:pt>
                <c:pt idx="460">
                  <c:v>-400.22339999999997</c:v>
                </c:pt>
                <c:pt idx="461">
                  <c:v>-401.00909999999999</c:v>
                </c:pt>
                <c:pt idx="462">
                  <c:v>-401.79589999999996</c:v>
                </c:pt>
                <c:pt idx="463">
                  <c:v>-402.58270000000005</c:v>
                </c:pt>
                <c:pt idx="464">
                  <c:v>-403.36839999999995</c:v>
                </c:pt>
                <c:pt idx="465">
                  <c:v>-404.1551</c:v>
                </c:pt>
                <c:pt idx="466">
                  <c:v>-404.94079999999997</c:v>
                </c:pt>
                <c:pt idx="467">
                  <c:v>-405.7269</c:v>
                </c:pt>
                <c:pt idx="468">
                  <c:v>-406.51179999999999</c:v>
                </c:pt>
                <c:pt idx="469">
                  <c:v>-407.29780000000005</c:v>
                </c:pt>
                <c:pt idx="470">
                  <c:v>-408.08370000000002</c:v>
                </c:pt>
                <c:pt idx="471">
                  <c:v>-408.86880000000002</c:v>
                </c:pt>
                <c:pt idx="472">
                  <c:v>-409.65469999999999</c:v>
                </c:pt>
                <c:pt idx="473">
                  <c:v>-410.44069999999999</c:v>
                </c:pt>
                <c:pt idx="474">
                  <c:v>-411.22469999999998</c:v>
                </c:pt>
                <c:pt idx="475">
                  <c:v>-412.01070000000004</c:v>
                </c:pt>
                <c:pt idx="476">
                  <c:v>-412.79669999999999</c:v>
                </c:pt>
                <c:pt idx="477">
                  <c:v>-413.58170000000001</c:v>
                </c:pt>
                <c:pt idx="478">
                  <c:v>-414.36770000000001</c:v>
                </c:pt>
                <c:pt idx="479">
                  <c:v>-415.15369999999996</c:v>
                </c:pt>
                <c:pt idx="480">
                  <c:v>-415.93870000000004</c:v>
                </c:pt>
                <c:pt idx="481">
                  <c:v>-416.72379999999998</c:v>
                </c:pt>
                <c:pt idx="482">
                  <c:v>-417.50970000000001</c:v>
                </c:pt>
                <c:pt idx="483">
                  <c:v>-418.29579999999999</c:v>
                </c:pt>
                <c:pt idx="484">
                  <c:v>-419.08089999999993</c:v>
                </c:pt>
                <c:pt idx="485">
                  <c:v>-419.86689999999999</c:v>
                </c:pt>
                <c:pt idx="486">
                  <c:v>-420.65199999999999</c:v>
                </c:pt>
                <c:pt idx="487">
                  <c:v>-421.43689999999992</c:v>
                </c:pt>
                <c:pt idx="488">
                  <c:v>-422.22300000000001</c:v>
                </c:pt>
                <c:pt idx="489">
                  <c:v>-423.00900000000001</c:v>
                </c:pt>
                <c:pt idx="490">
                  <c:v>-423.79509999999999</c:v>
                </c:pt>
                <c:pt idx="491">
                  <c:v>-424.57919999999996</c:v>
                </c:pt>
                <c:pt idx="492">
                  <c:v>-425.36530000000005</c:v>
                </c:pt>
                <c:pt idx="493">
                  <c:v>-426.15129999999999</c:v>
                </c:pt>
                <c:pt idx="494">
                  <c:v>-426.93640000000005</c:v>
                </c:pt>
                <c:pt idx="495">
                  <c:v>-427.72239999999999</c:v>
                </c:pt>
                <c:pt idx="496">
                  <c:v>-428.50760000000002</c:v>
                </c:pt>
                <c:pt idx="497">
                  <c:v>-429.29359999999997</c:v>
                </c:pt>
                <c:pt idx="498">
                  <c:v>-430.07870000000003</c:v>
                </c:pt>
                <c:pt idx="499">
                  <c:v>-430.86490000000003</c:v>
                </c:pt>
                <c:pt idx="500">
                  <c:v>-431.65090000000004</c:v>
                </c:pt>
                <c:pt idx="501">
                  <c:v>-432.43610000000001</c:v>
                </c:pt>
                <c:pt idx="502">
                  <c:v>-433.22109999999998</c:v>
                </c:pt>
                <c:pt idx="503">
                  <c:v>-434.00730000000004</c:v>
                </c:pt>
                <c:pt idx="504">
                  <c:v>-434.79330000000004</c:v>
                </c:pt>
                <c:pt idx="505">
                  <c:v>-435.57749999999999</c:v>
                </c:pt>
                <c:pt idx="506">
                  <c:v>-436.36369999999999</c:v>
                </c:pt>
                <c:pt idx="507">
                  <c:v>-437.14970000000005</c:v>
                </c:pt>
                <c:pt idx="508">
                  <c:v>-437.9359</c:v>
                </c:pt>
                <c:pt idx="509">
                  <c:v>-438.72</c:v>
                </c:pt>
                <c:pt idx="510">
                  <c:v>-439.50620000000004</c:v>
                </c:pt>
                <c:pt idx="511">
                  <c:v>-440.29230000000001</c:v>
                </c:pt>
                <c:pt idx="512">
                  <c:v>-441.07839999999999</c:v>
                </c:pt>
                <c:pt idx="513">
                  <c:v>-441.86260000000004</c:v>
                </c:pt>
                <c:pt idx="514">
                  <c:v>-442.64869999999996</c:v>
                </c:pt>
                <c:pt idx="515">
                  <c:v>-443.43489999999997</c:v>
                </c:pt>
                <c:pt idx="516">
                  <c:v>-444.21999999999997</c:v>
                </c:pt>
                <c:pt idx="517">
                  <c:v>-445.00530000000003</c:v>
                </c:pt>
                <c:pt idx="518">
                  <c:v>-445.79139999999995</c:v>
                </c:pt>
                <c:pt idx="519">
                  <c:v>-446.57759999999996</c:v>
                </c:pt>
                <c:pt idx="520">
                  <c:v>-447.36279999999999</c:v>
                </c:pt>
                <c:pt idx="521">
                  <c:v>-448.14889999999997</c:v>
                </c:pt>
                <c:pt idx="522">
                  <c:v>-448.93420000000003</c:v>
                </c:pt>
                <c:pt idx="523">
                  <c:v>-449.71929999999998</c:v>
                </c:pt>
                <c:pt idx="524">
                  <c:v>-450.50560000000002</c:v>
                </c:pt>
                <c:pt idx="525">
                  <c:v>-451.29179999999997</c:v>
                </c:pt>
                <c:pt idx="526">
                  <c:v>-452.07589999999993</c:v>
                </c:pt>
                <c:pt idx="527">
                  <c:v>-452.86219999999997</c:v>
                </c:pt>
                <c:pt idx="528">
                  <c:v>-453.64840000000004</c:v>
                </c:pt>
                <c:pt idx="529">
                  <c:v>-454.43359999999996</c:v>
                </c:pt>
                <c:pt idx="530">
                  <c:v>-455.2199</c:v>
                </c:pt>
                <c:pt idx="531">
                  <c:v>-456.005</c:v>
                </c:pt>
                <c:pt idx="532">
                  <c:v>-456.7903</c:v>
                </c:pt>
                <c:pt idx="533">
                  <c:v>-457.57659999999998</c:v>
                </c:pt>
                <c:pt idx="534">
                  <c:v>-458.36279999999999</c:v>
                </c:pt>
                <c:pt idx="535">
                  <c:v>-459.14710000000002</c:v>
                </c:pt>
                <c:pt idx="536">
                  <c:v>-459.9332</c:v>
                </c:pt>
                <c:pt idx="537">
                  <c:v>-460.71950000000004</c:v>
                </c:pt>
                <c:pt idx="538">
                  <c:v>-461.50479999999993</c:v>
                </c:pt>
                <c:pt idx="539">
                  <c:v>-462.291</c:v>
                </c:pt>
                <c:pt idx="540">
                  <c:v>-463.07630000000006</c:v>
                </c:pt>
                <c:pt idx="541">
                  <c:v>-463.86160000000007</c:v>
                </c:pt>
                <c:pt idx="542">
                  <c:v>-464.64779999999996</c:v>
                </c:pt>
                <c:pt idx="543">
                  <c:v>-465.43420000000003</c:v>
                </c:pt>
                <c:pt idx="544">
                  <c:v>-466.21939999999995</c:v>
                </c:pt>
                <c:pt idx="545">
                  <c:v>-467.00569999999999</c:v>
                </c:pt>
                <c:pt idx="546">
                  <c:v>-467.79</c:v>
                </c:pt>
                <c:pt idx="547">
                  <c:v>-468.57630000000006</c:v>
                </c:pt>
                <c:pt idx="548">
                  <c:v>-469.36259999999999</c:v>
                </c:pt>
                <c:pt idx="549">
                  <c:v>-470.14790000000005</c:v>
                </c:pt>
                <c:pt idx="550">
                  <c:v>-470.93420000000003</c:v>
                </c:pt>
                <c:pt idx="551">
                  <c:v>-471.71849999999995</c:v>
                </c:pt>
                <c:pt idx="552">
                  <c:v>-472.50489999999996</c:v>
                </c:pt>
                <c:pt idx="553">
                  <c:v>-473.29110000000003</c:v>
                </c:pt>
                <c:pt idx="554">
                  <c:v>-474.07650000000001</c:v>
                </c:pt>
                <c:pt idx="555">
                  <c:v>-474.86289999999997</c:v>
                </c:pt>
                <c:pt idx="556">
                  <c:v>-475.6481</c:v>
                </c:pt>
                <c:pt idx="557">
                  <c:v>-476.43349999999998</c:v>
                </c:pt>
                <c:pt idx="558">
                  <c:v>-477.2199</c:v>
                </c:pt>
                <c:pt idx="559">
                  <c:v>-478.0052</c:v>
                </c:pt>
                <c:pt idx="560">
                  <c:v>-478.79150000000004</c:v>
                </c:pt>
                <c:pt idx="561">
                  <c:v>-479.57690000000002</c:v>
                </c:pt>
                <c:pt idx="562">
                  <c:v>-480.36320000000001</c:v>
                </c:pt>
                <c:pt idx="563">
                  <c:v>-481.14859999999999</c:v>
                </c:pt>
                <c:pt idx="564">
                  <c:v>-481.93399999999997</c:v>
                </c:pt>
                <c:pt idx="565">
                  <c:v>-482.72030000000001</c:v>
                </c:pt>
                <c:pt idx="566">
                  <c:v>-483.50569999999999</c:v>
                </c:pt>
                <c:pt idx="567">
                  <c:v>-484.2921</c:v>
                </c:pt>
                <c:pt idx="568">
                  <c:v>-485.07740000000001</c:v>
                </c:pt>
                <c:pt idx="569">
                  <c:v>-485.8639</c:v>
                </c:pt>
                <c:pt idx="570">
                  <c:v>-486.64839999999998</c:v>
                </c:pt>
                <c:pt idx="571">
                  <c:v>-487.43489999999997</c:v>
                </c:pt>
                <c:pt idx="572">
                  <c:v>-488.22039999999993</c:v>
                </c:pt>
                <c:pt idx="573">
                  <c:v>-489.00600000000003</c:v>
                </c:pt>
                <c:pt idx="574">
                  <c:v>-489.79149999999998</c:v>
                </c:pt>
                <c:pt idx="575">
                  <c:v>-490.57809999999995</c:v>
                </c:pt>
                <c:pt idx="576">
                  <c:v>-491.36360000000002</c:v>
                </c:pt>
                <c:pt idx="577">
                  <c:v>-492.15019999999998</c:v>
                </c:pt>
                <c:pt idx="578">
                  <c:v>-492.93470000000002</c:v>
                </c:pt>
                <c:pt idx="579">
                  <c:v>-493.72129999999993</c:v>
                </c:pt>
                <c:pt idx="580">
                  <c:v>-494.5068</c:v>
                </c:pt>
                <c:pt idx="581">
                  <c:v>-495.29239999999999</c:v>
                </c:pt>
                <c:pt idx="582">
                  <c:v>-496.07800000000003</c:v>
                </c:pt>
                <c:pt idx="583">
                  <c:v>-496.86450000000002</c:v>
                </c:pt>
                <c:pt idx="584">
                  <c:v>-497.65010000000007</c:v>
                </c:pt>
                <c:pt idx="585">
                  <c:v>-498.43669999999997</c:v>
                </c:pt>
                <c:pt idx="586">
                  <c:v>-499.22230000000002</c:v>
                </c:pt>
                <c:pt idx="587">
                  <c:v>-500.00789999999995</c:v>
                </c:pt>
                <c:pt idx="588">
                  <c:v>-500.79349999999999</c:v>
                </c:pt>
                <c:pt idx="589">
                  <c:v>-501.57909999999998</c:v>
                </c:pt>
                <c:pt idx="590">
                  <c:v>-502.36470000000003</c:v>
                </c:pt>
                <c:pt idx="591">
                  <c:v>-503.15129999999999</c:v>
                </c:pt>
                <c:pt idx="592">
                  <c:v>-503.93690000000004</c:v>
                </c:pt>
                <c:pt idx="593">
                  <c:v>-504.7235</c:v>
                </c:pt>
                <c:pt idx="594">
                  <c:v>-505.50909999999999</c:v>
                </c:pt>
                <c:pt idx="595">
                  <c:v>-506.29579999999999</c:v>
                </c:pt>
                <c:pt idx="596">
                  <c:v>-507.08140000000003</c:v>
                </c:pt>
                <c:pt idx="597">
                  <c:v>-507.86500000000001</c:v>
                </c:pt>
                <c:pt idx="598">
                  <c:v>-508.65170000000001</c:v>
                </c:pt>
                <c:pt idx="599">
                  <c:v>-509.43729999999999</c:v>
                </c:pt>
                <c:pt idx="600">
                  <c:v>-510.22389999999996</c:v>
                </c:pt>
                <c:pt idx="601">
                  <c:v>-510.99869999999999</c:v>
                </c:pt>
                <c:pt idx="602">
                  <c:v>-511.75849999999997</c:v>
                </c:pt>
                <c:pt idx="603">
                  <c:v>-512.51930000000004</c:v>
                </c:pt>
                <c:pt idx="604">
                  <c:v>-513.27940000000001</c:v>
                </c:pt>
                <c:pt idx="605">
                  <c:v>-514.03920000000005</c:v>
                </c:pt>
                <c:pt idx="606">
                  <c:v>-514.798</c:v>
                </c:pt>
                <c:pt idx="607">
                  <c:v>-515.55770000000007</c:v>
                </c:pt>
                <c:pt idx="608">
                  <c:v>-516.31629999999996</c:v>
                </c:pt>
                <c:pt idx="609">
                  <c:v>-517.07399999999996</c:v>
                </c:pt>
                <c:pt idx="610">
                  <c:v>-517.83259999999996</c:v>
                </c:pt>
                <c:pt idx="611">
                  <c:v>-518.59120000000007</c:v>
                </c:pt>
                <c:pt idx="612">
                  <c:v>-519.34889999999996</c:v>
                </c:pt>
                <c:pt idx="613">
                  <c:v>-520.10860000000002</c:v>
                </c:pt>
                <c:pt idx="614">
                  <c:v>-520.86720000000003</c:v>
                </c:pt>
                <c:pt idx="615">
                  <c:v>-521.6259</c:v>
                </c:pt>
                <c:pt idx="616">
                  <c:v>-522.3845</c:v>
                </c:pt>
                <c:pt idx="617">
                  <c:v>-523.14319999999998</c:v>
                </c:pt>
                <c:pt idx="618">
                  <c:v>-523.90089999999998</c:v>
                </c:pt>
                <c:pt idx="619">
                  <c:v>-524.65959999999995</c:v>
                </c:pt>
                <c:pt idx="620">
                  <c:v>-525.41819999999996</c:v>
                </c:pt>
                <c:pt idx="621">
                  <c:v>-526.17589999999996</c:v>
                </c:pt>
                <c:pt idx="622">
                  <c:v>-526.93460000000005</c:v>
                </c:pt>
                <c:pt idx="623">
                  <c:v>-527.6943</c:v>
                </c:pt>
                <c:pt idx="624">
                  <c:v>-528.452</c:v>
                </c:pt>
                <c:pt idx="625">
                  <c:v>-529.21069999999997</c:v>
                </c:pt>
                <c:pt idx="626">
                  <c:v>-529.97040000000004</c:v>
                </c:pt>
                <c:pt idx="627">
                  <c:v>-530.72810000000004</c:v>
                </c:pt>
                <c:pt idx="628">
                  <c:v>-531.48680000000002</c:v>
                </c:pt>
                <c:pt idx="629">
                  <c:v>-532.24559999999997</c:v>
                </c:pt>
                <c:pt idx="630">
                  <c:v>-533.00429999999994</c:v>
                </c:pt>
                <c:pt idx="631">
                  <c:v>-533.76299999999992</c:v>
                </c:pt>
                <c:pt idx="632">
                  <c:v>-534.52170000000001</c:v>
                </c:pt>
                <c:pt idx="633">
                  <c:v>-535.27949999999998</c:v>
                </c:pt>
                <c:pt idx="634">
                  <c:v>-536.03819999999996</c:v>
                </c:pt>
                <c:pt idx="635">
                  <c:v>-536.79700000000003</c:v>
                </c:pt>
                <c:pt idx="636">
                  <c:v>-537.55470000000003</c:v>
                </c:pt>
                <c:pt idx="637">
                  <c:v>-538.31439999999998</c:v>
                </c:pt>
                <c:pt idx="638">
                  <c:v>-539.07320000000004</c:v>
                </c:pt>
                <c:pt idx="639">
                  <c:v>-539.83100000000002</c:v>
                </c:pt>
                <c:pt idx="640">
                  <c:v>-540.58969999999999</c:v>
                </c:pt>
                <c:pt idx="641">
                  <c:v>-541.34649999999999</c:v>
                </c:pt>
                <c:pt idx="642">
                  <c:v>-542.10419999999999</c:v>
                </c:pt>
                <c:pt idx="643">
                  <c:v>-542.86200000000008</c:v>
                </c:pt>
                <c:pt idx="644">
                  <c:v>-543.62079999999992</c:v>
                </c:pt>
                <c:pt idx="645">
                  <c:v>-544.3605</c:v>
                </c:pt>
                <c:pt idx="646">
                  <c:v>-545.02809999999999</c:v>
                </c:pt>
                <c:pt idx="647">
                  <c:v>-545.69470000000001</c:v>
                </c:pt>
                <c:pt idx="648">
                  <c:v>-546.3623</c:v>
                </c:pt>
                <c:pt idx="649">
                  <c:v>-547.02890000000002</c:v>
                </c:pt>
                <c:pt idx="650">
                  <c:v>-547.69549999999992</c:v>
                </c:pt>
                <c:pt idx="651">
                  <c:v>-548.36320000000001</c:v>
                </c:pt>
                <c:pt idx="652">
                  <c:v>-549.0308</c:v>
                </c:pt>
                <c:pt idx="653">
                  <c:v>-549.69740000000002</c:v>
                </c:pt>
                <c:pt idx="654">
                  <c:v>-550.36400000000003</c:v>
                </c:pt>
                <c:pt idx="655">
                  <c:v>-551.03060000000005</c:v>
                </c:pt>
                <c:pt idx="656">
                  <c:v>-551.69830000000002</c:v>
                </c:pt>
                <c:pt idx="657">
                  <c:v>-552.36590000000001</c:v>
                </c:pt>
                <c:pt idx="658">
                  <c:v>-553.03250000000003</c:v>
                </c:pt>
                <c:pt idx="659">
                  <c:v>-553.69920000000002</c:v>
                </c:pt>
                <c:pt idx="660">
                  <c:v>-554.36479999999995</c:v>
                </c:pt>
                <c:pt idx="661">
                  <c:v>-555.0335</c:v>
                </c:pt>
                <c:pt idx="662">
                  <c:v>-555.70010000000002</c:v>
                </c:pt>
                <c:pt idx="663">
                  <c:v>-556.36680000000001</c:v>
                </c:pt>
                <c:pt idx="664">
                  <c:v>-557.03340000000003</c:v>
                </c:pt>
                <c:pt idx="665">
                  <c:v>-557.7011</c:v>
                </c:pt>
                <c:pt idx="666">
                  <c:v>-558.36880000000008</c:v>
                </c:pt>
                <c:pt idx="667">
                  <c:v>-559.03539999999998</c:v>
                </c:pt>
                <c:pt idx="668">
                  <c:v>-559.69359999999995</c:v>
                </c:pt>
                <c:pt idx="669">
                  <c:v>-560.34570000000008</c:v>
                </c:pt>
                <c:pt idx="670">
                  <c:v>-560.99890000000005</c:v>
                </c:pt>
                <c:pt idx="671">
                  <c:v>-561.65010000000007</c:v>
                </c:pt>
                <c:pt idx="672">
                  <c:v>-562.30219999999997</c:v>
                </c:pt>
                <c:pt idx="673">
                  <c:v>-562.95439999999996</c:v>
                </c:pt>
                <c:pt idx="674">
                  <c:v>-563.60760000000005</c:v>
                </c:pt>
                <c:pt idx="675">
                  <c:v>-564.25969999999995</c:v>
                </c:pt>
                <c:pt idx="676">
                  <c:v>-564.91190000000006</c:v>
                </c:pt>
                <c:pt idx="677">
                  <c:v>-565.56510000000003</c:v>
                </c:pt>
                <c:pt idx="678">
                  <c:v>-566.21730000000002</c:v>
                </c:pt>
                <c:pt idx="679">
                  <c:v>-566.86950000000002</c:v>
                </c:pt>
                <c:pt idx="680">
                  <c:v>-567.52170000000001</c:v>
                </c:pt>
                <c:pt idx="681">
                  <c:v>-568.17489999999998</c:v>
                </c:pt>
                <c:pt idx="682">
                  <c:v>-568.82709999999997</c:v>
                </c:pt>
                <c:pt idx="683">
                  <c:v>-569.47829999999999</c:v>
                </c:pt>
                <c:pt idx="684">
                  <c:v>-570.13149999999996</c:v>
                </c:pt>
                <c:pt idx="685">
                  <c:v>-570.78369999999995</c:v>
                </c:pt>
                <c:pt idx="686">
                  <c:v>-571.43600000000004</c:v>
                </c:pt>
                <c:pt idx="687">
                  <c:v>-572.08819999999992</c:v>
                </c:pt>
                <c:pt idx="688">
                  <c:v>-572.68489999999997</c:v>
                </c:pt>
                <c:pt idx="689">
                  <c:v>-573.28060000000005</c:v>
                </c:pt>
                <c:pt idx="690">
                  <c:v>-573.87750000000005</c:v>
                </c:pt>
                <c:pt idx="691">
                  <c:v>-574.47429999999997</c:v>
                </c:pt>
                <c:pt idx="692">
                  <c:v>-575.07010000000002</c:v>
                </c:pt>
                <c:pt idx="693">
                  <c:v>-575.66060000000004</c:v>
                </c:pt>
                <c:pt idx="694">
                  <c:v>-576.24189999999999</c:v>
                </c:pt>
                <c:pt idx="695">
                  <c:v>-576.82420000000002</c:v>
                </c:pt>
                <c:pt idx="696">
                  <c:v>-577.40549999999996</c:v>
                </c:pt>
                <c:pt idx="697">
                  <c:v>-577.9867999999999</c:v>
                </c:pt>
                <c:pt idx="698">
                  <c:v>-578.57009999999991</c:v>
                </c:pt>
                <c:pt idx="699">
                  <c:v>-579.15039999999999</c:v>
                </c:pt>
                <c:pt idx="700">
                  <c:v>-579.73270000000002</c:v>
                </c:pt>
                <c:pt idx="701">
                  <c:v>-580.2577</c:v>
                </c:pt>
                <c:pt idx="702">
                  <c:v>-580.69809999999995</c:v>
                </c:pt>
                <c:pt idx="703">
                  <c:v>-581.13940000000002</c:v>
                </c:pt>
                <c:pt idx="704">
                  <c:v>-581.5797</c:v>
                </c:pt>
                <c:pt idx="705">
                  <c:v>-582.02099999999996</c:v>
                </c:pt>
                <c:pt idx="706">
                  <c:v>-582.46140000000003</c:v>
                </c:pt>
                <c:pt idx="707">
                  <c:v>-582.9027000000001</c:v>
                </c:pt>
                <c:pt idx="708">
                  <c:v>-583.34310000000005</c:v>
                </c:pt>
                <c:pt idx="709">
                  <c:v>-583.78440000000001</c:v>
                </c:pt>
                <c:pt idx="710">
                  <c:v>-584.22479999999996</c:v>
                </c:pt>
                <c:pt idx="711">
                  <c:v>-584.66610000000003</c:v>
                </c:pt>
                <c:pt idx="712">
                  <c:v>-585.1065000000001</c:v>
                </c:pt>
                <c:pt idx="713">
                  <c:v>-585.54779999999994</c:v>
                </c:pt>
                <c:pt idx="714">
                  <c:v>-585.98820000000001</c:v>
                </c:pt>
                <c:pt idx="715">
                  <c:v>-586.42949999999996</c:v>
                </c:pt>
                <c:pt idx="716">
                  <c:v>-586.87090000000001</c:v>
                </c:pt>
                <c:pt idx="717">
                  <c:v>-587.31129999999996</c:v>
                </c:pt>
                <c:pt idx="718">
                  <c:v>-587.75159999999994</c:v>
                </c:pt>
                <c:pt idx="719">
                  <c:v>-588.19299999999998</c:v>
                </c:pt>
                <c:pt idx="720">
                  <c:v>-588.63440000000003</c:v>
                </c:pt>
                <c:pt idx="721">
                  <c:v>-589.07470000000001</c:v>
                </c:pt>
                <c:pt idx="722">
                  <c:v>-589.51510000000007</c:v>
                </c:pt>
                <c:pt idx="723">
                  <c:v>-589.95650000000001</c:v>
                </c:pt>
                <c:pt idx="724">
                  <c:v>-590.39689999999996</c:v>
                </c:pt>
                <c:pt idx="725">
                  <c:v>-590.8383</c:v>
                </c:pt>
                <c:pt idx="726">
                  <c:v>-591.27870000000007</c:v>
                </c:pt>
                <c:pt idx="727">
                  <c:v>-591.7201</c:v>
                </c:pt>
                <c:pt idx="728">
                  <c:v>-592.16049999999996</c:v>
                </c:pt>
                <c:pt idx="729">
                  <c:v>-592.6019</c:v>
                </c:pt>
                <c:pt idx="730">
                  <c:v>-593.04230000000007</c:v>
                </c:pt>
                <c:pt idx="731">
                  <c:v>-593.4837</c:v>
                </c:pt>
                <c:pt idx="732">
                  <c:v>-593.91840000000002</c:v>
                </c:pt>
                <c:pt idx="733">
                  <c:v>-594.35400000000004</c:v>
                </c:pt>
                <c:pt idx="734">
                  <c:v>-594.7876</c:v>
                </c:pt>
                <c:pt idx="735">
                  <c:v>-595.22320000000002</c:v>
                </c:pt>
                <c:pt idx="736">
                  <c:v>-595.65779999999995</c:v>
                </c:pt>
                <c:pt idx="737">
                  <c:v>-596.09339999999997</c:v>
                </c:pt>
                <c:pt idx="738">
                  <c:v>-596.52700000000004</c:v>
                </c:pt>
                <c:pt idx="739">
                  <c:v>-596.96260000000007</c:v>
                </c:pt>
                <c:pt idx="740">
                  <c:v>-597.3972</c:v>
                </c:pt>
                <c:pt idx="741">
                  <c:v>-597.83179999999993</c:v>
                </c:pt>
                <c:pt idx="742">
                  <c:v>-598.26649999999995</c:v>
                </c:pt>
                <c:pt idx="743">
                  <c:v>-598.70209999999997</c:v>
                </c:pt>
                <c:pt idx="744">
                  <c:v>-599.13670000000002</c:v>
                </c:pt>
                <c:pt idx="745">
                  <c:v>-599.57130000000006</c:v>
                </c:pt>
                <c:pt idx="746">
                  <c:v>-600.00599999999997</c:v>
                </c:pt>
                <c:pt idx="747">
                  <c:v>-600.44159999999999</c:v>
                </c:pt>
                <c:pt idx="748">
                  <c:v>-600.87619999999993</c:v>
                </c:pt>
                <c:pt idx="749">
                  <c:v>-601.31089999999995</c:v>
                </c:pt>
                <c:pt idx="750">
                  <c:v>-601.74160000000006</c:v>
                </c:pt>
                <c:pt idx="751">
                  <c:v>-602.1721</c:v>
                </c:pt>
                <c:pt idx="752">
                  <c:v>-602.60159999999996</c:v>
                </c:pt>
                <c:pt idx="753">
                  <c:v>-603.03109999999992</c:v>
                </c:pt>
                <c:pt idx="754">
                  <c:v>-603.46249999999998</c:v>
                </c:pt>
                <c:pt idx="755">
                  <c:v>-603.89099999999996</c:v>
                </c:pt>
                <c:pt idx="756">
                  <c:v>-604.32150000000001</c:v>
                </c:pt>
                <c:pt idx="757">
                  <c:v>-604.75</c:v>
                </c:pt>
                <c:pt idx="758">
                  <c:v>-605.18150000000003</c:v>
                </c:pt>
                <c:pt idx="759">
                  <c:v>-605.61099999999999</c:v>
                </c:pt>
                <c:pt idx="760">
                  <c:v>-606.03949999999998</c:v>
                </c:pt>
                <c:pt idx="761">
                  <c:v>-606.471</c:v>
                </c:pt>
                <c:pt idx="762">
                  <c:v>-606.90049999999997</c:v>
                </c:pt>
                <c:pt idx="763">
                  <c:v>-607.33000000000004</c:v>
                </c:pt>
                <c:pt idx="764">
                  <c:v>-607.76050000000009</c:v>
                </c:pt>
                <c:pt idx="765">
                  <c:v>-608.19100000000003</c:v>
                </c:pt>
                <c:pt idx="766">
                  <c:v>-608.61950000000002</c:v>
                </c:pt>
                <c:pt idx="767">
                  <c:v>-609.05100000000004</c:v>
                </c:pt>
                <c:pt idx="768">
                  <c:v>-609.48050000000001</c:v>
                </c:pt>
                <c:pt idx="769">
                  <c:v>-609.91</c:v>
                </c:pt>
                <c:pt idx="770">
                  <c:v>-610.34050000000002</c:v>
                </c:pt>
                <c:pt idx="771">
                  <c:v>-610.76909999999998</c:v>
                </c:pt>
                <c:pt idx="772">
                  <c:v>-611.19960000000003</c:v>
                </c:pt>
                <c:pt idx="773">
                  <c:v>-611.62909999999999</c:v>
                </c:pt>
                <c:pt idx="774">
                  <c:v>-612.05959999999993</c:v>
                </c:pt>
                <c:pt idx="775">
                  <c:v>-612.48919999999998</c:v>
                </c:pt>
                <c:pt idx="776">
                  <c:v>-612.91970000000003</c:v>
                </c:pt>
                <c:pt idx="777">
                  <c:v>-613.33810000000005</c:v>
                </c:pt>
                <c:pt idx="778">
                  <c:v>-613.73620000000005</c:v>
                </c:pt>
                <c:pt idx="779">
                  <c:v>-614.13640000000009</c:v>
                </c:pt>
                <c:pt idx="780">
                  <c:v>-614.53549999999996</c:v>
                </c:pt>
                <c:pt idx="781">
                  <c:v>-614.9357</c:v>
                </c:pt>
                <c:pt idx="782">
                  <c:v>-615.3338</c:v>
                </c:pt>
                <c:pt idx="783">
                  <c:v>-615.73149999999998</c:v>
                </c:pt>
                <c:pt idx="784">
                  <c:v>-616.0761</c:v>
                </c:pt>
                <c:pt idx="785">
                  <c:v>-616.42070000000001</c:v>
                </c:pt>
                <c:pt idx="786">
                  <c:v>-616.76530000000002</c:v>
                </c:pt>
                <c:pt idx="787">
                  <c:v>-617.10900000000004</c:v>
                </c:pt>
                <c:pt idx="788">
                  <c:v>-617.45460000000003</c:v>
                </c:pt>
                <c:pt idx="789">
                  <c:v>-617.79920000000004</c:v>
                </c:pt>
                <c:pt idx="790">
                  <c:v>-618.14390000000003</c:v>
                </c:pt>
                <c:pt idx="791">
                  <c:v>-618.48849999999993</c:v>
                </c:pt>
                <c:pt idx="792">
                  <c:v>-618.83310000000006</c:v>
                </c:pt>
                <c:pt idx="793">
                  <c:v>-619.17779999999993</c:v>
                </c:pt>
                <c:pt idx="794">
                  <c:v>-619.52240000000006</c:v>
                </c:pt>
                <c:pt idx="795">
                  <c:v>-619.86709999999994</c:v>
                </c:pt>
                <c:pt idx="796">
                  <c:v>-620.21170000000006</c:v>
                </c:pt>
                <c:pt idx="797">
                  <c:v>-620.55539999999996</c:v>
                </c:pt>
                <c:pt idx="798">
                  <c:v>-620.90000000000009</c:v>
                </c:pt>
                <c:pt idx="799">
                  <c:v>-621.24469999999997</c:v>
                </c:pt>
                <c:pt idx="800">
                  <c:v>-621.58939999999996</c:v>
                </c:pt>
                <c:pt idx="801">
                  <c:v>-621.93399999999997</c:v>
                </c:pt>
                <c:pt idx="802">
                  <c:v>-622.27870000000007</c:v>
                </c:pt>
                <c:pt idx="803">
                  <c:v>-622.62339999999995</c:v>
                </c:pt>
                <c:pt idx="804">
                  <c:v>-622.96810000000005</c:v>
                </c:pt>
                <c:pt idx="805">
                  <c:v>-623.31370000000004</c:v>
                </c:pt>
                <c:pt idx="806">
                  <c:v>-623.65740000000005</c:v>
                </c:pt>
                <c:pt idx="807">
                  <c:v>-624.00310000000002</c:v>
                </c:pt>
                <c:pt idx="808">
                  <c:v>-624.34580000000005</c:v>
                </c:pt>
                <c:pt idx="809">
                  <c:v>-624.69150000000002</c:v>
                </c:pt>
                <c:pt idx="810">
                  <c:v>-625.03520000000003</c:v>
                </c:pt>
                <c:pt idx="811">
                  <c:v>-625.3809</c:v>
                </c:pt>
                <c:pt idx="812">
                  <c:v>-625.72460000000001</c:v>
                </c:pt>
                <c:pt idx="813">
                  <c:v>-626.0693</c:v>
                </c:pt>
                <c:pt idx="814">
                  <c:v>-626.41399999999999</c:v>
                </c:pt>
                <c:pt idx="815">
                  <c:v>-626.75869999999998</c:v>
                </c:pt>
                <c:pt idx="816">
                  <c:v>-627.10439999999994</c:v>
                </c:pt>
                <c:pt idx="817">
                  <c:v>-627.44709999999998</c:v>
                </c:pt>
                <c:pt idx="818">
                  <c:v>-627.79290000000003</c:v>
                </c:pt>
                <c:pt idx="819">
                  <c:v>-628.13660000000004</c:v>
                </c:pt>
                <c:pt idx="820">
                  <c:v>-628.48230000000001</c:v>
                </c:pt>
                <c:pt idx="821">
                  <c:v>-628.82600000000002</c:v>
                </c:pt>
                <c:pt idx="822">
                  <c:v>-629.17179999999996</c:v>
                </c:pt>
                <c:pt idx="823">
                  <c:v>-629.51549999999997</c:v>
                </c:pt>
                <c:pt idx="824">
                  <c:v>-629.86130000000003</c:v>
                </c:pt>
                <c:pt idx="825">
                  <c:v>-630.20399999999995</c:v>
                </c:pt>
                <c:pt idx="826">
                  <c:v>-630.54970000000003</c:v>
                </c:pt>
                <c:pt idx="827">
                  <c:v>-630.89449999999999</c:v>
                </c:pt>
                <c:pt idx="828">
                  <c:v>-631.23919999999998</c:v>
                </c:pt>
                <c:pt idx="829">
                  <c:v>-631.58400000000006</c:v>
                </c:pt>
                <c:pt idx="830">
                  <c:v>-631.92880000000002</c:v>
                </c:pt>
                <c:pt idx="831">
                  <c:v>-632.27350000000001</c:v>
                </c:pt>
                <c:pt idx="832">
                  <c:v>-632.61630000000002</c:v>
                </c:pt>
                <c:pt idx="833">
                  <c:v>-632.96209999999996</c:v>
                </c:pt>
                <c:pt idx="834">
                  <c:v>-633.30579999999998</c:v>
                </c:pt>
                <c:pt idx="835">
                  <c:v>-633.64959999999996</c:v>
                </c:pt>
                <c:pt idx="836">
                  <c:v>-633.99339999999995</c:v>
                </c:pt>
                <c:pt idx="837">
                  <c:v>-634.33719999999994</c:v>
                </c:pt>
                <c:pt idx="838">
                  <c:v>-634.68200000000002</c:v>
                </c:pt>
                <c:pt idx="839">
                  <c:v>-635.02569999999992</c:v>
                </c:pt>
                <c:pt idx="840">
                  <c:v>-635.37049999999999</c:v>
                </c:pt>
                <c:pt idx="841">
                  <c:v>-635.71429999999998</c:v>
                </c:pt>
                <c:pt idx="842">
                  <c:v>-636.05809999999997</c:v>
                </c:pt>
                <c:pt idx="843">
                  <c:v>-636.40290000000005</c:v>
                </c:pt>
                <c:pt idx="844">
                  <c:v>-636.74770000000001</c:v>
                </c:pt>
                <c:pt idx="845">
                  <c:v>-637.09050000000002</c:v>
                </c:pt>
                <c:pt idx="846">
                  <c:v>-637.43529999999998</c:v>
                </c:pt>
                <c:pt idx="847">
                  <c:v>-637.77919999999995</c:v>
                </c:pt>
                <c:pt idx="848">
                  <c:v>-638.12300000000005</c:v>
                </c:pt>
                <c:pt idx="849">
                  <c:v>-638.46780000000001</c:v>
                </c:pt>
                <c:pt idx="850">
                  <c:v>-638.8116</c:v>
                </c:pt>
                <c:pt idx="851">
                  <c:v>-639.15539999999999</c:v>
                </c:pt>
                <c:pt idx="852">
                  <c:v>-639.49929999999995</c:v>
                </c:pt>
                <c:pt idx="853">
                  <c:v>-639.8451</c:v>
                </c:pt>
                <c:pt idx="854">
                  <c:v>-640.18790000000001</c:v>
                </c:pt>
                <c:pt idx="855">
                  <c:v>-640.53279999999995</c:v>
                </c:pt>
                <c:pt idx="856">
                  <c:v>-640.87559999999996</c:v>
                </c:pt>
                <c:pt idx="857">
                  <c:v>-641.21949999999993</c:v>
                </c:pt>
                <c:pt idx="858">
                  <c:v>-641.56529999999998</c:v>
                </c:pt>
                <c:pt idx="859">
                  <c:v>-641.90819999999997</c:v>
                </c:pt>
                <c:pt idx="860">
                  <c:v>-642.25300000000004</c:v>
                </c:pt>
                <c:pt idx="861">
                  <c:v>-642.59690000000012</c:v>
                </c:pt>
                <c:pt idx="862">
                  <c:v>-642.93979999999999</c:v>
                </c:pt>
                <c:pt idx="863">
                  <c:v>-643.28480000000002</c:v>
                </c:pt>
                <c:pt idx="864">
                  <c:v>-643.62779999999998</c:v>
                </c:pt>
                <c:pt idx="865">
                  <c:v>-643.97280000000001</c:v>
                </c:pt>
                <c:pt idx="866">
                  <c:v>-644.31579999999997</c:v>
                </c:pt>
                <c:pt idx="867">
                  <c:v>-644.65879999999993</c:v>
                </c:pt>
                <c:pt idx="868">
                  <c:v>-645.00279999999998</c:v>
                </c:pt>
                <c:pt idx="869">
                  <c:v>-645.34580000000005</c:v>
                </c:pt>
                <c:pt idx="870">
                  <c:v>-645.6898000000001</c:v>
                </c:pt>
                <c:pt idx="871">
                  <c:v>-646.03379999999993</c:v>
                </c:pt>
                <c:pt idx="872">
                  <c:v>-646.37790000000007</c:v>
                </c:pt>
                <c:pt idx="873">
                  <c:v>-646.72089999999992</c:v>
                </c:pt>
                <c:pt idx="874">
                  <c:v>-647.06490000000008</c:v>
                </c:pt>
                <c:pt idx="875">
                  <c:v>-647.40790000000004</c:v>
                </c:pt>
                <c:pt idx="876">
                  <c:v>-647.75099999999998</c:v>
                </c:pt>
                <c:pt idx="877">
                  <c:v>-648.09500000000003</c:v>
                </c:pt>
                <c:pt idx="878">
                  <c:v>-648.43900000000008</c:v>
                </c:pt>
                <c:pt idx="879">
                  <c:v>-648.78309999999999</c:v>
                </c:pt>
                <c:pt idx="880">
                  <c:v>-649.1164</c:v>
                </c:pt>
                <c:pt idx="881">
                  <c:v>-649.40539999999999</c:v>
                </c:pt>
                <c:pt idx="882">
                  <c:v>-649.6925</c:v>
                </c:pt>
                <c:pt idx="883">
                  <c:v>-649.97950000000003</c:v>
                </c:pt>
                <c:pt idx="884">
                  <c:v>-650.26749999999993</c:v>
                </c:pt>
                <c:pt idx="885">
                  <c:v>-650.55549999999994</c:v>
                </c:pt>
                <c:pt idx="886">
                  <c:v>-650.84259999999995</c:v>
                </c:pt>
                <c:pt idx="887">
                  <c:v>-651.13059999999996</c:v>
                </c:pt>
                <c:pt idx="888">
                  <c:v>-651.41759999999999</c:v>
                </c:pt>
                <c:pt idx="889">
                  <c:v>-651.70460000000003</c:v>
                </c:pt>
                <c:pt idx="890">
                  <c:v>-651.99270000000001</c:v>
                </c:pt>
                <c:pt idx="891">
                  <c:v>-652.28070000000002</c:v>
                </c:pt>
                <c:pt idx="892">
                  <c:v>-652.56780000000003</c:v>
                </c:pt>
                <c:pt idx="893">
                  <c:v>-652.85580000000004</c:v>
                </c:pt>
                <c:pt idx="894">
                  <c:v>-653.14280000000008</c:v>
                </c:pt>
                <c:pt idx="895">
                  <c:v>-653.42989999999998</c:v>
                </c:pt>
                <c:pt idx="896">
                  <c:v>-653.71789999999999</c:v>
                </c:pt>
                <c:pt idx="897">
                  <c:v>-654.00599999999997</c:v>
                </c:pt>
                <c:pt idx="898">
                  <c:v>-654.29300000000001</c:v>
                </c:pt>
                <c:pt idx="899">
                  <c:v>-654.58010000000002</c:v>
                </c:pt>
                <c:pt idx="900">
                  <c:v>-654.86419999999998</c:v>
                </c:pt>
                <c:pt idx="901">
                  <c:v>-655.15129999999999</c:v>
                </c:pt>
                <c:pt idx="902">
                  <c:v>-655.43640000000005</c:v>
                </c:pt>
                <c:pt idx="903">
                  <c:v>-655.72350000000006</c:v>
                </c:pt>
                <c:pt idx="904">
                  <c:v>-656.0086</c:v>
                </c:pt>
                <c:pt idx="905">
                  <c:v>-656.29469999999992</c:v>
                </c:pt>
                <c:pt idx="906">
                  <c:v>-656.57980000000009</c:v>
                </c:pt>
                <c:pt idx="907">
                  <c:v>-656.86689999999999</c:v>
                </c:pt>
                <c:pt idx="908">
                  <c:v>-657.15210000000002</c:v>
                </c:pt>
                <c:pt idx="909">
                  <c:v>-657.43820000000005</c:v>
                </c:pt>
                <c:pt idx="910">
                  <c:v>-657.72429999999997</c:v>
                </c:pt>
                <c:pt idx="911">
                  <c:v>-658.00939999999991</c:v>
                </c:pt>
                <c:pt idx="912">
                  <c:v>-658.29549999999995</c:v>
                </c:pt>
                <c:pt idx="913">
                  <c:v>-658.58159999999998</c:v>
                </c:pt>
                <c:pt idx="914">
                  <c:v>-658.86779999999999</c:v>
                </c:pt>
                <c:pt idx="915">
                  <c:v>-659.15390000000002</c:v>
                </c:pt>
                <c:pt idx="916">
                  <c:v>-659.44</c:v>
                </c:pt>
                <c:pt idx="917">
                  <c:v>-659.72510000000011</c:v>
                </c:pt>
                <c:pt idx="918">
                  <c:v>-660.01130000000001</c:v>
                </c:pt>
                <c:pt idx="919">
                  <c:v>-660.29739999999993</c:v>
                </c:pt>
                <c:pt idx="920">
                  <c:v>-660.58249999999998</c:v>
                </c:pt>
                <c:pt idx="921">
                  <c:v>-660.86970000000008</c:v>
                </c:pt>
                <c:pt idx="922">
                  <c:v>-661.15480000000002</c:v>
                </c:pt>
                <c:pt idx="923">
                  <c:v>-661.44190000000003</c:v>
                </c:pt>
                <c:pt idx="924">
                  <c:v>-661.72610000000009</c:v>
                </c:pt>
                <c:pt idx="925">
                  <c:v>-662.01319999999998</c:v>
                </c:pt>
                <c:pt idx="926">
                  <c:v>-662.29840000000002</c:v>
                </c:pt>
                <c:pt idx="927">
                  <c:v>-662.58550000000002</c:v>
                </c:pt>
                <c:pt idx="928">
                  <c:v>-662.87069999999994</c:v>
                </c:pt>
                <c:pt idx="929">
                  <c:v>-663.15779999999995</c:v>
                </c:pt>
                <c:pt idx="930">
                  <c:v>-663.44200000000001</c:v>
                </c:pt>
                <c:pt idx="931">
                  <c:v>-663.72810000000004</c:v>
                </c:pt>
                <c:pt idx="932">
                  <c:v>-664.01429999999993</c:v>
                </c:pt>
                <c:pt idx="933">
                  <c:v>-664.29939999999999</c:v>
                </c:pt>
                <c:pt idx="934">
                  <c:v>-664.58659999999998</c:v>
                </c:pt>
                <c:pt idx="935">
                  <c:v>-664.87180000000001</c:v>
                </c:pt>
                <c:pt idx="936">
                  <c:v>-665.15890000000002</c:v>
                </c:pt>
                <c:pt idx="937">
                  <c:v>-665.44309999999996</c:v>
                </c:pt>
                <c:pt idx="938">
                  <c:v>-665.73030000000006</c:v>
                </c:pt>
                <c:pt idx="939">
                  <c:v>-666.0154</c:v>
                </c:pt>
                <c:pt idx="940">
                  <c:v>-666.30160000000001</c:v>
                </c:pt>
                <c:pt idx="941">
                  <c:v>-666.58780000000002</c:v>
                </c:pt>
                <c:pt idx="942">
                  <c:v>-666.87390000000005</c:v>
                </c:pt>
                <c:pt idx="943">
                  <c:v>-667.16009999999994</c:v>
                </c:pt>
                <c:pt idx="944">
                  <c:v>-667.44530000000009</c:v>
                </c:pt>
                <c:pt idx="945">
                  <c:v>-667.7315000000001</c:v>
                </c:pt>
                <c:pt idx="946">
                  <c:v>-668.01670000000001</c:v>
                </c:pt>
                <c:pt idx="947">
                  <c:v>-668.30379999999991</c:v>
                </c:pt>
                <c:pt idx="948">
                  <c:v>-668.58899999999994</c:v>
                </c:pt>
                <c:pt idx="949">
                  <c:v>-668.87519999999995</c:v>
                </c:pt>
                <c:pt idx="950">
                  <c:v>-669.16139999999996</c:v>
                </c:pt>
                <c:pt idx="951">
                  <c:v>-669.44759999999997</c:v>
                </c:pt>
                <c:pt idx="952">
                  <c:v>-669.73380000000009</c:v>
                </c:pt>
                <c:pt idx="953">
                  <c:v>-670.01800000000003</c:v>
                </c:pt>
                <c:pt idx="954">
                  <c:v>-670.30520000000001</c:v>
                </c:pt>
                <c:pt idx="955">
                  <c:v>-670.59040000000005</c:v>
                </c:pt>
                <c:pt idx="956">
                  <c:v>-670.87760000000003</c:v>
                </c:pt>
                <c:pt idx="957">
                  <c:v>-671.16279999999995</c:v>
                </c:pt>
                <c:pt idx="958">
                  <c:v>-671.44900000000007</c:v>
                </c:pt>
                <c:pt idx="959">
                  <c:v>-671.73520000000008</c:v>
                </c:pt>
                <c:pt idx="960">
                  <c:v>-672.02139999999997</c:v>
                </c:pt>
                <c:pt idx="961">
                  <c:v>-672.3066</c:v>
                </c:pt>
                <c:pt idx="962">
                  <c:v>-672.59059999999999</c:v>
                </c:pt>
                <c:pt idx="963">
                  <c:v>-672.87360000000001</c:v>
                </c:pt>
                <c:pt idx="964">
                  <c:v>-673.15660000000003</c:v>
                </c:pt>
                <c:pt idx="965">
                  <c:v>-673.43949999999995</c:v>
                </c:pt>
                <c:pt idx="966">
                  <c:v>-673.72349999999994</c:v>
                </c:pt>
                <c:pt idx="967">
                  <c:v>-674.00549999999998</c:v>
                </c:pt>
                <c:pt idx="968">
                  <c:v>-674.28949999999998</c:v>
                </c:pt>
                <c:pt idx="969">
                  <c:v>-674.57249999999999</c:v>
                </c:pt>
                <c:pt idx="970">
                  <c:v>-674.85640000000001</c:v>
                </c:pt>
                <c:pt idx="971">
                  <c:v>-675.13940000000002</c:v>
                </c:pt>
                <c:pt idx="972">
                  <c:v>-675.42139999999995</c:v>
                </c:pt>
                <c:pt idx="973">
                  <c:v>-675.70440000000008</c:v>
                </c:pt>
                <c:pt idx="974">
                  <c:v>-675.98839999999996</c:v>
                </c:pt>
                <c:pt idx="975">
                  <c:v>-676.27139999999997</c:v>
                </c:pt>
                <c:pt idx="976">
                  <c:v>-676.55539999999996</c:v>
                </c:pt>
                <c:pt idx="977">
                  <c:v>-676.83839999999998</c:v>
                </c:pt>
                <c:pt idx="978">
                  <c:v>-677.12140000000011</c:v>
                </c:pt>
                <c:pt idx="979">
                  <c:v>-677.40440000000001</c:v>
                </c:pt>
                <c:pt idx="980">
                  <c:v>-677.68740000000003</c:v>
                </c:pt>
                <c:pt idx="981">
                  <c:v>-677.97040000000004</c:v>
                </c:pt>
                <c:pt idx="982">
                  <c:v>-678.25439999999992</c:v>
                </c:pt>
                <c:pt idx="983">
                  <c:v>-678.53639999999996</c:v>
                </c:pt>
                <c:pt idx="984">
                  <c:v>-678.82040000000006</c:v>
                </c:pt>
                <c:pt idx="985">
                  <c:v>-679.10360000000003</c:v>
                </c:pt>
                <c:pt idx="986">
                  <c:v>-679.38510000000008</c:v>
                </c:pt>
                <c:pt idx="987">
                  <c:v>-679.66859999999997</c:v>
                </c:pt>
                <c:pt idx="988">
                  <c:v>-679.95100000000002</c:v>
                </c:pt>
                <c:pt idx="989">
                  <c:v>-680.23349999999994</c:v>
                </c:pt>
                <c:pt idx="990">
                  <c:v>-680.51700000000005</c:v>
                </c:pt>
                <c:pt idx="991">
                  <c:v>-680.79949999999997</c:v>
                </c:pt>
                <c:pt idx="992">
                  <c:v>-681.08090000000004</c:v>
                </c:pt>
                <c:pt idx="993">
                  <c:v>-681.36439999999993</c:v>
                </c:pt>
                <c:pt idx="994">
                  <c:v>-681.64689999999996</c:v>
                </c:pt>
                <c:pt idx="995">
                  <c:v>-681.92840000000001</c:v>
                </c:pt>
                <c:pt idx="996">
                  <c:v>-682.21090000000004</c:v>
                </c:pt>
                <c:pt idx="997">
                  <c:v>-682.49340000000007</c:v>
                </c:pt>
                <c:pt idx="998">
                  <c:v>-682.7758</c:v>
                </c:pt>
                <c:pt idx="999">
                  <c:v>-683.05830000000003</c:v>
                </c:pt>
                <c:pt idx="1000">
                  <c:v>-683.34179999999992</c:v>
                </c:pt>
                <c:pt idx="1001">
                  <c:v>-683.62429999999995</c:v>
                </c:pt>
                <c:pt idx="1002">
                  <c:v>-683.9058</c:v>
                </c:pt>
                <c:pt idx="1003">
                  <c:v>-684.1893</c:v>
                </c:pt>
                <c:pt idx="1004">
                  <c:v>-684.47180000000003</c:v>
                </c:pt>
                <c:pt idx="1005">
                  <c:v>-684.75430000000006</c:v>
                </c:pt>
                <c:pt idx="1006">
                  <c:v>-685.03679999999997</c:v>
                </c:pt>
                <c:pt idx="1007">
                  <c:v>-685.31929999999988</c:v>
                </c:pt>
                <c:pt idx="1008">
                  <c:v>-685.60180000000003</c:v>
                </c:pt>
                <c:pt idx="1009">
                  <c:v>-685.88440000000003</c:v>
                </c:pt>
                <c:pt idx="1010">
                  <c:v>-686.16790000000003</c:v>
                </c:pt>
                <c:pt idx="1011">
                  <c:v>-686.45040000000006</c:v>
                </c:pt>
                <c:pt idx="1012">
                  <c:v>-686.73149999999998</c:v>
                </c:pt>
                <c:pt idx="1013">
                  <c:v>-687.0145</c:v>
                </c:pt>
                <c:pt idx="1014">
                  <c:v>-687.29560000000004</c:v>
                </c:pt>
                <c:pt idx="1015">
                  <c:v>-687.57870000000003</c:v>
                </c:pt>
                <c:pt idx="1016">
                  <c:v>-687.86079999999993</c:v>
                </c:pt>
                <c:pt idx="1017">
                  <c:v>-688.14290000000005</c:v>
                </c:pt>
                <c:pt idx="1018">
                  <c:v>-688.42499999999995</c:v>
                </c:pt>
                <c:pt idx="1019">
                  <c:v>-688.70710000000008</c:v>
                </c:pt>
                <c:pt idx="1020">
                  <c:v>-688.99019999999996</c:v>
                </c:pt>
                <c:pt idx="1021">
                  <c:v>-689.2713</c:v>
                </c:pt>
                <c:pt idx="1022">
                  <c:v>-689.55439999999999</c:v>
                </c:pt>
                <c:pt idx="1023">
                  <c:v>-689.8365</c:v>
                </c:pt>
                <c:pt idx="1024">
                  <c:v>-690.11860000000001</c:v>
                </c:pt>
                <c:pt idx="1025">
                  <c:v>-690.40070000000003</c:v>
                </c:pt>
                <c:pt idx="1026">
                  <c:v>-690.68280000000004</c:v>
                </c:pt>
                <c:pt idx="1027">
                  <c:v>-690.96490000000006</c:v>
                </c:pt>
                <c:pt idx="1028">
                  <c:v>-691.24700000000007</c:v>
                </c:pt>
                <c:pt idx="1029">
                  <c:v>-691.52909999999997</c:v>
                </c:pt>
                <c:pt idx="1030">
                  <c:v>-691.81219999999996</c:v>
                </c:pt>
                <c:pt idx="1031">
                  <c:v>-692.0933</c:v>
                </c:pt>
                <c:pt idx="1032">
                  <c:v>-692.37639999999999</c:v>
                </c:pt>
                <c:pt idx="1033">
                  <c:v>-692.6576</c:v>
                </c:pt>
                <c:pt idx="1034">
                  <c:v>-692.94069999999999</c:v>
                </c:pt>
                <c:pt idx="1035">
                  <c:v>-693.22280000000001</c:v>
                </c:pt>
                <c:pt idx="1036">
                  <c:v>-693.50489999999991</c:v>
                </c:pt>
                <c:pt idx="1037">
                  <c:v>-693.78710000000001</c:v>
                </c:pt>
                <c:pt idx="1038">
                  <c:v>-694.06920000000002</c:v>
                </c:pt>
                <c:pt idx="1039">
                  <c:v>-694.35130000000004</c:v>
                </c:pt>
                <c:pt idx="1040">
                  <c:v>-694.63439999999991</c:v>
                </c:pt>
                <c:pt idx="1041">
                  <c:v>-694.91560000000004</c:v>
                </c:pt>
                <c:pt idx="1042">
                  <c:v>-695.19870000000003</c:v>
                </c:pt>
                <c:pt idx="1043">
                  <c:v>-695.47979999999995</c:v>
                </c:pt>
                <c:pt idx="1044">
                  <c:v>-695.76299999999992</c:v>
                </c:pt>
                <c:pt idx="1045">
                  <c:v>-696.04510000000005</c:v>
                </c:pt>
                <c:pt idx="1046">
                  <c:v>-696.32730000000004</c:v>
                </c:pt>
                <c:pt idx="1047">
                  <c:v>-696.60940000000005</c:v>
                </c:pt>
                <c:pt idx="1048">
                  <c:v>-696.89149999999995</c:v>
                </c:pt>
                <c:pt idx="1049">
                  <c:v>-697.17369999999994</c:v>
                </c:pt>
                <c:pt idx="1050">
                  <c:v>-697.45679999999993</c:v>
                </c:pt>
                <c:pt idx="1051">
                  <c:v>-697.73800000000006</c:v>
                </c:pt>
                <c:pt idx="1052">
                  <c:v>-698.02110000000005</c:v>
                </c:pt>
                <c:pt idx="1053">
                  <c:v>-698.30230000000006</c:v>
                </c:pt>
                <c:pt idx="1054">
                  <c:v>-698.58550000000002</c:v>
                </c:pt>
                <c:pt idx="1055">
                  <c:v>-698.86760000000004</c:v>
                </c:pt>
                <c:pt idx="1056">
                  <c:v>-699.14979999999991</c:v>
                </c:pt>
                <c:pt idx="1057">
                  <c:v>-699.43190000000004</c:v>
                </c:pt>
                <c:pt idx="1058">
                  <c:v>-699.71510000000001</c:v>
                </c:pt>
                <c:pt idx="1059">
                  <c:v>-699.99630000000002</c:v>
                </c:pt>
                <c:pt idx="1060">
                  <c:v>-700.27840000000003</c:v>
                </c:pt>
                <c:pt idx="1061">
                  <c:v>-700.56060000000002</c:v>
                </c:pt>
                <c:pt idx="1062">
                  <c:v>-700.84280000000001</c:v>
                </c:pt>
                <c:pt idx="1063">
                  <c:v>-701.12600000000009</c:v>
                </c:pt>
                <c:pt idx="1064">
                  <c:v>-701.40710000000001</c:v>
                </c:pt>
                <c:pt idx="1065">
                  <c:v>-701.69029999999998</c:v>
                </c:pt>
                <c:pt idx="1066">
                  <c:v>-701.97249999999997</c:v>
                </c:pt>
                <c:pt idx="1067">
                  <c:v>-702.25469999999996</c:v>
                </c:pt>
                <c:pt idx="1068">
                  <c:v>-702.53679999999997</c:v>
                </c:pt>
                <c:pt idx="1069">
                  <c:v>-702.81899999999996</c:v>
                </c:pt>
                <c:pt idx="1070">
                  <c:v>-703.10120000000006</c:v>
                </c:pt>
                <c:pt idx="1071">
                  <c:v>-703.38440000000003</c:v>
                </c:pt>
                <c:pt idx="1072">
                  <c:v>-703.66560000000004</c:v>
                </c:pt>
                <c:pt idx="1073">
                  <c:v>-703.94780000000003</c:v>
                </c:pt>
                <c:pt idx="1074">
                  <c:v>-704.23099999999999</c:v>
                </c:pt>
                <c:pt idx="1075">
                  <c:v>-704.51220000000001</c:v>
                </c:pt>
                <c:pt idx="1076">
                  <c:v>-704.79539999999997</c:v>
                </c:pt>
                <c:pt idx="1077">
                  <c:v>-705.07659999999998</c:v>
                </c:pt>
                <c:pt idx="1078">
                  <c:v>-705.35979999999995</c:v>
                </c:pt>
                <c:pt idx="1079">
                  <c:v>-705.64200000000005</c:v>
                </c:pt>
                <c:pt idx="1080">
                  <c:v>-705.92419999999993</c:v>
                </c:pt>
                <c:pt idx="1081">
                  <c:v>-706.20640000000003</c:v>
                </c:pt>
                <c:pt idx="1082">
                  <c:v>-706.48860000000002</c:v>
                </c:pt>
                <c:pt idx="1083">
                  <c:v>-706.77080000000001</c:v>
                </c:pt>
                <c:pt idx="1084">
                  <c:v>-707.053</c:v>
                </c:pt>
                <c:pt idx="1085">
                  <c:v>-707.33619999999996</c:v>
                </c:pt>
                <c:pt idx="1086">
                  <c:v>-707.61740000000009</c:v>
                </c:pt>
                <c:pt idx="1087">
                  <c:v>-707.90060000000005</c:v>
                </c:pt>
                <c:pt idx="1088">
                  <c:v>-708.18290000000002</c:v>
                </c:pt>
                <c:pt idx="1089">
                  <c:v>-708.46409999999992</c:v>
                </c:pt>
                <c:pt idx="1090">
                  <c:v>-708.7473</c:v>
                </c:pt>
                <c:pt idx="1091">
                  <c:v>-709.02850000000001</c:v>
                </c:pt>
                <c:pt idx="1092">
                  <c:v>-709.31179999999995</c:v>
                </c:pt>
                <c:pt idx="1093">
                  <c:v>-709.59400000000005</c:v>
                </c:pt>
                <c:pt idx="1094">
                  <c:v>-709.87620000000004</c:v>
                </c:pt>
                <c:pt idx="1095">
                  <c:v>-710.15840000000003</c:v>
                </c:pt>
                <c:pt idx="1096">
                  <c:v>-710.44069999999999</c:v>
                </c:pt>
                <c:pt idx="1097">
                  <c:v>-710.72289999999998</c:v>
                </c:pt>
                <c:pt idx="1098">
                  <c:v>-711.00519999999995</c:v>
                </c:pt>
                <c:pt idx="1099">
                  <c:v>-711.28739999999993</c:v>
                </c:pt>
                <c:pt idx="1100">
                  <c:v>-711.56860000000006</c:v>
                </c:pt>
                <c:pt idx="1101">
                  <c:v>-711.85089999999991</c:v>
                </c:pt>
                <c:pt idx="1102">
                  <c:v>-712.13409999999999</c:v>
                </c:pt>
                <c:pt idx="1103">
                  <c:v>-712.41539999999998</c:v>
                </c:pt>
                <c:pt idx="1104">
                  <c:v>-712.69859999999994</c:v>
                </c:pt>
                <c:pt idx="1105">
                  <c:v>-712.98090000000002</c:v>
                </c:pt>
                <c:pt idx="1106">
                  <c:v>-713.26309999999989</c:v>
                </c:pt>
                <c:pt idx="1107">
                  <c:v>-713.54539999999997</c:v>
                </c:pt>
                <c:pt idx="1108">
                  <c:v>-713.82759999999996</c:v>
                </c:pt>
                <c:pt idx="1109">
                  <c:v>-714.10989999999993</c:v>
                </c:pt>
                <c:pt idx="1110">
                  <c:v>-714.39210000000003</c:v>
                </c:pt>
                <c:pt idx="1111">
                  <c:v>-714.67440000000011</c:v>
                </c:pt>
                <c:pt idx="1112">
                  <c:v>-714.95669999999996</c:v>
                </c:pt>
                <c:pt idx="1113">
                  <c:v>-715.23889999999994</c:v>
                </c:pt>
                <c:pt idx="1114">
                  <c:v>-715.51570000000004</c:v>
                </c:pt>
                <c:pt idx="1115">
                  <c:v>-715.78909999999996</c:v>
                </c:pt>
                <c:pt idx="1116">
                  <c:v>-716.0625</c:v>
                </c:pt>
                <c:pt idx="1117">
                  <c:v>-716.33690000000001</c:v>
                </c:pt>
                <c:pt idx="1118">
                  <c:v>-716.60929999999996</c:v>
                </c:pt>
                <c:pt idx="1119">
                  <c:v>-716.88470000000007</c:v>
                </c:pt>
                <c:pt idx="1120">
                  <c:v>-717.15809999999999</c:v>
                </c:pt>
                <c:pt idx="1121">
                  <c:v>-717.43050000000005</c:v>
                </c:pt>
                <c:pt idx="1122">
                  <c:v>-717.70590000000004</c:v>
                </c:pt>
                <c:pt idx="1123">
                  <c:v>-717.97929999999997</c:v>
                </c:pt>
                <c:pt idx="1124">
                  <c:v>-718.2527</c:v>
                </c:pt>
                <c:pt idx="1125">
                  <c:v>-718.52710000000002</c:v>
                </c:pt>
                <c:pt idx="1126">
                  <c:v>-718.80050000000006</c:v>
                </c:pt>
                <c:pt idx="1127">
                  <c:v>-719.07489999999996</c:v>
                </c:pt>
                <c:pt idx="1128">
                  <c:v>-719.34829999999999</c:v>
                </c:pt>
                <c:pt idx="1129">
                  <c:v>-719.62070000000006</c:v>
                </c:pt>
                <c:pt idx="1130">
                  <c:v>-719.89620000000002</c:v>
                </c:pt>
                <c:pt idx="1131">
                  <c:v>-720.16960000000006</c:v>
                </c:pt>
                <c:pt idx="1132">
                  <c:v>-720.44299999999998</c:v>
                </c:pt>
                <c:pt idx="1133">
                  <c:v>-720.7174</c:v>
                </c:pt>
                <c:pt idx="1134">
                  <c:v>-720.99080000000004</c:v>
                </c:pt>
                <c:pt idx="1135">
                  <c:v>-721.26430000000005</c:v>
                </c:pt>
                <c:pt idx="1136">
                  <c:v>-721.53769999999997</c:v>
                </c:pt>
                <c:pt idx="1137">
                  <c:v>-721.81309999999996</c:v>
                </c:pt>
                <c:pt idx="1138">
                  <c:v>-722.08560000000011</c:v>
                </c:pt>
                <c:pt idx="1139">
                  <c:v>-722.35900000000004</c:v>
                </c:pt>
                <c:pt idx="1140">
                  <c:v>-722.63340000000005</c:v>
                </c:pt>
                <c:pt idx="1141">
                  <c:v>-722.90689999999995</c:v>
                </c:pt>
                <c:pt idx="1142">
                  <c:v>-723.18029999999999</c:v>
                </c:pt>
                <c:pt idx="1143">
                  <c:v>-723.4547</c:v>
                </c:pt>
                <c:pt idx="1144">
                  <c:v>-723.72820000000002</c:v>
                </c:pt>
                <c:pt idx="1145">
                  <c:v>-724.00259999999992</c:v>
                </c:pt>
                <c:pt idx="1146">
                  <c:v>-724.27610000000004</c:v>
                </c:pt>
                <c:pt idx="1147">
                  <c:v>-724.54950000000008</c:v>
                </c:pt>
                <c:pt idx="1148">
                  <c:v>-724.82399999999996</c:v>
                </c:pt>
                <c:pt idx="1149">
                  <c:v>-725.09739999999988</c:v>
                </c:pt>
                <c:pt idx="1150">
                  <c:v>-725.37189999999998</c:v>
                </c:pt>
                <c:pt idx="1151">
                  <c:v>-725.64429999999993</c:v>
                </c:pt>
                <c:pt idx="1152">
                  <c:v>-725.91779999999994</c:v>
                </c:pt>
                <c:pt idx="1153">
                  <c:v>-726.19330000000002</c:v>
                </c:pt>
                <c:pt idx="1154">
                  <c:v>-726.46569999999997</c:v>
                </c:pt>
                <c:pt idx="1155">
                  <c:v>-726.74019999999996</c:v>
                </c:pt>
                <c:pt idx="1156">
                  <c:v>-727.01459999999997</c:v>
                </c:pt>
                <c:pt idx="1157">
                  <c:v>-727.28710000000001</c:v>
                </c:pt>
                <c:pt idx="1158">
                  <c:v>-727.5616</c:v>
                </c:pt>
                <c:pt idx="1159">
                  <c:v>-727.83510000000001</c:v>
                </c:pt>
                <c:pt idx="1160">
                  <c:v>-728.10949999999991</c:v>
                </c:pt>
                <c:pt idx="1161">
                  <c:v>-728.37860000000001</c:v>
                </c:pt>
                <c:pt idx="1162">
                  <c:v>-728.64120000000003</c:v>
                </c:pt>
                <c:pt idx="1163">
                  <c:v>-728.90370000000007</c:v>
                </c:pt>
                <c:pt idx="1164">
                  <c:v>-729.16729999999995</c:v>
                </c:pt>
                <c:pt idx="1165">
                  <c:v>-729.4298</c:v>
                </c:pt>
                <c:pt idx="1166">
                  <c:v>-729.69240000000002</c:v>
                </c:pt>
                <c:pt idx="1167">
                  <c:v>-729.95600000000002</c:v>
                </c:pt>
                <c:pt idx="1168">
                  <c:v>-730.21950000000004</c:v>
                </c:pt>
                <c:pt idx="1169">
                  <c:v>-730.48209999999995</c:v>
                </c:pt>
                <c:pt idx="1170">
                  <c:v>-730.74469999999997</c:v>
                </c:pt>
                <c:pt idx="1171">
                  <c:v>-731.00819999999999</c:v>
                </c:pt>
                <c:pt idx="1172">
                  <c:v>-731.27080000000001</c:v>
                </c:pt>
                <c:pt idx="1173">
                  <c:v>-731.53340000000003</c:v>
                </c:pt>
                <c:pt idx="1174">
                  <c:v>-731.79700000000003</c:v>
                </c:pt>
                <c:pt idx="1175">
                  <c:v>-732.06050000000005</c:v>
                </c:pt>
                <c:pt idx="1176">
                  <c:v>-732.32309999999995</c:v>
                </c:pt>
                <c:pt idx="1177">
                  <c:v>-732.58570000000009</c:v>
                </c:pt>
                <c:pt idx="1178">
                  <c:v>-732.84829999999999</c:v>
                </c:pt>
                <c:pt idx="1179">
                  <c:v>-733.11189999999988</c:v>
                </c:pt>
                <c:pt idx="1180">
                  <c:v>-733.37450000000001</c:v>
                </c:pt>
                <c:pt idx="1181">
                  <c:v>-733.63799999999992</c:v>
                </c:pt>
                <c:pt idx="1182">
                  <c:v>-733.90160000000014</c:v>
                </c:pt>
                <c:pt idx="1183">
                  <c:v>-734.16410000000008</c:v>
                </c:pt>
                <c:pt idx="1184">
                  <c:v>-734.42570000000001</c:v>
                </c:pt>
                <c:pt idx="1185">
                  <c:v>-734.68869999999993</c:v>
                </c:pt>
                <c:pt idx="1186">
                  <c:v>-734.95130000000006</c:v>
                </c:pt>
                <c:pt idx="1187">
                  <c:v>-735.21399999999994</c:v>
                </c:pt>
                <c:pt idx="1188">
                  <c:v>-735.47559999999999</c:v>
                </c:pt>
                <c:pt idx="1189">
                  <c:v>-735.73829999999998</c:v>
                </c:pt>
                <c:pt idx="1190">
                  <c:v>-736.00099999999998</c:v>
                </c:pt>
                <c:pt idx="1191">
                  <c:v>-736.2636</c:v>
                </c:pt>
                <c:pt idx="1192">
                  <c:v>-736.52629999999999</c:v>
                </c:pt>
                <c:pt idx="1193">
                  <c:v>-736.78800000000001</c:v>
                </c:pt>
                <c:pt idx="1194">
                  <c:v>-737.05160000000001</c:v>
                </c:pt>
                <c:pt idx="1195">
                  <c:v>-737.31330000000003</c:v>
                </c:pt>
                <c:pt idx="1196">
                  <c:v>-737.57600000000002</c:v>
                </c:pt>
                <c:pt idx="1197">
                  <c:v>-737.83770000000004</c:v>
                </c:pt>
                <c:pt idx="1198">
                  <c:v>-738.10040000000004</c:v>
                </c:pt>
                <c:pt idx="1199">
                  <c:v>-738.36200000000008</c:v>
                </c:pt>
                <c:pt idx="1200">
                  <c:v>-738.62570000000005</c:v>
                </c:pt>
                <c:pt idx="1201">
                  <c:v>-738.88740000000007</c:v>
                </c:pt>
                <c:pt idx="1202">
                  <c:v>-739.15009999999995</c:v>
                </c:pt>
                <c:pt idx="1203">
                  <c:v>-739.41280000000006</c:v>
                </c:pt>
                <c:pt idx="1204">
                  <c:v>-739.67550000000006</c:v>
                </c:pt>
                <c:pt idx="1205">
                  <c:v>-739.93719999999996</c:v>
                </c:pt>
                <c:pt idx="1206">
                  <c:v>-740.19989999999996</c:v>
                </c:pt>
                <c:pt idx="1207">
                  <c:v>-740.46260000000007</c:v>
                </c:pt>
                <c:pt idx="1208">
                  <c:v>-740.72430000000008</c:v>
                </c:pt>
                <c:pt idx="1209">
                  <c:v>-740.98799999999994</c:v>
                </c:pt>
                <c:pt idx="1210">
                  <c:v>-741.24970000000008</c:v>
                </c:pt>
                <c:pt idx="1211">
                  <c:v>-741.51239999999996</c:v>
                </c:pt>
                <c:pt idx="1212">
                  <c:v>-741.77510000000007</c:v>
                </c:pt>
                <c:pt idx="1213">
                  <c:v>-742.03679999999997</c:v>
                </c:pt>
                <c:pt idx="1214">
                  <c:v>-742.29849999999988</c:v>
                </c:pt>
                <c:pt idx="1215">
                  <c:v>-742.56219999999996</c:v>
                </c:pt>
                <c:pt idx="1216">
                  <c:v>-742.82389999999998</c:v>
                </c:pt>
                <c:pt idx="1217">
                  <c:v>-743.08669999999995</c:v>
                </c:pt>
                <c:pt idx="1218">
                  <c:v>-743.34379999999999</c:v>
                </c:pt>
                <c:pt idx="1219">
                  <c:v>-743.58179999999993</c:v>
                </c:pt>
                <c:pt idx="1220">
                  <c:v>-743.81870000000004</c:v>
                </c:pt>
                <c:pt idx="1221">
                  <c:v>-744.05670000000009</c:v>
                </c:pt>
                <c:pt idx="1222">
                  <c:v>-744.29470000000003</c:v>
                </c:pt>
                <c:pt idx="1223">
                  <c:v>-744.53269999999998</c:v>
                </c:pt>
                <c:pt idx="1224">
                  <c:v>-744.77070000000003</c:v>
                </c:pt>
                <c:pt idx="1225">
                  <c:v>-745.0077</c:v>
                </c:pt>
                <c:pt idx="1226">
                  <c:v>-745.24469999999997</c:v>
                </c:pt>
                <c:pt idx="1227">
                  <c:v>-745.48270000000002</c:v>
                </c:pt>
                <c:pt idx="1228">
                  <c:v>-745.72070000000008</c:v>
                </c:pt>
                <c:pt idx="1229">
                  <c:v>-745.95769999999993</c:v>
                </c:pt>
                <c:pt idx="1230">
                  <c:v>-746.19569999999999</c:v>
                </c:pt>
                <c:pt idx="1231">
                  <c:v>-746.43470000000002</c:v>
                </c:pt>
                <c:pt idx="1232">
                  <c:v>-746.6717000000001</c:v>
                </c:pt>
                <c:pt idx="1233">
                  <c:v>-746.90969999999993</c:v>
                </c:pt>
                <c:pt idx="1234">
                  <c:v>-747.14670000000001</c:v>
                </c:pt>
                <c:pt idx="1235">
                  <c:v>-747.38370000000009</c:v>
                </c:pt>
                <c:pt idx="1236">
                  <c:v>-747.62159999999994</c:v>
                </c:pt>
                <c:pt idx="1237">
                  <c:v>-747.85950000000003</c:v>
                </c:pt>
                <c:pt idx="1238">
                  <c:v>-748.0963999999999</c:v>
                </c:pt>
                <c:pt idx="1239">
                  <c:v>-748.33339999999998</c:v>
                </c:pt>
                <c:pt idx="1240">
                  <c:v>-748.57029999999997</c:v>
                </c:pt>
                <c:pt idx="1241">
                  <c:v>-748.80919999999992</c:v>
                </c:pt>
                <c:pt idx="1242">
                  <c:v>-749.0462</c:v>
                </c:pt>
                <c:pt idx="1243">
                  <c:v>-749.28309999999999</c:v>
                </c:pt>
                <c:pt idx="1244">
                  <c:v>-749.52</c:v>
                </c:pt>
                <c:pt idx="1245">
                  <c:v>-749.70299999999997</c:v>
                </c:pt>
                <c:pt idx="1246">
                  <c:v>-749.83</c:v>
                </c:pt>
                <c:pt idx="1247">
                  <c:v>-749.9559999999999</c:v>
                </c:pt>
                <c:pt idx="1248">
                  <c:v>-750.08199999999999</c:v>
                </c:pt>
                <c:pt idx="1249">
                  <c:v>-750.20900000000006</c:v>
                </c:pt>
                <c:pt idx="1250">
                  <c:v>-750.33500000000004</c:v>
                </c:pt>
                <c:pt idx="1251">
                  <c:v>-750.46199999999999</c:v>
                </c:pt>
                <c:pt idx="1252">
                  <c:v>-750.58799999999997</c:v>
                </c:pt>
                <c:pt idx="1253">
                  <c:v>-750.71499999999992</c:v>
                </c:pt>
                <c:pt idx="1254">
                  <c:v>-750.84100000000001</c:v>
                </c:pt>
                <c:pt idx="1255">
                  <c:v>-750.96799999999996</c:v>
                </c:pt>
                <c:pt idx="1256">
                  <c:v>-751.09390000000008</c:v>
                </c:pt>
                <c:pt idx="1257">
                  <c:v>-751.22090000000003</c:v>
                </c:pt>
                <c:pt idx="1258">
                  <c:v>-751.34690000000001</c:v>
                </c:pt>
                <c:pt idx="1259">
                  <c:v>-751.47389999999996</c:v>
                </c:pt>
                <c:pt idx="1260">
                  <c:v>-751.59989999999993</c:v>
                </c:pt>
                <c:pt idx="1261">
                  <c:v>-751.7269</c:v>
                </c:pt>
                <c:pt idx="1262">
                  <c:v>-751.85290000000009</c:v>
                </c:pt>
                <c:pt idx="1263">
                  <c:v>-751.97990000000004</c:v>
                </c:pt>
                <c:pt idx="1264">
                  <c:v>-752.10590000000002</c:v>
                </c:pt>
                <c:pt idx="1265">
                  <c:v>-752.23289999999997</c:v>
                </c:pt>
                <c:pt idx="1266">
                  <c:v>-752.35889999999995</c:v>
                </c:pt>
                <c:pt idx="1267">
                  <c:v>-752.48489999999993</c:v>
                </c:pt>
                <c:pt idx="1268">
                  <c:v>-752.61189999999999</c:v>
                </c:pt>
                <c:pt idx="1269">
                  <c:v>-752.73890000000006</c:v>
                </c:pt>
                <c:pt idx="1270">
                  <c:v>-752.86500000000001</c:v>
                </c:pt>
                <c:pt idx="1271">
                  <c:v>-752.99199999999996</c:v>
                </c:pt>
                <c:pt idx="1272">
                  <c:v>-753.11699999999996</c:v>
                </c:pt>
                <c:pt idx="1273">
                  <c:v>-753.245</c:v>
                </c:pt>
                <c:pt idx="1274">
                  <c:v>-753.37099999999998</c:v>
                </c:pt>
                <c:pt idx="1275">
                  <c:v>-753.49700000000007</c:v>
                </c:pt>
                <c:pt idx="1276">
                  <c:v>-753.62400000000002</c:v>
                </c:pt>
                <c:pt idx="1277">
                  <c:v>-753.75</c:v>
                </c:pt>
                <c:pt idx="1278">
                  <c:v>-753.87699999999995</c:v>
                </c:pt>
                <c:pt idx="1279">
                  <c:v>-754.00400000000002</c:v>
                </c:pt>
                <c:pt idx="1280">
                  <c:v>-754.12899999999991</c:v>
                </c:pt>
                <c:pt idx="1281">
                  <c:v>-754.03120000000001</c:v>
                </c:pt>
                <c:pt idx="1282">
                  <c:v>-753.77689999999996</c:v>
                </c:pt>
                <c:pt idx="1283">
                  <c:v>-753.52359999999999</c:v>
                </c:pt>
                <c:pt idx="1284">
                  <c:v>-753.26929999999993</c:v>
                </c:pt>
                <c:pt idx="1285">
                  <c:v>-753.01510000000007</c:v>
                </c:pt>
                <c:pt idx="1286">
                  <c:v>-752.76080000000002</c:v>
                </c:pt>
                <c:pt idx="1287">
                  <c:v>-752.50749999999994</c:v>
                </c:pt>
                <c:pt idx="1288">
                  <c:v>-752.25220000000002</c:v>
                </c:pt>
                <c:pt idx="1289">
                  <c:v>-751.99789999999996</c:v>
                </c:pt>
                <c:pt idx="1290">
                  <c:v>-751.74459999999999</c:v>
                </c:pt>
                <c:pt idx="1291">
                  <c:v>-751.49030000000005</c:v>
                </c:pt>
                <c:pt idx="1292">
                  <c:v>-751.23500000000001</c:v>
                </c:pt>
                <c:pt idx="1293">
                  <c:v>-750.98170000000005</c:v>
                </c:pt>
                <c:pt idx="1294">
                  <c:v>-750.72749999999996</c:v>
                </c:pt>
                <c:pt idx="1295">
                  <c:v>-750.47219999999993</c:v>
                </c:pt>
                <c:pt idx="1296">
                  <c:v>-750.21789999999999</c:v>
                </c:pt>
                <c:pt idx="1297">
                  <c:v>-749.96460000000002</c:v>
                </c:pt>
                <c:pt idx="1298">
                  <c:v>-749.70929999999998</c:v>
                </c:pt>
                <c:pt idx="1299">
                  <c:v>-749.45500000000004</c:v>
                </c:pt>
                <c:pt idx="1300">
                  <c:v>-749.20069999999987</c:v>
                </c:pt>
                <c:pt idx="1301">
                  <c:v>-748.94540000000006</c:v>
                </c:pt>
                <c:pt idx="1302">
                  <c:v>-748.69209999999998</c:v>
                </c:pt>
                <c:pt idx="1303">
                  <c:v>-748.43679999999995</c:v>
                </c:pt>
                <c:pt idx="1304">
                  <c:v>-748.18249999999989</c:v>
                </c:pt>
                <c:pt idx="1305">
                  <c:v>-747.92820000000006</c:v>
                </c:pt>
                <c:pt idx="1306">
                  <c:v>-747.6739</c:v>
                </c:pt>
                <c:pt idx="1307">
                  <c:v>-747.41870000000006</c:v>
                </c:pt>
                <c:pt idx="1308">
                  <c:v>-747.1644</c:v>
                </c:pt>
                <c:pt idx="1309">
                  <c:v>-746.91010000000006</c:v>
                </c:pt>
                <c:pt idx="1310">
                  <c:v>-746.65480000000002</c:v>
                </c:pt>
                <c:pt idx="1311">
                  <c:v>-746.40049999999997</c:v>
                </c:pt>
                <c:pt idx="1312">
                  <c:v>-746.14619999999991</c:v>
                </c:pt>
                <c:pt idx="1313">
                  <c:v>-745.88990000000013</c:v>
                </c:pt>
                <c:pt idx="1314">
                  <c:v>-745.63660000000004</c:v>
                </c:pt>
                <c:pt idx="1315">
                  <c:v>-745.38030000000003</c:v>
                </c:pt>
                <c:pt idx="1316">
                  <c:v>-745.12699999999995</c:v>
                </c:pt>
                <c:pt idx="1317">
                  <c:v>-744.87170000000003</c:v>
                </c:pt>
                <c:pt idx="1318">
                  <c:v>-744.61739999999998</c:v>
                </c:pt>
                <c:pt idx="1319">
                  <c:v>-744.36210000000005</c:v>
                </c:pt>
                <c:pt idx="1320">
                  <c:v>-744.10680000000002</c:v>
                </c:pt>
                <c:pt idx="1321">
                  <c:v>-743.85249999999996</c:v>
                </c:pt>
                <c:pt idx="1322">
                  <c:v>-743.59630000000004</c:v>
                </c:pt>
                <c:pt idx="1323">
                  <c:v>-743.34039999999993</c:v>
                </c:pt>
                <c:pt idx="1324">
                  <c:v>-743.08439999999996</c:v>
                </c:pt>
                <c:pt idx="1325">
                  <c:v>-742.8273999999999</c:v>
                </c:pt>
                <c:pt idx="1326">
                  <c:v>-742.57140000000004</c:v>
                </c:pt>
                <c:pt idx="1327">
                  <c:v>-742.31439999999998</c:v>
                </c:pt>
                <c:pt idx="1328">
                  <c:v>-742.0575</c:v>
                </c:pt>
                <c:pt idx="1329">
                  <c:v>-741.80050000000006</c:v>
                </c:pt>
                <c:pt idx="1330">
                  <c:v>-741.54449999999997</c:v>
                </c:pt>
                <c:pt idx="1331">
                  <c:v>-741.2885</c:v>
                </c:pt>
                <c:pt idx="1332">
                  <c:v>-741.03050000000007</c:v>
                </c:pt>
                <c:pt idx="1333">
                  <c:v>-740.77449999999999</c:v>
                </c:pt>
                <c:pt idx="1334">
                  <c:v>-740.51850000000002</c:v>
                </c:pt>
                <c:pt idx="1335">
                  <c:v>-740.26160000000004</c:v>
                </c:pt>
                <c:pt idx="1336">
                  <c:v>-740.00559999999996</c:v>
                </c:pt>
                <c:pt idx="1337">
                  <c:v>-739.74759999999992</c:v>
                </c:pt>
                <c:pt idx="1338">
                  <c:v>-739.49159999999995</c:v>
                </c:pt>
                <c:pt idx="1339">
                  <c:v>-739.2346</c:v>
                </c:pt>
                <c:pt idx="1340">
                  <c:v>-738.97759999999994</c:v>
                </c:pt>
                <c:pt idx="1341">
                  <c:v>-738.7206000000001</c:v>
                </c:pt>
                <c:pt idx="1342">
                  <c:v>-738.46469999999999</c:v>
                </c:pt>
                <c:pt idx="1343">
                  <c:v>-738.20669999999996</c:v>
                </c:pt>
                <c:pt idx="1344">
                  <c:v>-737.95069999999998</c:v>
                </c:pt>
                <c:pt idx="1345">
                  <c:v>-737.69270000000006</c:v>
                </c:pt>
                <c:pt idx="1346">
                  <c:v>-737.43669999999997</c:v>
                </c:pt>
                <c:pt idx="1347">
                  <c:v>-737.17869999999994</c:v>
                </c:pt>
                <c:pt idx="1348">
                  <c:v>-736.92270000000008</c:v>
                </c:pt>
                <c:pt idx="1349">
                  <c:v>-736.66469999999993</c:v>
                </c:pt>
                <c:pt idx="1350">
                  <c:v>-736.40769999999998</c:v>
                </c:pt>
                <c:pt idx="1351">
                  <c:v>-736.1508</c:v>
                </c:pt>
                <c:pt idx="1352">
                  <c:v>-735.89380000000006</c:v>
                </c:pt>
                <c:pt idx="1353">
                  <c:v>-735.63679999999999</c:v>
                </c:pt>
                <c:pt idx="1354">
                  <c:v>-735.37979999999993</c:v>
                </c:pt>
                <c:pt idx="1355">
                  <c:v>-735.12279999999998</c:v>
                </c:pt>
                <c:pt idx="1356">
                  <c:v>-734.86580000000004</c:v>
                </c:pt>
                <c:pt idx="1357">
                  <c:v>-734.6078</c:v>
                </c:pt>
                <c:pt idx="1358">
                  <c:v>-734.35180000000003</c:v>
                </c:pt>
                <c:pt idx="1359">
                  <c:v>-734.0938000000001</c:v>
                </c:pt>
                <c:pt idx="1360">
                  <c:v>-733.83680000000004</c:v>
                </c:pt>
                <c:pt idx="1361">
                  <c:v>-733.57979999999998</c:v>
                </c:pt>
                <c:pt idx="1362">
                  <c:v>-733.32279999999992</c:v>
                </c:pt>
                <c:pt idx="1363">
                  <c:v>-733.06479999999999</c:v>
                </c:pt>
                <c:pt idx="1364">
                  <c:v>-732.80790000000002</c:v>
                </c:pt>
                <c:pt idx="1365">
                  <c:v>-732.54989999999998</c:v>
                </c:pt>
                <c:pt idx="1366">
                  <c:v>-732.29189999999994</c:v>
                </c:pt>
                <c:pt idx="1367">
                  <c:v>-732.03590000000008</c:v>
                </c:pt>
                <c:pt idx="1368">
                  <c:v>-731.77790000000005</c:v>
                </c:pt>
                <c:pt idx="1369">
                  <c:v>-731.51990000000001</c:v>
                </c:pt>
                <c:pt idx="1370">
                  <c:v>-731.26289999999995</c:v>
                </c:pt>
                <c:pt idx="1371">
                  <c:v>-731.0059</c:v>
                </c:pt>
                <c:pt idx="1372">
                  <c:v>-730.74790000000007</c:v>
                </c:pt>
                <c:pt idx="1373">
                  <c:v>-730.49090000000001</c:v>
                </c:pt>
                <c:pt idx="1374">
                  <c:v>-730.23289999999997</c:v>
                </c:pt>
                <c:pt idx="1375">
                  <c:v>-729.97489999999993</c:v>
                </c:pt>
                <c:pt idx="1376">
                  <c:v>-729.71789999999999</c:v>
                </c:pt>
                <c:pt idx="1377">
                  <c:v>-729.45990000000006</c:v>
                </c:pt>
                <c:pt idx="1378">
                  <c:v>-729.19</c:v>
                </c:pt>
                <c:pt idx="1379">
                  <c:v>-728.91129999999998</c:v>
                </c:pt>
                <c:pt idx="1380">
                  <c:v>-728.62950000000001</c:v>
                </c:pt>
                <c:pt idx="1381">
                  <c:v>-728.34979999999996</c:v>
                </c:pt>
                <c:pt idx="1382">
                  <c:v>-728.06809999999996</c:v>
                </c:pt>
                <c:pt idx="1383">
                  <c:v>-727.78840000000002</c:v>
                </c:pt>
                <c:pt idx="1384">
                  <c:v>-727.50759999999991</c:v>
                </c:pt>
                <c:pt idx="1385">
                  <c:v>-727.2269</c:v>
                </c:pt>
                <c:pt idx="1386">
                  <c:v>-726.94620000000009</c:v>
                </c:pt>
                <c:pt idx="1387">
                  <c:v>-726.66549999999995</c:v>
                </c:pt>
                <c:pt idx="1388">
                  <c:v>-726.38470000000007</c:v>
                </c:pt>
                <c:pt idx="1389">
                  <c:v>-726.10500000000002</c:v>
                </c:pt>
                <c:pt idx="1390">
                  <c:v>-725.82429999999999</c:v>
                </c:pt>
                <c:pt idx="1391">
                  <c:v>-725.54349999999999</c:v>
                </c:pt>
                <c:pt idx="1392">
                  <c:v>-725.26279999999997</c:v>
                </c:pt>
                <c:pt idx="1393">
                  <c:v>-724.98110000000008</c:v>
                </c:pt>
                <c:pt idx="1394">
                  <c:v>-724.70129999999995</c:v>
                </c:pt>
                <c:pt idx="1395">
                  <c:v>-724.41959999999995</c:v>
                </c:pt>
                <c:pt idx="1396">
                  <c:v>-724.13990000000001</c:v>
                </c:pt>
                <c:pt idx="1397">
                  <c:v>-723.8581999999999</c:v>
                </c:pt>
                <c:pt idx="1398">
                  <c:v>-723.57839999999999</c:v>
                </c:pt>
                <c:pt idx="1399">
                  <c:v>-723.29669999999999</c:v>
                </c:pt>
                <c:pt idx="1400">
                  <c:v>-723.01599999999985</c:v>
                </c:pt>
                <c:pt idx="1401">
                  <c:v>-722.73519999999996</c:v>
                </c:pt>
                <c:pt idx="1402">
                  <c:v>-722.45450000000005</c:v>
                </c:pt>
                <c:pt idx="1403">
                  <c:v>-722.17280000000005</c:v>
                </c:pt>
                <c:pt idx="1404">
                  <c:v>-721.89200000000005</c:v>
                </c:pt>
                <c:pt idx="1405">
                  <c:v>-721.61130000000003</c:v>
                </c:pt>
                <c:pt idx="1406">
                  <c:v>-721.32960000000003</c:v>
                </c:pt>
                <c:pt idx="1407">
                  <c:v>-721.04880000000003</c:v>
                </c:pt>
                <c:pt idx="1408">
                  <c:v>-720.76710000000003</c:v>
                </c:pt>
                <c:pt idx="1409">
                  <c:v>-720.4864</c:v>
                </c:pt>
                <c:pt idx="1410">
                  <c:v>-720.2056</c:v>
                </c:pt>
                <c:pt idx="1411">
                  <c:v>-719.92489999999998</c:v>
                </c:pt>
                <c:pt idx="1412">
                  <c:v>-719.64319999999998</c:v>
                </c:pt>
                <c:pt idx="1413">
                  <c:v>-719.3614</c:v>
                </c:pt>
                <c:pt idx="1414">
                  <c:v>-719.08069999999998</c:v>
                </c:pt>
                <c:pt idx="1415">
                  <c:v>-718.7989</c:v>
                </c:pt>
                <c:pt idx="1416">
                  <c:v>-718.51919999999996</c:v>
                </c:pt>
                <c:pt idx="1417">
                  <c:v>-718.23649999999998</c:v>
                </c:pt>
                <c:pt idx="1418">
                  <c:v>-717.9547</c:v>
                </c:pt>
                <c:pt idx="1419">
                  <c:v>-717.67399999999998</c:v>
                </c:pt>
                <c:pt idx="1420">
                  <c:v>-717.39229999999998</c:v>
                </c:pt>
                <c:pt idx="1421">
                  <c:v>-717.11150000000009</c:v>
                </c:pt>
                <c:pt idx="1422">
                  <c:v>-716.82979999999998</c:v>
                </c:pt>
                <c:pt idx="1423">
                  <c:v>-716.54809999999998</c:v>
                </c:pt>
                <c:pt idx="1424">
                  <c:v>-716.26729999999998</c:v>
                </c:pt>
                <c:pt idx="1425">
                  <c:v>-715.9846</c:v>
                </c:pt>
                <c:pt idx="1426">
                  <c:v>-715.70280000000002</c:v>
                </c:pt>
                <c:pt idx="1427">
                  <c:v>-715.4221</c:v>
                </c:pt>
                <c:pt idx="1428">
                  <c:v>-715.1404</c:v>
                </c:pt>
                <c:pt idx="1429">
                  <c:v>-714.85860000000002</c:v>
                </c:pt>
                <c:pt idx="1430">
                  <c:v>-714.5779</c:v>
                </c:pt>
                <c:pt idx="1431">
                  <c:v>-714.29510000000005</c:v>
                </c:pt>
                <c:pt idx="1432">
                  <c:v>-714.01340000000005</c:v>
                </c:pt>
                <c:pt idx="1433">
                  <c:v>-713.73270000000002</c:v>
                </c:pt>
                <c:pt idx="1434">
                  <c:v>-713.45089999999993</c:v>
                </c:pt>
                <c:pt idx="1435">
                  <c:v>-713.16820000000007</c:v>
                </c:pt>
                <c:pt idx="1436">
                  <c:v>-712.88740000000007</c:v>
                </c:pt>
                <c:pt idx="1437">
                  <c:v>-712.60569999999996</c:v>
                </c:pt>
                <c:pt idx="1438">
                  <c:v>-712.32399999999996</c:v>
                </c:pt>
                <c:pt idx="1439">
                  <c:v>-712.0412</c:v>
                </c:pt>
                <c:pt idx="1440">
                  <c:v>-711.76050000000009</c:v>
                </c:pt>
                <c:pt idx="1441">
                  <c:v>-711.4787</c:v>
                </c:pt>
                <c:pt idx="1442">
                  <c:v>-711.19599999999991</c:v>
                </c:pt>
                <c:pt idx="1443">
                  <c:v>-710.91419999999994</c:v>
                </c:pt>
                <c:pt idx="1444">
                  <c:v>-710.63350000000003</c:v>
                </c:pt>
                <c:pt idx="1445">
                  <c:v>-710.35079999999994</c:v>
                </c:pt>
                <c:pt idx="1446">
                  <c:v>-710.06799999999998</c:v>
                </c:pt>
                <c:pt idx="1447">
                  <c:v>-709.78629999999998</c:v>
                </c:pt>
                <c:pt idx="1448">
                  <c:v>-709.50450000000001</c:v>
                </c:pt>
                <c:pt idx="1449">
                  <c:v>-709.22280000000001</c:v>
                </c:pt>
                <c:pt idx="1450">
                  <c:v>-708.94099999999992</c:v>
                </c:pt>
                <c:pt idx="1451">
                  <c:v>-708.65830000000005</c:v>
                </c:pt>
                <c:pt idx="1452">
                  <c:v>-708.37659999999994</c:v>
                </c:pt>
                <c:pt idx="1453">
                  <c:v>-708.09379999999999</c:v>
                </c:pt>
                <c:pt idx="1454">
                  <c:v>-707.8121000000001</c:v>
                </c:pt>
                <c:pt idx="1455">
                  <c:v>-707.52930000000003</c:v>
                </c:pt>
                <c:pt idx="1456">
                  <c:v>-707.24759999999992</c:v>
                </c:pt>
                <c:pt idx="1457">
                  <c:v>-706.96579999999994</c:v>
                </c:pt>
                <c:pt idx="1458">
                  <c:v>-706.68309999999997</c:v>
                </c:pt>
                <c:pt idx="1459">
                  <c:v>-706.40129999999999</c:v>
                </c:pt>
                <c:pt idx="1460">
                  <c:v>-706.11860000000001</c:v>
                </c:pt>
                <c:pt idx="1461">
                  <c:v>-705.83579999999995</c:v>
                </c:pt>
                <c:pt idx="1462">
                  <c:v>-705.55409999999995</c:v>
                </c:pt>
                <c:pt idx="1463">
                  <c:v>-705.27230000000009</c:v>
                </c:pt>
                <c:pt idx="1464">
                  <c:v>-704.9896</c:v>
                </c:pt>
                <c:pt idx="1465">
                  <c:v>-704.70679999999993</c:v>
                </c:pt>
                <c:pt idx="1466">
                  <c:v>-704.42409999999995</c:v>
                </c:pt>
                <c:pt idx="1467">
                  <c:v>-704.14229999999998</c:v>
                </c:pt>
                <c:pt idx="1468">
                  <c:v>-703.85860000000002</c:v>
                </c:pt>
                <c:pt idx="1469">
                  <c:v>-703.4849999999999</c:v>
                </c:pt>
                <c:pt idx="1470">
                  <c:v>-703.06819999999993</c:v>
                </c:pt>
                <c:pt idx="1471">
                  <c:v>-702.65039999999999</c:v>
                </c:pt>
                <c:pt idx="1472">
                  <c:v>-702.2337</c:v>
                </c:pt>
                <c:pt idx="1473">
                  <c:v>-701.81690000000003</c:v>
                </c:pt>
                <c:pt idx="1474">
                  <c:v>-701.40109999999993</c:v>
                </c:pt>
                <c:pt idx="1475">
                  <c:v>-700.98440000000005</c:v>
                </c:pt>
                <c:pt idx="1476">
                  <c:v>-700.56660000000011</c:v>
                </c:pt>
                <c:pt idx="1477">
                  <c:v>-700.14879999999994</c:v>
                </c:pt>
                <c:pt idx="1478">
                  <c:v>-699.73199999999997</c:v>
                </c:pt>
                <c:pt idx="1479">
                  <c:v>-699.31529999999998</c:v>
                </c:pt>
                <c:pt idx="1480">
                  <c:v>-698.89850000000001</c:v>
                </c:pt>
                <c:pt idx="1481">
                  <c:v>-698.48070000000007</c:v>
                </c:pt>
                <c:pt idx="1482">
                  <c:v>-698.06399999999996</c:v>
                </c:pt>
                <c:pt idx="1483">
                  <c:v>-697.6472</c:v>
                </c:pt>
                <c:pt idx="1484">
                  <c:v>-697.22839999999997</c:v>
                </c:pt>
                <c:pt idx="1485">
                  <c:v>-696.81169999999997</c:v>
                </c:pt>
                <c:pt idx="1486">
                  <c:v>-696.35040000000004</c:v>
                </c:pt>
                <c:pt idx="1487">
                  <c:v>-695.84910000000002</c:v>
                </c:pt>
                <c:pt idx="1488">
                  <c:v>-695.34690000000001</c:v>
                </c:pt>
                <c:pt idx="1489">
                  <c:v>-694.84569999999997</c:v>
                </c:pt>
                <c:pt idx="1490">
                  <c:v>-694.34439999999995</c:v>
                </c:pt>
                <c:pt idx="1491">
                  <c:v>-693.84320000000002</c:v>
                </c:pt>
                <c:pt idx="1492">
                  <c:v>-693.34100000000001</c:v>
                </c:pt>
                <c:pt idx="1493">
                  <c:v>-692.83980000000008</c:v>
                </c:pt>
                <c:pt idx="1494">
                  <c:v>-692.33860000000004</c:v>
                </c:pt>
                <c:pt idx="1495">
                  <c:v>-691.71439999999996</c:v>
                </c:pt>
                <c:pt idx="1496">
                  <c:v>-691.0308</c:v>
                </c:pt>
                <c:pt idx="1497">
                  <c:v>-690.3451</c:v>
                </c:pt>
                <c:pt idx="1498">
                  <c:v>-689.66139999999996</c:v>
                </c:pt>
                <c:pt idx="1499">
                  <c:v>-688.97579999999994</c:v>
                </c:pt>
                <c:pt idx="1500">
                  <c:v>-688.29110000000003</c:v>
                </c:pt>
                <c:pt idx="1501">
                  <c:v>-687.60550000000001</c:v>
                </c:pt>
                <c:pt idx="1502">
                  <c:v>-686.92079999999999</c:v>
                </c:pt>
                <c:pt idx="1503">
                  <c:v>-686.23520000000008</c:v>
                </c:pt>
                <c:pt idx="1504">
                  <c:v>-685.55050000000006</c:v>
                </c:pt>
                <c:pt idx="1505">
                  <c:v>-684.86490000000003</c:v>
                </c:pt>
                <c:pt idx="1506">
                  <c:v>-684.18020000000001</c:v>
                </c:pt>
                <c:pt idx="1507">
                  <c:v>-683.49459999999999</c:v>
                </c:pt>
                <c:pt idx="1508">
                  <c:v>-682.80790000000002</c:v>
                </c:pt>
                <c:pt idx="1509">
                  <c:v>-682.12430000000006</c:v>
                </c:pt>
                <c:pt idx="1510">
                  <c:v>-681.43759999999997</c:v>
                </c:pt>
                <c:pt idx="1511">
                  <c:v>-680.75199999999995</c:v>
                </c:pt>
                <c:pt idx="1512">
                  <c:v>-680.01309999999989</c:v>
                </c:pt>
                <c:pt idx="1513">
                  <c:v>-679.1957000000001</c:v>
                </c:pt>
                <c:pt idx="1514">
                  <c:v>-678.37840000000006</c:v>
                </c:pt>
                <c:pt idx="1515">
                  <c:v>-677.55899999999997</c:v>
                </c:pt>
                <c:pt idx="1516">
                  <c:v>-676.74069999999995</c:v>
                </c:pt>
                <c:pt idx="1517">
                  <c:v>-675.92340000000002</c:v>
                </c:pt>
                <c:pt idx="1518">
                  <c:v>-675.10500000000002</c:v>
                </c:pt>
                <c:pt idx="1519">
                  <c:v>-674.28470000000004</c:v>
                </c:pt>
                <c:pt idx="1520">
                  <c:v>-673.4674</c:v>
                </c:pt>
                <c:pt idx="1521">
                  <c:v>-672.6481</c:v>
                </c:pt>
                <c:pt idx="1522">
                  <c:v>-671.8297</c:v>
                </c:pt>
                <c:pt idx="1523">
                  <c:v>-671.01139999999998</c:v>
                </c:pt>
                <c:pt idx="1524">
                  <c:v>-670.19209999999998</c:v>
                </c:pt>
                <c:pt idx="1525">
                  <c:v>-669.37379999999996</c:v>
                </c:pt>
                <c:pt idx="1526">
                  <c:v>-668.55449999999996</c:v>
                </c:pt>
                <c:pt idx="1527">
                  <c:v>-667.73520000000008</c:v>
                </c:pt>
                <c:pt idx="1528">
                  <c:v>-666.91689999999994</c:v>
                </c:pt>
                <c:pt idx="1529">
                  <c:v>-666.09759999999994</c:v>
                </c:pt>
                <c:pt idx="1530">
                  <c:v>-665.27830000000006</c:v>
                </c:pt>
                <c:pt idx="1531">
                  <c:v>-664.45799999999997</c:v>
                </c:pt>
                <c:pt idx="1532">
                  <c:v>-663.63869999999997</c:v>
                </c:pt>
                <c:pt idx="1533">
                  <c:v>-662.81939999999997</c:v>
                </c:pt>
                <c:pt idx="1534">
                  <c:v>-662.00009999999997</c:v>
                </c:pt>
                <c:pt idx="1535">
                  <c:v>-661.18079999999998</c:v>
                </c:pt>
                <c:pt idx="1536">
                  <c:v>-660.3605</c:v>
                </c:pt>
                <c:pt idx="1537">
                  <c:v>-659.5412</c:v>
                </c:pt>
                <c:pt idx="1538">
                  <c:v>-658.72190000000001</c:v>
                </c:pt>
                <c:pt idx="1539">
                  <c:v>-657.90159999999992</c:v>
                </c:pt>
                <c:pt idx="1540">
                  <c:v>-657.08140000000003</c:v>
                </c:pt>
                <c:pt idx="1541">
                  <c:v>-656.26109999999994</c:v>
                </c:pt>
                <c:pt idx="1542">
                  <c:v>-655.44079999999997</c:v>
                </c:pt>
                <c:pt idx="1543">
                  <c:v>-654.62059999999997</c:v>
                </c:pt>
                <c:pt idx="1544">
                  <c:v>-653.80029999999999</c:v>
                </c:pt>
                <c:pt idx="1545">
                  <c:v>-652.98</c:v>
                </c:pt>
                <c:pt idx="1546">
                  <c:v>-652.15980000000002</c:v>
                </c:pt>
                <c:pt idx="1547">
                  <c:v>-651.33950000000004</c:v>
                </c:pt>
                <c:pt idx="1548">
                  <c:v>-650.5172</c:v>
                </c:pt>
                <c:pt idx="1549">
                  <c:v>-649.69700000000012</c:v>
                </c:pt>
                <c:pt idx="1550">
                  <c:v>-648.87670000000003</c:v>
                </c:pt>
                <c:pt idx="1551">
                  <c:v>-648.05549999999994</c:v>
                </c:pt>
                <c:pt idx="1552">
                  <c:v>-647.23519999999996</c:v>
                </c:pt>
                <c:pt idx="1553">
                  <c:v>-646.41399999999999</c:v>
                </c:pt>
                <c:pt idx="1554">
                  <c:v>-645.59370000000001</c:v>
                </c:pt>
                <c:pt idx="1555">
                  <c:v>-644.77150000000006</c:v>
                </c:pt>
                <c:pt idx="1556">
                  <c:v>-643.9502</c:v>
                </c:pt>
                <c:pt idx="1557">
                  <c:v>-643.12900000000002</c:v>
                </c:pt>
                <c:pt idx="1558">
                  <c:v>-642.30880000000002</c:v>
                </c:pt>
                <c:pt idx="1559">
                  <c:v>-641.4855</c:v>
                </c:pt>
                <c:pt idx="1560">
                  <c:v>-640.6653</c:v>
                </c:pt>
                <c:pt idx="1561">
                  <c:v>-639.84310000000005</c:v>
                </c:pt>
                <c:pt idx="1562">
                  <c:v>-639.02179999999998</c:v>
                </c:pt>
                <c:pt idx="1563">
                  <c:v>-638.19960000000003</c:v>
                </c:pt>
                <c:pt idx="1564">
                  <c:v>-637.37840000000006</c:v>
                </c:pt>
                <c:pt idx="1565">
                  <c:v>-636.55619999999999</c:v>
                </c:pt>
                <c:pt idx="1566">
                  <c:v>-635.73400000000004</c:v>
                </c:pt>
                <c:pt idx="1567">
                  <c:v>-634.91280000000006</c:v>
                </c:pt>
                <c:pt idx="1568">
                  <c:v>-634.08950000000004</c:v>
                </c:pt>
                <c:pt idx="1569">
                  <c:v>-633.26729999999998</c:v>
                </c:pt>
                <c:pt idx="1570">
                  <c:v>-632.4461</c:v>
                </c:pt>
                <c:pt idx="1571">
                  <c:v>-631.62290000000007</c:v>
                </c:pt>
                <c:pt idx="1572">
                  <c:v>-630.80070000000001</c:v>
                </c:pt>
                <c:pt idx="1573">
                  <c:v>-629.97750000000008</c:v>
                </c:pt>
                <c:pt idx="1574">
                  <c:v>-629.15629999999999</c:v>
                </c:pt>
                <c:pt idx="1575">
                  <c:v>-628.33310000000006</c:v>
                </c:pt>
                <c:pt idx="1576">
                  <c:v>-627.51089999999999</c:v>
                </c:pt>
                <c:pt idx="1577">
                  <c:v>-626.68769999999995</c:v>
                </c:pt>
                <c:pt idx="1578">
                  <c:v>-625.8646</c:v>
                </c:pt>
                <c:pt idx="1579">
                  <c:v>-625.04140000000007</c:v>
                </c:pt>
                <c:pt idx="1580">
                  <c:v>-624.2192</c:v>
                </c:pt>
                <c:pt idx="1581">
                  <c:v>-623.39599999999996</c:v>
                </c:pt>
                <c:pt idx="1582">
                  <c:v>-622.57180000000005</c:v>
                </c:pt>
                <c:pt idx="1583">
                  <c:v>-621.74970000000008</c:v>
                </c:pt>
                <c:pt idx="1584">
                  <c:v>-620.92550000000006</c:v>
                </c:pt>
                <c:pt idx="1585">
                  <c:v>-620.10130000000004</c:v>
                </c:pt>
                <c:pt idx="1586">
                  <c:v>-619.27809999999999</c:v>
                </c:pt>
                <c:pt idx="1587">
                  <c:v>-618.45500000000004</c:v>
                </c:pt>
                <c:pt idx="1588">
                  <c:v>-617.63080000000002</c:v>
                </c:pt>
                <c:pt idx="1589">
                  <c:v>-616.80860000000007</c:v>
                </c:pt>
                <c:pt idx="1590">
                  <c:v>-615.98349999999994</c:v>
                </c:pt>
                <c:pt idx="1591">
                  <c:v>-615.15930000000003</c:v>
                </c:pt>
                <c:pt idx="1592">
                  <c:v>-614.33720000000005</c:v>
                </c:pt>
                <c:pt idx="1593">
                  <c:v>-613.51200000000006</c:v>
                </c:pt>
                <c:pt idx="1594">
                  <c:v>-612.68790000000001</c:v>
                </c:pt>
                <c:pt idx="1595">
                  <c:v>-611.86369999999988</c:v>
                </c:pt>
                <c:pt idx="1596">
                  <c:v>-611.03959999999995</c:v>
                </c:pt>
                <c:pt idx="1597">
                  <c:v>-610.21640000000002</c:v>
                </c:pt>
                <c:pt idx="1598">
                  <c:v>-609.3913</c:v>
                </c:pt>
                <c:pt idx="1599">
                  <c:v>-608.56719999999996</c:v>
                </c:pt>
                <c:pt idx="1600">
                  <c:v>-607.74199999999996</c:v>
                </c:pt>
                <c:pt idx="1601">
                  <c:v>-606.91690000000006</c:v>
                </c:pt>
                <c:pt idx="1602">
                  <c:v>-606.09280000000001</c:v>
                </c:pt>
                <c:pt idx="1603">
                  <c:v>-605.26760000000002</c:v>
                </c:pt>
                <c:pt idx="1604">
                  <c:v>-604.4425</c:v>
                </c:pt>
                <c:pt idx="1605">
                  <c:v>-603.61840000000007</c:v>
                </c:pt>
                <c:pt idx="1606">
                  <c:v>-602.62369999999999</c:v>
                </c:pt>
                <c:pt idx="1607">
                  <c:v>-601.4556</c:v>
                </c:pt>
                <c:pt idx="1608">
                  <c:v>-600.16290000000004</c:v>
                </c:pt>
                <c:pt idx="1609">
                  <c:v>-598.86919999999998</c:v>
                </c:pt>
                <c:pt idx="1610">
                  <c:v>-597.57550000000003</c:v>
                </c:pt>
                <c:pt idx="1611">
                  <c:v>-596.2808</c:v>
                </c:pt>
                <c:pt idx="1612">
                  <c:v>-594.98820000000001</c:v>
                </c:pt>
                <c:pt idx="1613">
                  <c:v>-593.69350000000009</c:v>
                </c:pt>
                <c:pt idx="1614">
                  <c:v>-592.39890000000003</c:v>
                </c:pt>
                <c:pt idx="1615">
                  <c:v>-591.10419999999999</c:v>
                </c:pt>
                <c:pt idx="1616">
                  <c:v>-589.81060000000002</c:v>
                </c:pt>
                <c:pt idx="1617">
                  <c:v>-588.51499999999999</c:v>
                </c:pt>
                <c:pt idx="1618">
                  <c:v>-587.22039999999993</c:v>
                </c:pt>
                <c:pt idx="1619">
                  <c:v>-585.92489999999998</c:v>
                </c:pt>
                <c:pt idx="1620">
                  <c:v>-584.62829999999997</c:v>
                </c:pt>
                <c:pt idx="1621">
                  <c:v>-583.33269999999993</c:v>
                </c:pt>
                <c:pt idx="1622">
                  <c:v>-582.03819999999996</c:v>
                </c:pt>
                <c:pt idx="1623">
                  <c:v>-580.74170000000004</c:v>
                </c:pt>
                <c:pt idx="1624">
                  <c:v>-579.44620000000009</c:v>
                </c:pt>
                <c:pt idx="1625">
                  <c:v>-578.14970000000005</c:v>
                </c:pt>
                <c:pt idx="1626">
                  <c:v>-576.85320000000002</c:v>
                </c:pt>
                <c:pt idx="1627">
                  <c:v>-575.55669999999998</c:v>
                </c:pt>
                <c:pt idx="1628">
                  <c:v>-574.25919999999996</c:v>
                </c:pt>
                <c:pt idx="1629">
                  <c:v>-572.96280000000002</c:v>
                </c:pt>
                <c:pt idx="1630">
                  <c:v>-571.6653</c:v>
                </c:pt>
                <c:pt idx="1631">
                  <c:v>-570.36890000000005</c:v>
                </c:pt>
                <c:pt idx="1632">
                  <c:v>-569.07249999999999</c:v>
                </c:pt>
                <c:pt idx="1633">
                  <c:v>-567.77409999999998</c:v>
                </c:pt>
                <c:pt idx="1634">
                  <c:v>-566.47669999999994</c:v>
                </c:pt>
                <c:pt idx="1635">
                  <c:v>-565.17840000000001</c:v>
                </c:pt>
                <c:pt idx="1636">
                  <c:v>-563.88</c:v>
                </c:pt>
                <c:pt idx="1637">
                  <c:v>-562.58159999999998</c:v>
                </c:pt>
                <c:pt idx="1638">
                  <c:v>-561.28329999999994</c:v>
                </c:pt>
                <c:pt idx="1639">
                  <c:v>-559.9849999999999</c:v>
                </c:pt>
                <c:pt idx="1640">
                  <c:v>-558.68669999999997</c:v>
                </c:pt>
                <c:pt idx="1641">
                  <c:v>-557.38840000000005</c:v>
                </c:pt>
                <c:pt idx="1642">
                  <c:v>-556.08809999999994</c:v>
                </c:pt>
                <c:pt idx="1643">
                  <c:v>-554.78879999999992</c:v>
                </c:pt>
                <c:pt idx="1644">
                  <c:v>-553.49060000000009</c:v>
                </c:pt>
                <c:pt idx="1645">
                  <c:v>-552.19129999999996</c:v>
                </c:pt>
                <c:pt idx="1646">
                  <c:v>-550.89109999999994</c:v>
                </c:pt>
                <c:pt idx="1647">
                  <c:v>-549.59090000000003</c:v>
                </c:pt>
                <c:pt idx="1648">
                  <c:v>-548.29068000000007</c:v>
                </c:pt>
                <c:pt idx="1649">
                  <c:v>-546.99149</c:v>
                </c:pt>
                <c:pt idx="1650">
                  <c:v>-545.69030999999995</c:v>
                </c:pt>
                <c:pt idx="1651">
                  <c:v>-544.39015000000006</c:v>
                </c:pt>
                <c:pt idx="1652">
                  <c:v>-543.08999999999992</c:v>
                </c:pt>
                <c:pt idx="1653">
                  <c:v>-541.78985999999998</c:v>
                </c:pt>
                <c:pt idx="1654">
                  <c:v>-540.48773000000006</c:v>
                </c:pt>
                <c:pt idx="1655">
                  <c:v>-539.18760999999995</c:v>
                </c:pt>
                <c:pt idx="1656">
                  <c:v>-537.88450999999998</c:v>
                </c:pt>
                <c:pt idx="1657">
                  <c:v>-536.58441999999991</c:v>
                </c:pt>
                <c:pt idx="1658">
                  <c:v>-535.28234999999995</c:v>
                </c:pt>
                <c:pt idx="1659">
                  <c:v>-533.98128999999994</c:v>
                </c:pt>
                <c:pt idx="1660">
                  <c:v>-532.67923999999994</c:v>
                </c:pt>
                <c:pt idx="1661">
                  <c:v>-531.37619999999993</c:v>
                </c:pt>
                <c:pt idx="1662">
                  <c:v>-530.07418000000007</c:v>
                </c:pt>
                <c:pt idx="1663">
                  <c:v>-528.77216999999996</c:v>
                </c:pt>
                <c:pt idx="1664">
                  <c:v>-527.46917000000008</c:v>
                </c:pt>
                <c:pt idx="1665">
                  <c:v>-526.16619000000003</c:v>
                </c:pt>
                <c:pt idx="1666">
                  <c:v>-524.86322000000007</c:v>
                </c:pt>
                <c:pt idx="1667">
                  <c:v>-523.56025999999997</c:v>
                </c:pt>
                <c:pt idx="1668">
                  <c:v>-522.25731000000007</c:v>
                </c:pt>
                <c:pt idx="1669">
                  <c:v>-520.95337999999992</c:v>
                </c:pt>
                <c:pt idx="1670">
                  <c:v>-519.65046000000007</c:v>
                </c:pt>
                <c:pt idx="1671">
                  <c:v>-518.34754999999996</c:v>
                </c:pt>
                <c:pt idx="1672">
                  <c:v>-517.04265999999996</c:v>
                </c:pt>
                <c:pt idx="1673">
                  <c:v>-515.73877999999991</c:v>
                </c:pt>
                <c:pt idx="1674">
                  <c:v>-514.43390999999997</c:v>
                </c:pt>
                <c:pt idx="1675">
                  <c:v>-513.12905999999998</c:v>
                </c:pt>
                <c:pt idx="1676">
                  <c:v>-511.82521999999994</c:v>
                </c:pt>
                <c:pt idx="1677">
                  <c:v>-510.52038999999996</c:v>
                </c:pt>
                <c:pt idx="1678">
                  <c:v>-509.21608000000003</c:v>
                </c:pt>
                <c:pt idx="1679">
                  <c:v>-507.91088000000002</c:v>
                </c:pt>
                <c:pt idx="1680">
                  <c:v>-506.60568999999998</c:v>
                </c:pt>
                <c:pt idx="1681">
                  <c:v>-505.29951000000005</c:v>
                </c:pt>
                <c:pt idx="1682">
                  <c:v>-503.99435</c:v>
                </c:pt>
                <c:pt idx="1683">
                  <c:v>-502.68810000000002</c:v>
                </c:pt>
                <c:pt idx="1684">
                  <c:v>-501.38287000000003</c:v>
                </c:pt>
                <c:pt idx="1685">
                  <c:v>-500.07654000000002</c:v>
                </c:pt>
                <c:pt idx="1686">
                  <c:v>-498.77033</c:v>
                </c:pt>
                <c:pt idx="1687">
                  <c:v>-497.46393999999998</c:v>
                </c:pt>
                <c:pt idx="1688">
                  <c:v>-496.15764999999999</c:v>
                </c:pt>
                <c:pt idx="1689">
                  <c:v>-494.85028</c:v>
                </c:pt>
                <c:pt idx="1690">
                  <c:v>-493.54391999999996</c:v>
                </c:pt>
                <c:pt idx="1691">
                  <c:v>-492.23648000000003</c:v>
                </c:pt>
                <c:pt idx="1692">
                  <c:v>-490.92915000000005</c:v>
                </c:pt>
                <c:pt idx="1693">
                  <c:v>-489.62162999999998</c:v>
                </c:pt>
                <c:pt idx="1694">
                  <c:v>-488.31422999999995</c:v>
                </c:pt>
                <c:pt idx="1695">
                  <c:v>-487.00674000000004</c:v>
                </c:pt>
                <c:pt idx="1696">
                  <c:v>-485.69925999999998</c:v>
                </c:pt>
                <c:pt idx="1697">
                  <c:v>-484.39069000000001</c:v>
                </c:pt>
                <c:pt idx="1698">
                  <c:v>-483.08314000000001</c:v>
                </c:pt>
                <c:pt idx="1699">
                  <c:v>-481.77359999999999</c:v>
                </c:pt>
                <c:pt idx="1700">
                  <c:v>-480.46597999999994</c:v>
                </c:pt>
                <c:pt idx="1701">
                  <c:v>-479.15735999999998</c:v>
                </c:pt>
                <c:pt idx="1702">
                  <c:v>-477.84775999999999</c:v>
                </c:pt>
                <c:pt idx="1703">
                  <c:v>-476.53908000000001</c:v>
                </c:pt>
                <c:pt idx="1704">
                  <c:v>-475.22951</c:v>
                </c:pt>
                <c:pt idx="1705">
                  <c:v>-473.91975000000002</c:v>
                </c:pt>
                <c:pt idx="1706">
                  <c:v>-472.61110000000002</c:v>
                </c:pt>
                <c:pt idx="1707">
                  <c:v>-471.30137000000002</c:v>
                </c:pt>
                <c:pt idx="1708">
                  <c:v>-469.99154999999996</c:v>
                </c:pt>
                <c:pt idx="1709">
                  <c:v>-468.68083999999999</c:v>
                </c:pt>
                <c:pt idx="1710">
                  <c:v>-467.37104999999997</c:v>
                </c:pt>
                <c:pt idx="1711">
                  <c:v>-466.06016999999997</c:v>
                </c:pt>
                <c:pt idx="1712">
                  <c:v>-464.75030000000004</c:v>
                </c:pt>
                <c:pt idx="1713">
                  <c:v>-463.43943999999999</c:v>
                </c:pt>
                <c:pt idx="1714">
                  <c:v>-462.12759999999997</c:v>
                </c:pt>
                <c:pt idx="1715">
                  <c:v>-460.81768</c:v>
                </c:pt>
                <c:pt idx="1716">
                  <c:v>-459.50675999999999</c:v>
                </c:pt>
                <c:pt idx="1717">
                  <c:v>-458.19486000000001</c:v>
                </c:pt>
                <c:pt idx="1718">
                  <c:v>-456.88387999999998</c:v>
                </c:pt>
                <c:pt idx="1719">
                  <c:v>-455.57190000000003</c:v>
                </c:pt>
                <c:pt idx="1720">
                  <c:v>-454.25884000000002</c:v>
                </c:pt>
                <c:pt idx="1721">
                  <c:v>-452.94789000000003</c:v>
                </c:pt>
                <c:pt idx="1722">
                  <c:v>-451.63576</c:v>
                </c:pt>
                <c:pt idx="1723">
                  <c:v>-450.32274000000001</c:v>
                </c:pt>
                <c:pt idx="1724">
                  <c:v>-449.01062999999999</c:v>
                </c:pt>
                <c:pt idx="1725">
                  <c:v>-447.69754</c:v>
                </c:pt>
                <c:pt idx="1726">
                  <c:v>-446.38436000000002</c:v>
                </c:pt>
                <c:pt idx="1727">
                  <c:v>-445.07229000000001</c:v>
                </c:pt>
                <c:pt idx="1728">
                  <c:v>-443.75903</c:v>
                </c:pt>
                <c:pt idx="1729">
                  <c:v>-442.44488999999999</c:v>
                </c:pt>
                <c:pt idx="1730">
                  <c:v>-441.13166999999999</c:v>
                </c:pt>
                <c:pt idx="1731">
                  <c:v>-439.81845000000004</c:v>
                </c:pt>
                <c:pt idx="1732">
                  <c:v>-438.50414999999998</c:v>
                </c:pt>
                <c:pt idx="1733">
                  <c:v>-437.18986000000001</c:v>
                </c:pt>
                <c:pt idx="1734">
                  <c:v>-435.87558999999999</c:v>
                </c:pt>
                <c:pt idx="1735">
                  <c:v>-434.56123000000002</c:v>
                </c:pt>
                <c:pt idx="1736">
                  <c:v>-433.24687999999998</c:v>
                </c:pt>
                <c:pt idx="1737">
                  <c:v>-431.93254999999999</c:v>
                </c:pt>
                <c:pt idx="1738">
                  <c:v>-430.61713000000003</c:v>
                </c:pt>
                <c:pt idx="1739">
                  <c:v>-429.30172000000005</c:v>
                </c:pt>
                <c:pt idx="1740">
                  <c:v>-427.98631999999998</c:v>
                </c:pt>
                <c:pt idx="1741">
                  <c:v>-426.67084</c:v>
                </c:pt>
                <c:pt idx="1742">
                  <c:v>-425.35638</c:v>
                </c:pt>
                <c:pt idx="1743">
                  <c:v>-424.03992</c:v>
                </c:pt>
                <c:pt idx="1744">
                  <c:v>-422.72438</c:v>
                </c:pt>
                <c:pt idx="1745">
                  <c:v>-421.40786000000003</c:v>
                </c:pt>
                <c:pt idx="1746">
                  <c:v>-420.09224</c:v>
                </c:pt>
                <c:pt idx="1747">
                  <c:v>-418.77473999999995</c:v>
                </c:pt>
                <c:pt idx="1748">
                  <c:v>-417.45916</c:v>
                </c:pt>
                <c:pt idx="1749">
                  <c:v>-416.14148</c:v>
                </c:pt>
                <c:pt idx="1750">
                  <c:v>-414.82582000000002</c:v>
                </c:pt>
                <c:pt idx="1751">
                  <c:v>-413.50818000000004</c:v>
                </c:pt>
                <c:pt idx="1752">
                  <c:v>-412.19054</c:v>
                </c:pt>
                <c:pt idx="1753">
                  <c:v>-410.87383</c:v>
                </c:pt>
                <c:pt idx="1754">
                  <c:v>-409.55611999999996</c:v>
                </c:pt>
                <c:pt idx="1755">
                  <c:v>-408.23833000000002</c:v>
                </c:pt>
                <c:pt idx="1756">
                  <c:v>-406.91955000000002</c:v>
                </c:pt>
                <c:pt idx="1757">
                  <c:v>-405.60177999999996</c:v>
                </c:pt>
                <c:pt idx="1758">
                  <c:v>-404.28392999999994</c:v>
                </c:pt>
                <c:pt idx="1759">
                  <c:v>-402.96609000000001</c:v>
                </c:pt>
                <c:pt idx="1760">
                  <c:v>-401.64626999999996</c:v>
                </c:pt>
                <c:pt idx="1761">
                  <c:v>-400.32835999999998</c:v>
                </c:pt>
                <c:pt idx="1762">
                  <c:v>-399.00945999999999</c:v>
                </c:pt>
                <c:pt idx="1763">
                  <c:v>-397.69056999999998</c:v>
                </c:pt>
                <c:pt idx="1764">
                  <c:v>-396.37160000000006</c:v>
                </c:pt>
                <c:pt idx="1765">
                  <c:v>-395.05165</c:v>
                </c:pt>
                <c:pt idx="1766">
                  <c:v>-393.73169999999999</c:v>
                </c:pt>
                <c:pt idx="1767">
                  <c:v>-392.41166999999996</c:v>
                </c:pt>
                <c:pt idx="1768">
                  <c:v>-391.09266000000002</c:v>
                </c:pt>
                <c:pt idx="1769">
                  <c:v>-389.77265</c:v>
                </c:pt>
                <c:pt idx="1770">
                  <c:v>-388.45256000000001</c:v>
                </c:pt>
                <c:pt idx="1771">
                  <c:v>-387.13148999999999</c:v>
                </c:pt>
                <c:pt idx="1772">
                  <c:v>-385.81032000000005</c:v>
                </c:pt>
                <c:pt idx="1773">
                  <c:v>-384.49028000000004</c:v>
                </c:pt>
                <c:pt idx="1774">
                  <c:v>-383.16904</c:v>
                </c:pt>
                <c:pt idx="1775">
                  <c:v>-381.84791999999999</c:v>
                </c:pt>
                <c:pt idx="1776">
                  <c:v>-380.52670999999998</c:v>
                </c:pt>
                <c:pt idx="1777">
                  <c:v>-379.20551999999998</c:v>
                </c:pt>
                <c:pt idx="1778">
                  <c:v>-377.88322999999997</c:v>
                </c:pt>
                <c:pt idx="1779">
                  <c:v>-376.56197000000003</c:v>
                </c:pt>
                <c:pt idx="1780">
                  <c:v>-375.23971</c:v>
                </c:pt>
                <c:pt idx="1781">
                  <c:v>-373.91747000000004</c:v>
                </c:pt>
                <c:pt idx="1782">
                  <c:v>-372.59614999999997</c:v>
                </c:pt>
                <c:pt idx="1783">
                  <c:v>-371.27273000000002</c:v>
                </c:pt>
                <c:pt idx="1784">
                  <c:v>-369.95042999999998</c:v>
                </c:pt>
                <c:pt idx="1785">
                  <c:v>-368.62805000000003</c:v>
                </c:pt>
                <c:pt idx="1786">
                  <c:v>-367.30457999999999</c:v>
                </c:pt>
                <c:pt idx="1787">
                  <c:v>-365.98221999999998</c:v>
                </c:pt>
                <c:pt idx="1788">
                  <c:v>-364.65777000000003</c:v>
                </c:pt>
                <c:pt idx="1789">
                  <c:v>-363.33423999999997</c:v>
                </c:pt>
                <c:pt idx="1790">
                  <c:v>-362.01073000000002</c:v>
                </c:pt>
                <c:pt idx="1791">
                  <c:v>-360.68621999999999</c:v>
                </c:pt>
                <c:pt idx="1792">
                  <c:v>-359.36273</c:v>
                </c:pt>
                <c:pt idx="1793">
                  <c:v>-358.03815000000003</c:v>
                </c:pt>
                <c:pt idx="1794">
                  <c:v>-356.71458999999999</c:v>
                </c:pt>
                <c:pt idx="1795">
                  <c:v>-355.38993999999997</c:v>
                </c:pt>
                <c:pt idx="1796">
                  <c:v>-354.06541000000004</c:v>
                </c:pt>
                <c:pt idx="1797">
                  <c:v>-352.74068999999997</c:v>
                </c:pt>
                <c:pt idx="1798">
                  <c:v>-351.41608000000002</c:v>
                </c:pt>
                <c:pt idx="1799">
                  <c:v>-350.09037999999998</c:v>
                </c:pt>
                <c:pt idx="1800">
                  <c:v>-348.7647</c:v>
                </c:pt>
                <c:pt idx="1801">
                  <c:v>-347.43993999999998</c:v>
                </c:pt>
                <c:pt idx="1802">
                  <c:v>-346.11417999999998</c:v>
                </c:pt>
                <c:pt idx="1803">
                  <c:v>-344.78744000000006</c:v>
                </c:pt>
                <c:pt idx="1804">
                  <c:v>-343.46161999999998</c:v>
                </c:pt>
                <c:pt idx="1805">
                  <c:v>-342.13580999999999</c:v>
                </c:pt>
                <c:pt idx="1806">
                  <c:v>-340.80901</c:v>
                </c:pt>
                <c:pt idx="1807">
                  <c:v>-339.48311999999999</c:v>
                </c:pt>
                <c:pt idx="1808">
                  <c:v>-338.15525000000002</c:v>
                </c:pt>
                <c:pt idx="1809">
                  <c:v>-336.82929999999999</c:v>
                </c:pt>
                <c:pt idx="1810">
                  <c:v>-335.50145000000003</c:v>
                </c:pt>
                <c:pt idx="1811">
                  <c:v>-334.17442</c:v>
                </c:pt>
                <c:pt idx="1812">
                  <c:v>-332.84751</c:v>
                </c:pt>
                <c:pt idx="1813">
                  <c:v>-331.51950999999997</c:v>
                </c:pt>
                <c:pt idx="1814">
                  <c:v>-330.19252</c:v>
                </c:pt>
                <c:pt idx="1815">
                  <c:v>-328.86444</c:v>
                </c:pt>
                <c:pt idx="1816">
                  <c:v>-327.53647999999998</c:v>
                </c:pt>
                <c:pt idx="1817">
                  <c:v>-326.20834000000002</c:v>
                </c:pt>
                <c:pt idx="1818">
                  <c:v>-324.8793</c:v>
                </c:pt>
                <c:pt idx="1819">
                  <c:v>-323.55017999999995</c:v>
                </c:pt>
                <c:pt idx="1820">
                  <c:v>-322.22197999999997</c:v>
                </c:pt>
                <c:pt idx="1821">
                  <c:v>-320.89289000000002</c:v>
                </c:pt>
                <c:pt idx="1822">
                  <c:v>-319.56371000000001</c:v>
                </c:pt>
                <c:pt idx="1823">
                  <c:v>-318.23444999999998</c:v>
                </c:pt>
                <c:pt idx="1824">
                  <c:v>-316.90530000000001</c:v>
                </c:pt>
                <c:pt idx="1825">
                  <c:v>-315.57606000000004</c:v>
                </c:pt>
                <c:pt idx="1826">
                  <c:v>-314.24573999999996</c:v>
                </c:pt>
                <c:pt idx="1827">
                  <c:v>-312.91543000000001</c:v>
                </c:pt>
                <c:pt idx="1828">
                  <c:v>-311.58513000000005</c:v>
                </c:pt>
                <c:pt idx="1829">
                  <c:v>-310.25484999999998</c:v>
                </c:pt>
                <c:pt idx="1830">
                  <c:v>-308.92448999999999</c:v>
                </c:pt>
                <c:pt idx="1831">
                  <c:v>-307.59413000000001</c:v>
                </c:pt>
                <c:pt idx="1832">
                  <c:v>-306.26268999999996</c:v>
                </c:pt>
                <c:pt idx="1833">
                  <c:v>-304.93227000000002</c:v>
                </c:pt>
                <c:pt idx="1834">
                  <c:v>-303.60145999999997</c:v>
                </c:pt>
                <c:pt idx="1835">
                  <c:v>-302.26955999999996</c:v>
                </c:pt>
                <c:pt idx="1836">
                  <c:v>-300.93847999999997</c:v>
                </c:pt>
                <c:pt idx="1837">
                  <c:v>-299.60621000000003</c:v>
                </c:pt>
                <c:pt idx="1838">
                  <c:v>-298.27504999999996</c:v>
                </c:pt>
                <c:pt idx="1839">
                  <c:v>-296.94261</c:v>
                </c:pt>
                <c:pt idx="1840">
                  <c:v>-295.61008000000004</c:v>
                </c:pt>
                <c:pt idx="1841">
                  <c:v>-294.27847000000003</c:v>
                </c:pt>
                <c:pt idx="1842">
                  <c:v>-292.94576999999998</c:v>
                </c:pt>
                <c:pt idx="1843">
                  <c:v>-291.61297999999999</c:v>
                </c:pt>
                <c:pt idx="1844">
                  <c:v>-290.28010999999998</c:v>
                </c:pt>
                <c:pt idx="1845">
                  <c:v>-288.94704999999999</c:v>
                </c:pt>
                <c:pt idx="1846">
                  <c:v>-287.61390999999998</c:v>
                </c:pt>
                <c:pt idx="1847">
                  <c:v>-286.28078000000005</c:v>
                </c:pt>
                <c:pt idx="1848">
                  <c:v>-284.94635999999997</c:v>
                </c:pt>
                <c:pt idx="1849">
                  <c:v>-283.61295999999999</c:v>
                </c:pt>
                <c:pt idx="1850">
                  <c:v>-282.27947</c:v>
                </c:pt>
                <c:pt idx="1851">
                  <c:v>-280.94489999999996</c:v>
                </c:pt>
                <c:pt idx="1852">
                  <c:v>-279.61104</c:v>
                </c:pt>
                <c:pt idx="1853">
                  <c:v>-278.27629000000002</c:v>
                </c:pt>
                <c:pt idx="1854">
                  <c:v>-276.94136000000003</c:v>
                </c:pt>
                <c:pt idx="1855">
                  <c:v>-275.60724000000005</c:v>
                </c:pt>
                <c:pt idx="1856">
                  <c:v>-274.27213999999998</c:v>
                </c:pt>
                <c:pt idx="1857">
                  <c:v>-272.93675000000002</c:v>
                </c:pt>
                <c:pt idx="1858">
                  <c:v>-271.60147000000001</c:v>
                </c:pt>
                <c:pt idx="1859">
                  <c:v>-270.26590799999997</c:v>
                </c:pt>
                <c:pt idx="1860">
                  <c:v>-268.93045899999998</c:v>
                </c:pt>
                <c:pt idx="1861">
                  <c:v>-267.59472499999998</c:v>
                </c:pt>
                <c:pt idx="1862">
                  <c:v>-266.259005</c:v>
                </c:pt>
                <c:pt idx="1863">
                  <c:v>-265.18943400000001</c:v>
                </c:pt>
                <c:pt idx="1864">
                  <c:v>-264.26895400000001</c:v>
                </c:pt>
                <c:pt idx="1865">
                  <c:v>-263.34838200000002</c:v>
                </c:pt>
                <c:pt idx="1866">
                  <c:v>-262.428718</c:v>
                </c:pt>
                <c:pt idx="1867">
                  <c:v>-261.508062</c:v>
                </c:pt>
                <c:pt idx="1868">
                  <c:v>-260.58741499999996</c:v>
                </c:pt>
                <c:pt idx="1869">
                  <c:v>-259.666676</c:v>
                </c:pt>
                <c:pt idx="1870">
                  <c:v>-258.74584499999997</c:v>
                </c:pt>
                <c:pt idx="1871">
                  <c:v>-257.82512300000002</c:v>
                </c:pt>
                <c:pt idx="1872">
                  <c:v>-256.90430800000001</c:v>
                </c:pt>
                <c:pt idx="1873">
                  <c:v>-255.98330299999998</c:v>
                </c:pt>
                <c:pt idx="1874">
                  <c:v>-255.191271</c:v>
                </c:pt>
                <c:pt idx="1875">
                  <c:v>-254.84952800000002</c:v>
                </c:pt>
                <c:pt idx="1876">
                  <c:v>-254.50788699999998</c:v>
                </c:pt>
                <c:pt idx="1877">
                  <c:v>-254.16514699999999</c:v>
                </c:pt>
                <c:pt idx="1878">
                  <c:v>-253.82341</c:v>
                </c:pt>
                <c:pt idx="1879">
                  <c:v>-253.481675</c:v>
                </c:pt>
                <c:pt idx="1880">
                  <c:v>-253.13894299999998</c:v>
                </c:pt>
                <c:pt idx="1881">
                  <c:v>-252.797212</c:v>
                </c:pt>
                <c:pt idx="1882">
                  <c:v>-252.52484200000001</c:v>
                </c:pt>
                <c:pt idx="1883">
                  <c:v>-252.50703500000003</c:v>
                </c:pt>
                <c:pt idx="1884">
                  <c:v>-252.48812800000002</c:v>
                </c:pt>
                <c:pt idx="1885">
                  <c:v>-252.47032100000001</c:v>
                </c:pt>
                <c:pt idx="1886">
                  <c:v>-252.45151399999997</c:v>
                </c:pt>
                <c:pt idx="1887">
                  <c:v>-252.433707</c:v>
                </c:pt>
                <c:pt idx="1888">
                  <c:v>-252.41480099999998</c:v>
                </c:pt>
                <c:pt idx="1889">
                  <c:v>-252.39699400000001</c:v>
                </c:pt>
                <c:pt idx="1890">
                  <c:v>-252.378187</c:v>
                </c:pt>
                <c:pt idx="1891">
                  <c:v>-252.36027999999999</c:v>
                </c:pt>
                <c:pt idx="1892">
                  <c:v>-252.34137299999998</c:v>
                </c:pt>
                <c:pt idx="1893">
                  <c:v>-252.323567</c:v>
                </c:pt>
                <c:pt idx="1894">
                  <c:v>-252.30475999999999</c:v>
                </c:pt>
                <c:pt idx="1895">
                  <c:v>-252.28695300000001</c:v>
                </c:pt>
                <c:pt idx="1896">
                  <c:v>-252.268047</c:v>
                </c:pt>
                <c:pt idx="1897">
                  <c:v>-252.25024000000002</c:v>
                </c:pt>
                <c:pt idx="1898">
                  <c:v>-252.23143400000001</c:v>
                </c:pt>
                <c:pt idx="1899">
                  <c:v>-252.21362699999997</c:v>
                </c:pt>
                <c:pt idx="1900">
                  <c:v>-252.19472100000002</c:v>
                </c:pt>
                <c:pt idx="1901">
                  <c:v>-252.17681400000001</c:v>
                </c:pt>
                <c:pt idx="1902">
                  <c:v>-252.158008</c:v>
                </c:pt>
                <c:pt idx="1903">
                  <c:v>-252.14020200000002</c:v>
                </c:pt>
                <c:pt idx="1904">
                  <c:v>-252.12129499999998</c:v>
                </c:pt>
                <c:pt idx="1905">
                  <c:v>-252.10348900000002</c:v>
                </c:pt>
                <c:pt idx="1906">
                  <c:v>-252.08468300000001</c:v>
                </c:pt>
                <c:pt idx="1907">
                  <c:v>-252.065877</c:v>
                </c:pt>
                <c:pt idx="1908">
                  <c:v>-252.04797100000002</c:v>
                </c:pt>
                <c:pt idx="1909">
                  <c:v>-252.02916400000001</c:v>
                </c:pt>
                <c:pt idx="1910">
                  <c:v>-252.01135799999997</c:v>
                </c:pt>
                <c:pt idx="1911">
                  <c:v>-251.99245200000001</c:v>
                </c:pt>
                <c:pt idx="1912">
                  <c:v>-251.974546</c:v>
                </c:pt>
                <c:pt idx="1913">
                  <c:v>-251.95573999999999</c:v>
                </c:pt>
                <c:pt idx="1914">
                  <c:v>-251.93793400000001</c:v>
                </c:pt>
                <c:pt idx="1915">
                  <c:v>-251.919128</c:v>
                </c:pt>
                <c:pt idx="1916">
                  <c:v>-251.90122199999996</c:v>
                </c:pt>
                <c:pt idx="1917">
                  <c:v>-251.882417</c:v>
                </c:pt>
                <c:pt idx="1918">
                  <c:v>-251.86461100000002</c:v>
                </c:pt>
                <c:pt idx="1919">
                  <c:v>-251.84580499999998</c:v>
                </c:pt>
                <c:pt idx="1920">
                  <c:v>-251.827899</c:v>
                </c:pt>
                <c:pt idx="1921">
                  <c:v>-251.80899299999999</c:v>
                </c:pt>
                <c:pt idx="1922">
                  <c:v>-251.79118800000001</c:v>
                </c:pt>
                <c:pt idx="1923">
                  <c:v>-251.77238199999999</c:v>
                </c:pt>
                <c:pt idx="1924">
                  <c:v>-251.75447600000001</c:v>
                </c:pt>
                <c:pt idx="1925">
                  <c:v>-251.735671</c:v>
                </c:pt>
                <c:pt idx="1926">
                  <c:v>-251.71786500000002</c:v>
                </c:pt>
                <c:pt idx="1927">
                  <c:v>-251.69905999999997</c:v>
                </c:pt>
                <c:pt idx="1928">
                  <c:v>-251.68115399999999</c:v>
                </c:pt>
                <c:pt idx="1929">
                  <c:v>-251.66234900000001</c:v>
                </c:pt>
                <c:pt idx="1930">
                  <c:v>-251.64444400000002</c:v>
                </c:pt>
                <c:pt idx="1931">
                  <c:v>-251.62553799999998</c:v>
                </c:pt>
                <c:pt idx="1932">
                  <c:v>-251.607733</c:v>
                </c:pt>
                <c:pt idx="1933">
                  <c:v>-251.58892800000001</c:v>
                </c:pt>
                <c:pt idx="1934">
                  <c:v>-251.571122</c:v>
                </c:pt>
                <c:pt idx="1935">
                  <c:v>-251.55221699999998</c:v>
                </c:pt>
                <c:pt idx="1936">
                  <c:v>-251.53441199999997</c:v>
                </c:pt>
                <c:pt idx="1937">
                  <c:v>-251.51560699999999</c:v>
                </c:pt>
                <c:pt idx="1938">
                  <c:v>-251.49780099999998</c:v>
                </c:pt>
                <c:pt idx="1939">
                  <c:v>-251.47889599999999</c:v>
                </c:pt>
                <c:pt idx="1940">
                  <c:v>-251.46099099999998</c:v>
                </c:pt>
                <c:pt idx="1941">
                  <c:v>-251.44218600000002</c:v>
                </c:pt>
                <c:pt idx="1942">
                  <c:v>-251.42438099999998</c:v>
                </c:pt>
                <c:pt idx="1943">
                  <c:v>-251.40547600000002</c:v>
                </c:pt>
                <c:pt idx="1944">
                  <c:v>-251.38767100000001</c:v>
                </c:pt>
                <c:pt idx="1945">
                  <c:v>-251.36886600000003</c:v>
                </c:pt>
                <c:pt idx="1946">
                  <c:v>-251.35106200000001</c:v>
                </c:pt>
                <c:pt idx="1947">
                  <c:v>-251.332157</c:v>
                </c:pt>
                <c:pt idx="1948">
                  <c:v>-251.31435199999999</c:v>
                </c:pt>
                <c:pt idx="1949">
                  <c:v>-251.29544700000002</c:v>
                </c:pt>
                <c:pt idx="1950">
                  <c:v>-251.27764199999999</c:v>
                </c:pt>
                <c:pt idx="1951">
                  <c:v>-251.25873799999999</c:v>
                </c:pt>
                <c:pt idx="1952">
                  <c:v>-251.24093299999998</c:v>
                </c:pt>
                <c:pt idx="1953">
                  <c:v>-251.222129</c:v>
                </c:pt>
                <c:pt idx="1954">
                  <c:v>-251.20432399999999</c:v>
                </c:pt>
                <c:pt idx="1955">
                  <c:v>-251.185419</c:v>
                </c:pt>
                <c:pt idx="1956">
                  <c:v>-251.16761500000001</c:v>
                </c:pt>
                <c:pt idx="1957">
                  <c:v>-251.14880999999997</c:v>
                </c:pt>
                <c:pt idx="1958">
                  <c:v>-251.13090599999998</c:v>
                </c:pt>
                <c:pt idx="1959">
                  <c:v>-251.11200200000002</c:v>
                </c:pt>
                <c:pt idx="1960">
                  <c:v>-251.093197</c:v>
                </c:pt>
                <c:pt idx="1961">
                  <c:v>-251.07539300000002</c:v>
                </c:pt>
                <c:pt idx="1962">
                  <c:v>-251.05658799999998</c:v>
                </c:pt>
                <c:pt idx="1963">
                  <c:v>-251.03868400000002</c:v>
                </c:pt>
                <c:pt idx="1964">
                  <c:v>-251.01988</c:v>
                </c:pt>
                <c:pt idx="1965">
                  <c:v>-251.00207599999999</c:v>
                </c:pt>
                <c:pt idx="1966">
                  <c:v>-250.983272</c:v>
                </c:pt>
                <c:pt idx="1967">
                  <c:v>-250.96526699999998</c:v>
                </c:pt>
                <c:pt idx="1968">
                  <c:v>-250.94646299999999</c:v>
                </c:pt>
                <c:pt idx="1969">
                  <c:v>-250.92865899999998</c:v>
                </c:pt>
                <c:pt idx="1970">
                  <c:v>-250.90985499999999</c:v>
                </c:pt>
                <c:pt idx="1971">
                  <c:v>-250.89195100000001</c:v>
                </c:pt>
                <c:pt idx="1972">
                  <c:v>-250.87314700000002</c:v>
                </c:pt>
                <c:pt idx="1973">
                  <c:v>-250.855343</c:v>
                </c:pt>
                <c:pt idx="1974">
                  <c:v>-250.83653899999999</c:v>
                </c:pt>
                <c:pt idx="1975">
                  <c:v>-250.81863600000003</c:v>
                </c:pt>
                <c:pt idx="1976">
                  <c:v>-250.79973200000001</c:v>
                </c:pt>
                <c:pt idx="1977">
                  <c:v>-250.78192799999999</c:v>
                </c:pt>
                <c:pt idx="1978">
                  <c:v>-250.763124</c:v>
                </c:pt>
                <c:pt idx="1979">
                  <c:v>-250.74521999999999</c:v>
                </c:pt>
                <c:pt idx="1980">
                  <c:v>-250.72641700000003</c:v>
                </c:pt>
                <c:pt idx="1981">
                  <c:v>-250.70861300000001</c:v>
                </c:pt>
                <c:pt idx="1982">
                  <c:v>-250.689809</c:v>
                </c:pt>
                <c:pt idx="1983">
                  <c:v>-250.67190599999998</c:v>
                </c:pt>
                <c:pt idx="1984">
                  <c:v>-250.65300200000001</c:v>
                </c:pt>
                <c:pt idx="1985">
                  <c:v>-250.635199</c:v>
                </c:pt>
                <c:pt idx="1986">
                  <c:v>-250.61629499999998</c:v>
                </c:pt>
                <c:pt idx="1987">
                  <c:v>-250.59849199999999</c:v>
                </c:pt>
                <c:pt idx="1988">
                  <c:v>-250.57968800000003</c:v>
                </c:pt>
                <c:pt idx="1989">
                  <c:v>-250.56188500000002</c:v>
                </c:pt>
                <c:pt idx="1990">
                  <c:v>-250.54298199999999</c:v>
                </c:pt>
                <c:pt idx="1991">
                  <c:v>-250.52517799999998</c:v>
                </c:pt>
                <c:pt idx="1992">
                  <c:v>-250.50637500000002</c:v>
                </c:pt>
                <c:pt idx="1993">
                  <c:v>-250.488472</c:v>
                </c:pt>
                <c:pt idx="1994">
                  <c:v>-250.46956899999998</c:v>
                </c:pt>
                <c:pt idx="1995">
                  <c:v>-250.45176599999999</c:v>
                </c:pt>
                <c:pt idx="1996">
                  <c:v>-250.43296200000003</c:v>
                </c:pt>
                <c:pt idx="1997">
                  <c:v>-250.41515900000002</c:v>
                </c:pt>
                <c:pt idx="1998">
                  <c:v>-250.39625599999999</c:v>
                </c:pt>
                <c:pt idx="1999">
                  <c:v>-250.37845299999998</c:v>
                </c:pt>
                <c:pt idx="2000">
                  <c:v>-250.35964999999999</c:v>
                </c:pt>
                <c:pt idx="2001">
                  <c:v>-250.341747</c:v>
                </c:pt>
                <c:pt idx="2002">
                  <c:v>-250.32284400000003</c:v>
                </c:pt>
                <c:pt idx="2003">
                  <c:v>-250.30504100000002</c:v>
                </c:pt>
                <c:pt idx="2004">
                  <c:v>-250.28623800000003</c:v>
                </c:pt>
                <c:pt idx="2005">
                  <c:v>-250.26843600000001</c:v>
                </c:pt>
                <c:pt idx="2006">
                  <c:v>-250.24953299999999</c:v>
                </c:pt>
                <c:pt idx="2007">
                  <c:v>-250.23072999999999</c:v>
                </c:pt>
                <c:pt idx="2008">
                  <c:v>-250.21292699999998</c:v>
                </c:pt>
                <c:pt idx="2009">
                  <c:v>-250.19412499999999</c:v>
                </c:pt>
                <c:pt idx="2010">
                  <c:v>-250.17612200000002</c:v>
                </c:pt>
                <c:pt idx="2011">
                  <c:v>-250.157319</c:v>
                </c:pt>
                <c:pt idx="2012">
                  <c:v>-250.13951700000001</c:v>
                </c:pt>
                <c:pt idx="2013">
                  <c:v>-250.12071400000002</c:v>
                </c:pt>
                <c:pt idx="2014">
                  <c:v>-250.102812</c:v>
                </c:pt>
                <c:pt idx="2015">
                  <c:v>-250.08400899999998</c:v>
                </c:pt>
                <c:pt idx="2016">
                  <c:v>-250.06620699999996</c:v>
                </c:pt>
                <c:pt idx="2017">
                  <c:v>-250.047404</c:v>
                </c:pt>
                <c:pt idx="2018">
                  <c:v>-250.029402</c:v>
                </c:pt>
                <c:pt idx="2019">
                  <c:v>-250.01059999999998</c:v>
                </c:pt>
                <c:pt idx="2020">
                  <c:v>-249.992797</c:v>
                </c:pt>
                <c:pt idx="2021">
                  <c:v>-249.973995</c:v>
                </c:pt>
                <c:pt idx="2022">
                  <c:v>-249.95609300000001</c:v>
                </c:pt>
                <c:pt idx="2023">
                  <c:v>-249.93729100000002</c:v>
                </c:pt>
                <c:pt idx="2024">
                  <c:v>-249.919488</c:v>
                </c:pt>
                <c:pt idx="2025">
                  <c:v>-249.90068599999998</c:v>
                </c:pt>
                <c:pt idx="2026">
                  <c:v>-249.88268399999998</c:v>
                </c:pt>
                <c:pt idx="2027">
                  <c:v>-249.86388199999999</c:v>
                </c:pt>
                <c:pt idx="2028">
                  <c:v>-249.84607999999997</c:v>
                </c:pt>
                <c:pt idx="2029">
                  <c:v>-249.82727800000004</c:v>
                </c:pt>
                <c:pt idx="2030">
                  <c:v>-249.80937599999999</c:v>
                </c:pt>
                <c:pt idx="2031">
                  <c:v>-249.79057399999999</c:v>
                </c:pt>
                <c:pt idx="2032">
                  <c:v>-249.77277199999997</c:v>
                </c:pt>
                <c:pt idx="2033">
                  <c:v>-249.75397000000001</c:v>
                </c:pt>
                <c:pt idx="2034">
                  <c:v>-249.73596900000001</c:v>
                </c:pt>
                <c:pt idx="2035">
                  <c:v>-249.71716699999999</c:v>
                </c:pt>
                <c:pt idx="2036">
                  <c:v>-249.699365</c:v>
                </c:pt>
                <c:pt idx="2037">
                  <c:v>-249.68056300000001</c:v>
                </c:pt>
                <c:pt idx="2038">
                  <c:v>-249.66266200000001</c:v>
                </c:pt>
                <c:pt idx="2039">
                  <c:v>-249.64386000000002</c:v>
                </c:pt>
                <c:pt idx="2040">
                  <c:v>-249.626058</c:v>
                </c:pt>
                <c:pt idx="2041">
                  <c:v>-249.607257</c:v>
                </c:pt>
                <c:pt idx="2042">
                  <c:v>-249.58925499999998</c:v>
                </c:pt>
                <c:pt idx="2043">
                  <c:v>-249.57045400000001</c:v>
                </c:pt>
                <c:pt idx="2044">
                  <c:v>-249.55265199999999</c:v>
                </c:pt>
                <c:pt idx="2045">
                  <c:v>-249.53385100000003</c:v>
                </c:pt>
                <c:pt idx="2046">
                  <c:v>-249.51594900000001</c:v>
                </c:pt>
                <c:pt idx="2047">
                  <c:v>-249.49714799999998</c:v>
                </c:pt>
                <c:pt idx="2048">
                  <c:v>-249.47934699999996</c:v>
                </c:pt>
                <c:pt idx="2049">
                  <c:v>-249.46044499999999</c:v>
                </c:pt>
                <c:pt idx="2050">
                  <c:v>-249.442544</c:v>
                </c:pt>
                <c:pt idx="2051">
                  <c:v>-249.423743</c:v>
                </c:pt>
                <c:pt idx="2052">
                  <c:v>-249.40494199999998</c:v>
                </c:pt>
                <c:pt idx="2053">
                  <c:v>-249.38713999999999</c:v>
                </c:pt>
                <c:pt idx="2054">
                  <c:v>-249.36823900000002</c:v>
                </c:pt>
                <c:pt idx="2055">
                  <c:v>-249.350438</c:v>
                </c:pt>
                <c:pt idx="2056">
                  <c:v>-249.331637</c:v>
                </c:pt>
                <c:pt idx="2057">
                  <c:v>-249.31373600000001</c:v>
                </c:pt>
                <c:pt idx="2058">
                  <c:v>-249.29483499999998</c:v>
                </c:pt>
                <c:pt idx="2059">
                  <c:v>-249.27703399999999</c:v>
                </c:pt>
                <c:pt idx="2060">
                  <c:v>-249.25823299999999</c:v>
                </c:pt>
                <c:pt idx="2061">
                  <c:v>-249.24033200000002</c:v>
                </c:pt>
                <c:pt idx="2062">
                  <c:v>-249.221531</c:v>
                </c:pt>
                <c:pt idx="2063">
                  <c:v>-249.20373000000001</c:v>
                </c:pt>
                <c:pt idx="2064">
                  <c:v>-249.18493000000001</c:v>
                </c:pt>
                <c:pt idx="2065">
                  <c:v>-249.16692899999998</c:v>
                </c:pt>
                <c:pt idx="2066">
                  <c:v>-249.14812799999999</c:v>
                </c:pt>
                <c:pt idx="2067">
                  <c:v>-249.13032700000002</c:v>
                </c:pt>
                <c:pt idx="2068">
                  <c:v>-249.111527</c:v>
                </c:pt>
                <c:pt idx="2069">
                  <c:v>-249.09362600000003</c:v>
                </c:pt>
                <c:pt idx="2070">
                  <c:v>-249.074826</c:v>
                </c:pt>
                <c:pt idx="2071">
                  <c:v>-249.05702500000001</c:v>
                </c:pt>
                <c:pt idx="2072">
                  <c:v>-249.03812499999998</c:v>
                </c:pt>
                <c:pt idx="2073">
                  <c:v>-249.02022400000001</c:v>
                </c:pt>
                <c:pt idx="2074">
                  <c:v>-249.00142399999999</c:v>
                </c:pt>
                <c:pt idx="2075">
                  <c:v>-248.98362299999999</c:v>
                </c:pt>
                <c:pt idx="2076">
                  <c:v>-248.96482280000001</c:v>
                </c:pt>
                <c:pt idx="2077">
                  <c:v>-248.94692240000001</c:v>
                </c:pt>
                <c:pt idx="2078">
                  <c:v>-248.9281221</c:v>
                </c:pt>
                <c:pt idx="2079">
                  <c:v>-248.91022179999999</c:v>
                </c:pt>
                <c:pt idx="2080">
                  <c:v>-248.8914216</c:v>
                </c:pt>
                <c:pt idx="2081">
                  <c:v>-248.87352129999999</c:v>
                </c:pt>
                <c:pt idx="2082">
                  <c:v>-248.85472120000003</c:v>
                </c:pt>
                <c:pt idx="2083">
                  <c:v>-248.83692099999999</c:v>
                </c:pt>
                <c:pt idx="2084">
                  <c:v>-248.8181209</c:v>
                </c:pt>
                <c:pt idx="2085">
                  <c:v>-248.80022079999998</c:v>
                </c:pt>
                <c:pt idx="2086">
                  <c:v>-248.78142080000001</c:v>
                </c:pt>
                <c:pt idx="2087">
                  <c:v>-248.76352079999998</c:v>
                </c:pt>
                <c:pt idx="2088">
                  <c:v>-248.74472079999998</c:v>
                </c:pt>
                <c:pt idx="2089">
                  <c:v>-248.72682090000001</c:v>
                </c:pt>
                <c:pt idx="2090">
                  <c:v>-248.70802099999997</c:v>
                </c:pt>
                <c:pt idx="2091">
                  <c:v>-248.6902212</c:v>
                </c:pt>
                <c:pt idx="2092">
                  <c:v>-248.67142129999999</c:v>
                </c:pt>
                <c:pt idx="2093">
                  <c:v>-248.65352150000001</c:v>
                </c:pt>
                <c:pt idx="2094">
                  <c:v>-248.6346217</c:v>
                </c:pt>
                <c:pt idx="2095">
                  <c:v>-248.61582199999998</c:v>
                </c:pt>
                <c:pt idx="2096">
                  <c:v>-248.59802229999997</c:v>
                </c:pt>
                <c:pt idx="2097">
                  <c:v>-248.5791227</c:v>
                </c:pt>
                <c:pt idx="2098">
                  <c:v>-248.56132300000002</c:v>
                </c:pt>
                <c:pt idx="2099">
                  <c:v>-248.54252339999999</c:v>
                </c:pt>
                <c:pt idx="2100">
                  <c:v>-248.5247239</c:v>
                </c:pt>
                <c:pt idx="2101">
                  <c:v>-248.50572439999996</c:v>
                </c:pt>
                <c:pt idx="2102">
                  <c:v>-248.4879249</c:v>
                </c:pt>
                <c:pt idx="2103">
                  <c:v>-248.4691254</c:v>
                </c:pt>
                <c:pt idx="2104">
                  <c:v>-248.45132599999999</c:v>
                </c:pt>
                <c:pt idx="2105">
                  <c:v>-248.43242659999999</c:v>
                </c:pt>
                <c:pt idx="2106">
                  <c:v>-248.41462719999998</c:v>
                </c:pt>
                <c:pt idx="2107">
                  <c:v>-248.39582789999997</c:v>
                </c:pt>
                <c:pt idx="2108">
                  <c:v>-248.37792869999998</c:v>
                </c:pt>
                <c:pt idx="2109">
                  <c:v>-248.35902929999997</c:v>
                </c:pt>
                <c:pt idx="2110">
                  <c:v>-248.34123020000001</c:v>
                </c:pt>
                <c:pt idx="2111">
                  <c:v>-248.32243099999999</c:v>
                </c:pt>
                <c:pt idx="2112">
                  <c:v>-248.3046319</c:v>
                </c:pt>
                <c:pt idx="2113">
                  <c:v>-248.28573280000001</c:v>
                </c:pt>
                <c:pt idx="2114">
                  <c:v>-248.26793370000001</c:v>
                </c:pt>
                <c:pt idx="2115">
                  <c:v>-248.24903470000001</c:v>
                </c:pt>
                <c:pt idx="2116">
                  <c:v>-248.23123559999999</c:v>
                </c:pt>
                <c:pt idx="2117">
                  <c:v>-248.21233660000001</c:v>
                </c:pt>
                <c:pt idx="2118">
                  <c:v>-248.19453769999998</c:v>
                </c:pt>
                <c:pt idx="2119">
                  <c:v>-248.17573880000003</c:v>
                </c:pt>
                <c:pt idx="2120">
                  <c:v>-248.15793990000003</c:v>
                </c:pt>
                <c:pt idx="2121">
                  <c:v>-248.13904109999999</c:v>
                </c:pt>
                <c:pt idx="2122">
                  <c:v>-248.1211424</c:v>
                </c:pt>
                <c:pt idx="2123">
                  <c:v>-248.10234359999998</c:v>
                </c:pt>
                <c:pt idx="2124">
                  <c:v>-248.0845448</c:v>
                </c:pt>
                <c:pt idx="2125">
                  <c:v>-248.06564609999998</c:v>
                </c:pt>
                <c:pt idx="2126">
                  <c:v>-248.04784739999999</c:v>
                </c:pt>
                <c:pt idx="2127">
                  <c:v>-248.02904889999999</c:v>
                </c:pt>
                <c:pt idx="2128">
                  <c:v>-248.01125029999997</c:v>
                </c:pt>
                <c:pt idx="2129">
                  <c:v>-247.99225170000003</c:v>
                </c:pt>
                <c:pt idx="2130">
                  <c:v>-247.97445320000003</c:v>
                </c:pt>
                <c:pt idx="2131">
                  <c:v>-247.95565470000003</c:v>
                </c:pt>
                <c:pt idx="2132">
                  <c:v>-247.93785624999998</c:v>
                </c:pt>
                <c:pt idx="2133">
                  <c:v>-247.91895777999997</c:v>
                </c:pt>
                <c:pt idx="2134">
                  <c:v>-247.90115936999999</c:v>
                </c:pt>
                <c:pt idx="2135">
                  <c:v>-247.88226107000003</c:v>
                </c:pt>
                <c:pt idx="2136">
                  <c:v>-247.86346272999998</c:v>
                </c:pt>
                <c:pt idx="2137">
                  <c:v>-247.84556447999998</c:v>
                </c:pt>
                <c:pt idx="2138">
                  <c:v>-247.826766255</c:v>
                </c:pt>
                <c:pt idx="2139">
                  <c:v>-247.80896798000001</c:v>
                </c:pt>
                <c:pt idx="2140">
                  <c:v>-247.79016985999999</c:v>
                </c:pt>
                <c:pt idx="2141">
                  <c:v>-247.77227164999999</c:v>
                </c:pt>
                <c:pt idx="2142">
                  <c:v>-247.75337353</c:v>
                </c:pt>
                <c:pt idx="2143">
                  <c:v>-247.73557547000001</c:v>
                </c:pt>
                <c:pt idx="2144">
                  <c:v>-247.71677745</c:v>
                </c:pt>
                <c:pt idx="2145">
                  <c:v>-247.69887939999998</c:v>
                </c:pt>
                <c:pt idx="2146">
                  <c:v>-247.68008140000001</c:v>
                </c:pt>
                <c:pt idx="2147">
                  <c:v>-247.6622835</c:v>
                </c:pt>
                <c:pt idx="2148">
                  <c:v>-247.64348559999999</c:v>
                </c:pt>
                <c:pt idx="2149">
                  <c:v>-247.62548770000001</c:v>
                </c:pt>
                <c:pt idx="2150">
                  <c:v>-247.60668990000002</c:v>
                </c:pt>
                <c:pt idx="2151">
                  <c:v>-247.58889210000001</c:v>
                </c:pt>
                <c:pt idx="2152">
                  <c:v>-247.57009429999999</c:v>
                </c:pt>
                <c:pt idx="2153">
                  <c:v>-247.5521966</c:v>
                </c:pt>
                <c:pt idx="2154">
                  <c:v>-247.53339890000001</c:v>
                </c:pt>
                <c:pt idx="2155">
                  <c:v>-247.51550119999999</c:v>
                </c:pt>
                <c:pt idx="2156">
                  <c:v>-247.49670359999999</c:v>
                </c:pt>
                <c:pt idx="2157">
                  <c:v>-247.47880600000002</c:v>
                </c:pt>
                <c:pt idx="2158">
                  <c:v>-247.46000839999999</c:v>
                </c:pt>
                <c:pt idx="2159">
                  <c:v>-247.44221090000002</c:v>
                </c:pt>
                <c:pt idx="2160">
                  <c:v>-247.42341339999996</c:v>
                </c:pt>
                <c:pt idx="2161">
                  <c:v>-247.40551600000001</c:v>
                </c:pt>
                <c:pt idx="2162">
                  <c:v>-247.38661860000002</c:v>
                </c:pt>
                <c:pt idx="2163">
                  <c:v>-247.36882120000001</c:v>
                </c:pt>
                <c:pt idx="2164">
                  <c:v>-247.3500239</c:v>
                </c:pt>
                <c:pt idx="2165">
                  <c:v>-247.33212650000002</c:v>
                </c:pt>
                <c:pt idx="2166">
                  <c:v>-247.3133292</c:v>
                </c:pt>
                <c:pt idx="2167">
                  <c:v>-247.29553199999998</c:v>
                </c:pt>
                <c:pt idx="2168">
                  <c:v>-247.27663480000001</c:v>
                </c:pt>
                <c:pt idx="2169">
                  <c:v>-247.25873759999999</c:v>
                </c:pt>
                <c:pt idx="2170">
                  <c:v>-247.23994049999999</c:v>
                </c:pt>
                <c:pt idx="2171">
                  <c:v>-247.2221433</c:v>
                </c:pt>
                <c:pt idx="2172">
                  <c:v>-247.2033462</c:v>
                </c:pt>
                <c:pt idx="2173">
                  <c:v>-247.18544919999999</c:v>
                </c:pt>
                <c:pt idx="2174">
                  <c:v>-247.16665220000002</c:v>
                </c:pt>
                <c:pt idx="2175">
                  <c:v>-247.14775520000001</c:v>
                </c:pt>
                <c:pt idx="2176">
                  <c:v>-247.12995819999998</c:v>
                </c:pt>
                <c:pt idx="2177">
                  <c:v>-247.11106130000002</c:v>
                </c:pt>
                <c:pt idx="2178">
                  <c:v>-247.09326449999998</c:v>
                </c:pt>
                <c:pt idx="2179">
                  <c:v>-247.07446769999999</c:v>
                </c:pt>
                <c:pt idx="2180">
                  <c:v>-247.05667080000001</c:v>
                </c:pt>
                <c:pt idx="2181">
                  <c:v>-247.03767399999998</c:v>
                </c:pt>
                <c:pt idx="2182">
                  <c:v>-247.01987729999999</c:v>
                </c:pt>
                <c:pt idx="2183">
                  <c:v>-247.00108069999999</c:v>
                </c:pt>
                <c:pt idx="2184">
                  <c:v>-246.98328400000003</c:v>
                </c:pt>
                <c:pt idx="2185">
                  <c:v>-246.96438739999999</c:v>
                </c:pt>
                <c:pt idx="2186">
                  <c:v>-246.94659080000002</c:v>
                </c:pt>
                <c:pt idx="2187">
                  <c:v>-246.92769420000002</c:v>
                </c:pt>
                <c:pt idx="2188">
                  <c:v>-246.90979770000001</c:v>
                </c:pt>
                <c:pt idx="2189">
                  <c:v>-246.89100120000001</c:v>
                </c:pt>
                <c:pt idx="2190">
                  <c:v>-246.8732047</c:v>
                </c:pt>
                <c:pt idx="2191">
                  <c:v>-246.85440829999999</c:v>
                </c:pt>
                <c:pt idx="2192">
                  <c:v>-246.8365119</c:v>
                </c:pt>
                <c:pt idx="2193">
                  <c:v>-246.81771549999999</c:v>
                </c:pt>
                <c:pt idx="2194">
                  <c:v>-246.79981930000002</c:v>
                </c:pt>
                <c:pt idx="2195">
                  <c:v>-246.78102290000001</c:v>
                </c:pt>
                <c:pt idx="2196">
                  <c:v>-246.76312669999999</c:v>
                </c:pt>
                <c:pt idx="2197">
                  <c:v>-246.74433039999997</c:v>
                </c:pt>
                <c:pt idx="2198">
                  <c:v>-246.7265343</c:v>
                </c:pt>
                <c:pt idx="2199">
                  <c:v>-246.70773819999999</c:v>
                </c:pt>
                <c:pt idx="2200">
                  <c:v>-246.68974210000002</c:v>
                </c:pt>
                <c:pt idx="2201">
                  <c:v>-246.67094599999999</c:v>
                </c:pt>
                <c:pt idx="2202">
                  <c:v>-246.65314999999998</c:v>
                </c:pt>
                <c:pt idx="2203">
                  <c:v>-246.634354</c:v>
                </c:pt>
                <c:pt idx="2204">
                  <c:v>-246.61645799999999</c:v>
                </c:pt>
                <c:pt idx="2205">
                  <c:v>-246.59766200000001</c:v>
                </c:pt>
                <c:pt idx="2206">
                  <c:v>-246.57976600000001</c:v>
                </c:pt>
                <c:pt idx="2207">
                  <c:v>-246.56097</c:v>
                </c:pt>
                <c:pt idx="2208">
                  <c:v>-246.54307400000002</c:v>
                </c:pt>
                <c:pt idx="2209">
                  <c:v>-246.52427900000001</c:v>
                </c:pt>
                <c:pt idx="2210">
                  <c:v>-246.506483</c:v>
                </c:pt>
                <c:pt idx="2211">
                  <c:v>-246.48768699999999</c:v>
                </c:pt>
                <c:pt idx="2212">
                  <c:v>-246.46869100000004</c:v>
                </c:pt>
                <c:pt idx="2213">
                  <c:v>-246.450896</c:v>
                </c:pt>
                <c:pt idx="2214">
                  <c:v>-246.43209999999999</c:v>
                </c:pt>
                <c:pt idx="2215">
                  <c:v>-246.41430400000002</c:v>
                </c:pt>
                <c:pt idx="2216">
                  <c:v>-246.395409</c:v>
                </c:pt>
                <c:pt idx="2217">
                  <c:v>-246.377613</c:v>
                </c:pt>
                <c:pt idx="2218">
                  <c:v>-246.35871800000001</c:v>
                </c:pt>
                <c:pt idx="2219">
                  <c:v>-246.34092200000001</c:v>
                </c:pt>
                <c:pt idx="2220">
                  <c:v>-246.32202699999999</c:v>
                </c:pt>
                <c:pt idx="2221">
                  <c:v>-246.30423200000001</c:v>
                </c:pt>
                <c:pt idx="2222">
                  <c:v>-246.285436</c:v>
                </c:pt>
                <c:pt idx="2223">
                  <c:v>-246.26764100000003</c:v>
                </c:pt>
                <c:pt idx="2224">
                  <c:v>-246.24864600000001</c:v>
                </c:pt>
                <c:pt idx="2225">
                  <c:v>-246.23085</c:v>
                </c:pt>
                <c:pt idx="2226">
                  <c:v>-246.21205499999996</c:v>
                </c:pt>
                <c:pt idx="2227">
                  <c:v>-246.19426000000001</c:v>
                </c:pt>
                <c:pt idx="2228">
                  <c:v>-246.175365</c:v>
                </c:pt>
                <c:pt idx="2229">
                  <c:v>-246.15757000000002</c:v>
                </c:pt>
                <c:pt idx="2230">
                  <c:v>-246.13867500000001</c:v>
                </c:pt>
                <c:pt idx="2231">
                  <c:v>-246.12088</c:v>
                </c:pt>
                <c:pt idx="2232">
                  <c:v>-246.10198500000001</c:v>
                </c:pt>
                <c:pt idx="2233">
                  <c:v>-246.08419000000001</c:v>
                </c:pt>
                <c:pt idx="2234">
                  <c:v>-246.06539499999997</c:v>
                </c:pt>
                <c:pt idx="2235">
                  <c:v>-246.04759999999999</c:v>
                </c:pt>
                <c:pt idx="2236">
                  <c:v>-246.02860500000003</c:v>
                </c:pt>
                <c:pt idx="2237">
                  <c:v>-246.01081000000002</c:v>
                </c:pt>
                <c:pt idx="2238">
                  <c:v>-245.99201500000001</c:v>
                </c:pt>
                <c:pt idx="2239">
                  <c:v>-245.974221</c:v>
                </c:pt>
                <c:pt idx="2240">
                  <c:v>-245.95532599999999</c:v>
                </c:pt>
                <c:pt idx="2241">
                  <c:v>-245.93753099999998</c:v>
                </c:pt>
                <c:pt idx="2242">
                  <c:v>-245.91863599999999</c:v>
                </c:pt>
                <c:pt idx="2243">
                  <c:v>-245.90084200000001</c:v>
                </c:pt>
                <c:pt idx="2244">
                  <c:v>-245.88194700000003</c:v>
                </c:pt>
                <c:pt idx="2245">
                  <c:v>-245.86415300000002</c:v>
                </c:pt>
                <c:pt idx="2246">
                  <c:v>-245.84483</c:v>
                </c:pt>
                <c:pt idx="2247">
                  <c:v>-245.81071399999999</c:v>
                </c:pt>
                <c:pt idx="2248">
                  <c:v>-245.77759800000001</c:v>
                </c:pt>
                <c:pt idx="2249">
                  <c:v>-245.743583</c:v>
                </c:pt>
                <c:pt idx="2250">
                  <c:v>-245.71046699999999</c:v>
                </c:pt>
                <c:pt idx="2251">
                  <c:v>-245.67635100000001</c:v>
                </c:pt>
                <c:pt idx="2252">
                  <c:v>-245.64223599999997</c:v>
                </c:pt>
                <c:pt idx="2253">
                  <c:v>-245.60912099999999</c:v>
                </c:pt>
                <c:pt idx="2254">
                  <c:v>-245.575005</c:v>
                </c:pt>
                <c:pt idx="2255">
                  <c:v>-245.54199</c:v>
                </c:pt>
                <c:pt idx="2256">
                  <c:v>-245.50787500000001</c:v>
                </c:pt>
                <c:pt idx="2257">
                  <c:v>-245.47476</c:v>
                </c:pt>
                <c:pt idx="2258">
                  <c:v>-245.44064499999996</c:v>
                </c:pt>
                <c:pt idx="2259">
                  <c:v>-245.40753000000001</c:v>
                </c:pt>
                <c:pt idx="2260">
                  <c:v>-245.37341499999999</c:v>
                </c:pt>
                <c:pt idx="2261">
                  <c:v>-245.34039999999999</c:v>
                </c:pt>
                <c:pt idx="2262">
                  <c:v>-245.306286</c:v>
                </c:pt>
                <c:pt idx="2263">
                  <c:v>-245.27217100000001</c:v>
                </c:pt>
                <c:pt idx="2264">
                  <c:v>-245.239057</c:v>
                </c:pt>
                <c:pt idx="2265">
                  <c:v>-245.20494200000002</c:v>
                </c:pt>
                <c:pt idx="2266">
                  <c:v>-245.171828</c:v>
                </c:pt>
                <c:pt idx="2267">
                  <c:v>-245.13781399999999</c:v>
                </c:pt>
                <c:pt idx="2268">
                  <c:v>-245.10469899999998</c:v>
                </c:pt>
                <c:pt idx="2269">
                  <c:v>-245.07058499999999</c:v>
                </c:pt>
                <c:pt idx="2270">
                  <c:v>-245.03737100000001</c:v>
                </c:pt>
                <c:pt idx="2271">
                  <c:v>-244.99416599999998</c:v>
                </c:pt>
                <c:pt idx="2272">
                  <c:v>-244.94895099999997</c:v>
                </c:pt>
                <c:pt idx="2273">
                  <c:v>-244.902839</c:v>
                </c:pt>
                <c:pt idx="2274">
                  <c:v>-244.85652799999997</c:v>
                </c:pt>
                <c:pt idx="2275">
                  <c:v>-244.81141700000001</c:v>
                </c:pt>
                <c:pt idx="2276">
                  <c:v>-244.76520599999998</c:v>
                </c:pt>
                <c:pt idx="2277">
                  <c:v>-244.71899500000001</c:v>
                </c:pt>
                <c:pt idx="2278">
                  <c:v>-244.67388499999998</c:v>
                </c:pt>
                <c:pt idx="2279">
                  <c:v>-244.62767400000001</c:v>
                </c:pt>
                <c:pt idx="2280">
                  <c:v>-244.58146400000004</c:v>
                </c:pt>
                <c:pt idx="2281">
                  <c:v>-244.53625300000002</c:v>
                </c:pt>
                <c:pt idx="2282">
                  <c:v>-244.477442</c:v>
                </c:pt>
                <c:pt idx="2283">
                  <c:v>-244.416146</c:v>
                </c:pt>
                <c:pt idx="2284">
                  <c:v>-244.35375099999999</c:v>
                </c:pt>
                <c:pt idx="2285">
                  <c:v>-244.29235700000001</c:v>
                </c:pt>
                <c:pt idx="2286">
                  <c:v>-244.23096199999998</c:v>
                </c:pt>
                <c:pt idx="2287">
                  <c:v>-244.169668</c:v>
                </c:pt>
                <c:pt idx="2288">
                  <c:v>-244.10827399999999</c:v>
                </c:pt>
                <c:pt idx="2289">
                  <c:v>-244.04687999999999</c:v>
                </c:pt>
                <c:pt idx="2290">
                  <c:v>-243.98558600000001</c:v>
                </c:pt>
                <c:pt idx="2291">
                  <c:v>-243.92419199999998</c:v>
                </c:pt>
                <c:pt idx="2292">
                  <c:v>-243.862799</c:v>
                </c:pt>
                <c:pt idx="2293">
                  <c:v>-243.80140499999999</c:v>
                </c:pt>
                <c:pt idx="2294">
                  <c:v>-243.74011200000001</c:v>
                </c:pt>
                <c:pt idx="2295">
                  <c:v>-243.678719</c:v>
                </c:pt>
                <c:pt idx="2296">
                  <c:v>-243.61732599999999</c:v>
                </c:pt>
                <c:pt idx="2297">
                  <c:v>-243.55493300000001</c:v>
                </c:pt>
                <c:pt idx="2298">
                  <c:v>-243.49364100000003</c:v>
                </c:pt>
                <c:pt idx="2299">
                  <c:v>-243.43224799999999</c:v>
                </c:pt>
                <c:pt idx="2300">
                  <c:v>-243.370856</c:v>
                </c:pt>
                <c:pt idx="2301">
                  <c:v>-243.30956399999999</c:v>
                </c:pt>
                <c:pt idx="2302">
                  <c:v>-243.24817199999998</c:v>
                </c:pt>
                <c:pt idx="2303">
                  <c:v>-243.18678</c:v>
                </c:pt>
                <c:pt idx="2304">
                  <c:v>-243.12538800000002</c:v>
                </c:pt>
                <c:pt idx="2305">
                  <c:v>-243.054756</c:v>
                </c:pt>
                <c:pt idx="2306">
                  <c:v>-242.98044199999998</c:v>
                </c:pt>
                <c:pt idx="2307">
                  <c:v>-242.90602799999999</c:v>
                </c:pt>
                <c:pt idx="2308">
                  <c:v>-242.831614</c:v>
                </c:pt>
                <c:pt idx="2309">
                  <c:v>-242.75720099999998</c:v>
                </c:pt>
                <c:pt idx="2310">
                  <c:v>-242.68288799999999</c:v>
                </c:pt>
                <c:pt idx="2311">
                  <c:v>-242.608475</c:v>
                </c:pt>
                <c:pt idx="2312">
                  <c:v>-242.53506199999998</c:v>
                </c:pt>
                <c:pt idx="2313">
                  <c:v>-242.46064899999999</c:v>
                </c:pt>
                <c:pt idx="2314">
                  <c:v>-242.38623699999999</c:v>
                </c:pt>
                <c:pt idx="2315">
                  <c:v>-242.31192399999998</c:v>
                </c:pt>
                <c:pt idx="2316">
                  <c:v>-242.23751199999998</c:v>
                </c:pt>
                <c:pt idx="2317">
                  <c:v>-242.16309999999999</c:v>
                </c:pt>
                <c:pt idx="2318">
                  <c:v>-242.08868899999999</c:v>
                </c:pt>
                <c:pt idx="2319">
                  <c:v>-242.015377</c:v>
                </c:pt>
                <c:pt idx="2320">
                  <c:v>-241.940966</c:v>
                </c:pt>
                <c:pt idx="2321">
                  <c:v>-241.86655500000001</c:v>
                </c:pt>
                <c:pt idx="2322">
                  <c:v>-241.79214399999998</c:v>
                </c:pt>
                <c:pt idx="2323">
                  <c:v>-241.71773300000001</c:v>
                </c:pt>
                <c:pt idx="2324">
                  <c:v>-241.64342299999998</c:v>
                </c:pt>
                <c:pt idx="2325">
                  <c:v>-241.56911199999999</c:v>
                </c:pt>
                <c:pt idx="2326">
                  <c:v>-241.49570199999999</c:v>
                </c:pt>
                <c:pt idx="2327">
                  <c:v>-241.42129199999999</c:v>
                </c:pt>
                <c:pt idx="2328">
                  <c:v>-241.34698299999999</c:v>
                </c:pt>
                <c:pt idx="2329">
                  <c:v>-241.27257299999999</c:v>
                </c:pt>
                <c:pt idx="2330">
                  <c:v>-241.19816400000002</c:v>
                </c:pt>
                <c:pt idx="2331">
                  <c:v>-241.12375499999999</c:v>
                </c:pt>
                <c:pt idx="2332">
                  <c:v>-241.04934599999999</c:v>
                </c:pt>
                <c:pt idx="2333">
                  <c:v>-240.97503699999999</c:v>
                </c:pt>
                <c:pt idx="2334">
                  <c:v>-240.90162900000001</c:v>
                </c:pt>
                <c:pt idx="2335">
                  <c:v>-240.82721999999998</c:v>
                </c:pt>
                <c:pt idx="2336">
                  <c:v>-240.75281200000001</c:v>
                </c:pt>
                <c:pt idx="2337">
                  <c:v>-240.678404</c:v>
                </c:pt>
                <c:pt idx="2338">
                  <c:v>-240.604097</c:v>
                </c:pt>
                <c:pt idx="2339">
                  <c:v>-240.52968900000002</c:v>
                </c:pt>
                <c:pt idx="2340">
                  <c:v>-240.45528200000001</c:v>
                </c:pt>
                <c:pt idx="2341">
                  <c:v>-240.38187499999998</c:v>
                </c:pt>
                <c:pt idx="2342">
                  <c:v>-240.30746800000003</c:v>
                </c:pt>
                <c:pt idx="2343">
                  <c:v>-240.233161</c:v>
                </c:pt>
                <c:pt idx="2344">
                  <c:v>-240.15875499999999</c:v>
                </c:pt>
                <c:pt idx="2345">
                  <c:v>-240.08434900000003</c:v>
                </c:pt>
                <c:pt idx="2346">
                  <c:v>-240.00994200000002</c:v>
                </c:pt>
                <c:pt idx="2347">
                  <c:v>-239.93553700000001</c:v>
                </c:pt>
                <c:pt idx="2348">
                  <c:v>-239.86223100000001</c:v>
                </c:pt>
                <c:pt idx="2349">
                  <c:v>-239.787825</c:v>
                </c:pt>
                <c:pt idx="2350">
                  <c:v>-239.71341999999999</c:v>
                </c:pt>
                <c:pt idx="2351">
                  <c:v>-239.63901500000003</c:v>
                </c:pt>
                <c:pt idx="2352">
                  <c:v>-239.56461000000002</c:v>
                </c:pt>
                <c:pt idx="2353">
                  <c:v>-239.49030500000001</c:v>
                </c:pt>
                <c:pt idx="2354">
                  <c:v>-239.41590099999999</c:v>
                </c:pt>
                <c:pt idx="2355">
                  <c:v>-239.34249699999998</c:v>
                </c:pt>
                <c:pt idx="2356">
                  <c:v>-239.26809299999999</c:v>
                </c:pt>
                <c:pt idx="2357">
                  <c:v>-239.19368900000001</c:v>
                </c:pt>
                <c:pt idx="2358">
                  <c:v>-239.11928499999999</c:v>
                </c:pt>
                <c:pt idx="2359">
                  <c:v>-239.04498100000001</c:v>
                </c:pt>
                <c:pt idx="2360">
                  <c:v>-238.97057799999999</c:v>
                </c:pt>
                <c:pt idx="2361">
                  <c:v>-238.89617499999997</c:v>
                </c:pt>
                <c:pt idx="2362">
                  <c:v>-238.82177200000001</c:v>
                </c:pt>
                <c:pt idx="2363">
                  <c:v>-238.748369</c:v>
                </c:pt>
                <c:pt idx="2364">
                  <c:v>-238.673967</c:v>
                </c:pt>
                <c:pt idx="2365">
                  <c:v>-238.59966500000002</c:v>
                </c:pt>
                <c:pt idx="2366">
                  <c:v>-238.51703500000002</c:v>
                </c:pt>
                <c:pt idx="2367">
                  <c:v>-238.42975799999999</c:v>
                </c:pt>
                <c:pt idx="2368">
                  <c:v>-238.34238099999999</c:v>
                </c:pt>
                <c:pt idx="2369">
                  <c:v>-238.25610399999999</c:v>
                </c:pt>
                <c:pt idx="2370">
                  <c:v>-238.16872799999999</c:v>
                </c:pt>
                <c:pt idx="2371">
                  <c:v>-238.08145199999998</c:v>
                </c:pt>
                <c:pt idx="2372">
                  <c:v>-237.99517600000001</c:v>
                </c:pt>
                <c:pt idx="2373">
                  <c:v>-237.90780000000001</c:v>
                </c:pt>
                <c:pt idx="2374">
                  <c:v>-237.82052500000003</c:v>
                </c:pt>
                <c:pt idx="2375">
                  <c:v>-237.73314999999999</c:v>
                </c:pt>
                <c:pt idx="2376">
                  <c:v>-237.64687499999999</c:v>
                </c:pt>
                <c:pt idx="2377">
                  <c:v>-237.55950000000001</c:v>
                </c:pt>
                <c:pt idx="2378">
                  <c:v>-237.47222599999998</c:v>
                </c:pt>
                <c:pt idx="2379">
                  <c:v>-237.384852</c:v>
                </c:pt>
                <c:pt idx="2380">
                  <c:v>-237.29857800000002</c:v>
                </c:pt>
                <c:pt idx="2381">
                  <c:v>-237.21130400000004</c:v>
                </c:pt>
                <c:pt idx="2382">
                  <c:v>-237.12393100000003</c:v>
                </c:pt>
                <c:pt idx="2383">
                  <c:v>-237.03765799999999</c:v>
                </c:pt>
                <c:pt idx="2384">
                  <c:v>-236.95028500000001</c:v>
                </c:pt>
                <c:pt idx="2385">
                  <c:v>-236.86301200000003</c:v>
                </c:pt>
                <c:pt idx="2386">
                  <c:v>-236.77564000000001</c:v>
                </c:pt>
                <c:pt idx="2387">
                  <c:v>-236.689367</c:v>
                </c:pt>
                <c:pt idx="2388">
                  <c:v>-236.60199599999999</c:v>
                </c:pt>
                <c:pt idx="2389">
                  <c:v>-236.514724</c:v>
                </c:pt>
                <c:pt idx="2390">
                  <c:v>-236.42735300000001</c:v>
                </c:pt>
                <c:pt idx="2391">
                  <c:v>-236.341081</c:v>
                </c:pt>
                <c:pt idx="2392">
                  <c:v>-236.25381099999998</c:v>
                </c:pt>
                <c:pt idx="2393">
                  <c:v>-236.16644000000002</c:v>
                </c:pt>
                <c:pt idx="2394">
                  <c:v>-236.07836900000001</c:v>
                </c:pt>
                <c:pt idx="2395">
                  <c:v>-235.985895</c:v>
                </c:pt>
                <c:pt idx="2396">
                  <c:v>-235.89352099999999</c:v>
                </c:pt>
                <c:pt idx="2397">
                  <c:v>-235.80104700000001</c:v>
                </c:pt>
                <c:pt idx="2398">
                  <c:v>-235.70427900000001</c:v>
                </c:pt>
                <c:pt idx="2399">
                  <c:v>-235.60657000000003</c:v>
                </c:pt>
                <c:pt idx="2400">
                  <c:v>-235.50886199999999</c:v>
                </c:pt>
                <c:pt idx="2401">
                  <c:v>-235.41105400000004</c:v>
                </c:pt>
                <c:pt idx="2402">
                  <c:v>-235.313346</c:v>
                </c:pt>
                <c:pt idx="2403">
                  <c:v>-235.21563900000001</c:v>
                </c:pt>
                <c:pt idx="2404">
                  <c:v>-235.11683200000002</c:v>
                </c:pt>
                <c:pt idx="2405">
                  <c:v>-235.01912499999997</c:v>
                </c:pt>
                <c:pt idx="2406">
                  <c:v>-234.92131899999998</c:v>
                </c:pt>
                <c:pt idx="2407">
                  <c:v>-234.82361299999999</c:v>
                </c:pt>
                <c:pt idx="2408">
                  <c:v>-234.72590700000001</c:v>
                </c:pt>
                <c:pt idx="2409">
                  <c:v>-234.62810100000002</c:v>
                </c:pt>
                <c:pt idx="2410">
                  <c:v>-234.52939600000002</c:v>
                </c:pt>
                <c:pt idx="2411">
                  <c:v>-234.431691</c:v>
                </c:pt>
                <c:pt idx="2412">
                  <c:v>-234.333887</c:v>
                </c:pt>
                <c:pt idx="2413">
                  <c:v>-234.23618199999999</c:v>
                </c:pt>
                <c:pt idx="2414">
                  <c:v>-234.13847799999996</c:v>
                </c:pt>
                <c:pt idx="2415">
                  <c:v>-234.04067499999999</c:v>
                </c:pt>
                <c:pt idx="2416">
                  <c:v>-233.94197100000002</c:v>
                </c:pt>
                <c:pt idx="2417">
                  <c:v>-233.844268</c:v>
                </c:pt>
                <c:pt idx="2418">
                  <c:v>-233.746466</c:v>
                </c:pt>
                <c:pt idx="2419">
                  <c:v>-233.648763</c:v>
                </c:pt>
                <c:pt idx="2420">
                  <c:v>-233.55096099999997</c:v>
                </c:pt>
                <c:pt idx="2421">
                  <c:v>-233.453259</c:v>
                </c:pt>
                <c:pt idx="2422">
                  <c:v>-233.354558</c:v>
                </c:pt>
                <c:pt idx="2423">
                  <c:v>-233.256756</c:v>
                </c:pt>
                <c:pt idx="2424">
                  <c:v>-233.15895499999999</c:v>
                </c:pt>
                <c:pt idx="2425">
                  <c:v>-233.06135499999999</c:v>
                </c:pt>
                <c:pt idx="2426">
                  <c:v>-232.96355499999999</c:v>
                </c:pt>
                <c:pt idx="2427">
                  <c:v>-232.86575500000001</c:v>
                </c:pt>
                <c:pt idx="2428">
                  <c:v>-232.76705499999997</c:v>
                </c:pt>
                <c:pt idx="2429">
                  <c:v>-232.66935599999999</c:v>
                </c:pt>
                <c:pt idx="2430">
                  <c:v>-232.57165600000002</c:v>
                </c:pt>
                <c:pt idx="2431">
                  <c:v>-232.47385800000001</c:v>
                </c:pt>
                <c:pt idx="2432">
                  <c:v>-232.376059</c:v>
                </c:pt>
                <c:pt idx="2433">
                  <c:v>-232.27846099999999</c:v>
                </c:pt>
                <c:pt idx="2434">
                  <c:v>-232.17966300000001</c:v>
                </c:pt>
                <c:pt idx="2435">
                  <c:v>-232.08186600000002</c:v>
                </c:pt>
                <c:pt idx="2436">
                  <c:v>-231.98416800000001</c:v>
                </c:pt>
                <c:pt idx="2437">
                  <c:v>-231.886471</c:v>
                </c:pt>
                <c:pt idx="2438">
                  <c:v>-231.78867500000001</c:v>
                </c:pt>
                <c:pt idx="2439">
                  <c:v>-231.690979</c:v>
                </c:pt>
                <c:pt idx="2440">
                  <c:v>-231.59218199999998</c:v>
                </c:pt>
                <c:pt idx="2441">
                  <c:v>-231.49438699999999</c:v>
                </c:pt>
                <c:pt idx="2442">
                  <c:v>-231.39679100000001</c:v>
                </c:pt>
                <c:pt idx="2443">
                  <c:v>-231.29899600000002</c:v>
                </c:pt>
                <c:pt idx="2444">
                  <c:v>-231.20120099999997</c:v>
                </c:pt>
                <c:pt idx="2445">
                  <c:v>-231.102507</c:v>
                </c:pt>
                <c:pt idx="2446">
                  <c:v>-231.00481300000001</c:v>
                </c:pt>
                <c:pt idx="2447">
                  <c:v>-230.90701899999999</c:v>
                </c:pt>
                <c:pt idx="2448">
                  <c:v>-230.809325</c:v>
                </c:pt>
                <c:pt idx="2449">
                  <c:v>-230.71153200000001</c:v>
                </c:pt>
                <c:pt idx="2450">
                  <c:v>-230.61373900000001</c:v>
                </c:pt>
                <c:pt idx="2451">
                  <c:v>-230.51514599999999</c:v>
                </c:pt>
                <c:pt idx="2452">
                  <c:v>-230.41735399999999</c:v>
                </c:pt>
                <c:pt idx="2453">
                  <c:v>-230.31956200000002</c:v>
                </c:pt>
                <c:pt idx="2454">
                  <c:v>-230.22186999999997</c:v>
                </c:pt>
                <c:pt idx="2455">
                  <c:v>-230.12407899999999</c:v>
                </c:pt>
                <c:pt idx="2456">
                  <c:v>-230.026388</c:v>
                </c:pt>
                <c:pt idx="2457">
                  <c:v>-229.92769699999999</c:v>
                </c:pt>
                <c:pt idx="2458">
                  <c:v>-229.82990599999999</c:v>
                </c:pt>
                <c:pt idx="2459">
                  <c:v>-229.73211600000002</c:v>
                </c:pt>
                <c:pt idx="2460">
                  <c:v>-229.63442600000002</c:v>
                </c:pt>
                <c:pt idx="2461">
                  <c:v>-229.53673600000002</c:v>
                </c:pt>
                <c:pt idx="2462">
                  <c:v>-229.43894699999998</c:v>
                </c:pt>
                <c:pt idx="2463">
                  <c:v>-229.34025800000001</c:v>
                </c:pt>
                <c:pt idx="2464">
                  <c:v>-229.24246899999997</c:v>
                </c:pt>
                <c:pt idx="2465">
                  <c:v>-229.14468099999999</c:v>
                </c:pt>
                <c:pt idx="2466">
                  <c:v>-229.04699299999999</c:v>
                </c:pt>
                <c:pt idx="2467">
                  <c:v>-228.94930500000001</c:v>
                </c:pt>
                <c:pt idx="2468">
                  <c:v>-228.851518</c:v>
                </c:pt>
                <c:pt idx="2469">
                  <c:v>-228.75283099999999</c:v>
                </c:pt>
                <c:pt idx="2470">
                  <c:v>-228.65504399999998</c:v>
                </c:pt>
                <c:pt idx="2471">
                  <c:v>-228.55725699999999</c:v>
                </c:pt>
                <c:pt idx="2472">
                  <c:v>-228.45957099999998</c:v>
                </c:pt>
                <c:pt idx="2473">
                  <c:v>-228.361885</c:v>
                </c:pt>
                <c:pt idx="2474">
                  <c:v>-228.26309900000001</c:v>
                </c:pt>
                <c:pt idx="2475">
                  <c:v>-228.165414</c:v>
                </c:pt>
                <c:pt idx="2476">
                  <c:v>-228.06762900000001</c:v>
                </c:pt>
                <c:pt idx="2477">
                  <c:v>-227.96984400000002</c:v>
                </c:pt>
                <c:pt idx="2478">
                  <c:v>-227.87216000000001</c:v>
                </c:pt>
                <c:pt idx="2479">
                  <c:v>-227.77437599999999</c:v>
                </c:pt>
                <c:pt idx="2480">
                  <c:v>-227.67569199999997</c:v>
                </c:pt>
                <c:pt idx="2481">
                  <c:v>-227.57800799999998</c:v>
                </c:pt>
                <c:pt idx="2482">
                  <c:v>-227.48022499999996</c:v>
                </c:pt>
                <c:pt idx="2483">
                  <c:v>-227.382442</c:v>
                </c:pt>
                <c:pt idx="2484">
                  <c:v>-227.28476000000001</c:v>
                </c:pt>
                <c:pt idx="2485">
                  <c:v>-227.18697800000001</c:v>
                </c:pt>
                <c:pt idx="2486">
                  <c:v>-227.08819499999998</c:v>
                </c:pt>
                <c:pt idx="2487">
                  <c:v>-226.99051399999999</c:v>
                </c:pt>
                <c:pt idx="2488">
                  <c:v>-226.892832</c:v>
                </c:pt>
                <c:pt idx="2489">
                  <c:v>-226.795051</c:v>
                </c:pt>
                <c:pt idx="2490">
                  <c:v>-226.697271</c:v>
                </c:pt>
                <c:pt idx="2491">
                  <c:v>-226.59959000000001</c:v>
                </c:pt>
                <c:pt idx="2492">
                  <c:v>-226.50081</c:v>
                </c:pt>
                <c:pt idx="2493">
                  <c:v>-226.40303</c:v>
                </c:pt>
                <c:pt idx="2494">
                  <c:v>-226.305351</c:v>
                </c:pt>
                <c:pt idx="2495">
                  <c:v>-226.20757200000003</c:v>
                </c:pt>
                <c:pt idx="2496">
                  <c:v>-226.109893</c:v>
                </c:pt>
                <c:pt idx="2497">
                  <c:v>-226.011214</c:v>
                </c:pt>
                <c:pt idx="2498">
                  <c:v>-225.91343599999999</c:v>
                </c:pt>
                <c:pt idx="2499">
                  <c:v>-225.81565800000001</c:v>
                </c:pt>
                <c:pt idx="2500">
                  <c:v>-225.71798000000001</c:v>
                </c:pt>
                <c:pt idx="2501">
                  <c:v>-225.620203</c:v>
                </c:pt>
                <c:pt idx="2502">
                  <c:v>-225.522426</c:v>
                </c:pt>
                <c:pt idx="2503">
                  <c:v>-225.42374899999999</c:v>
                </c:pt>
                <c:pt idx="2504">
                  <c:v>-225.32597200000001</c:v>
                </c:pt>
                <c:pt idx="2505">
                  <c:v>-225.22819600000003</c:v>
                </c:pt>
                <c:pt idx="2506">
                  <c:v>-225.13062000000002</c:v>
                </c:pt>
                <c:pt idx="2507">
                  <c:v>-225.03284500000001</c:v>
                </c:pt>
                <c:pt idx="2508">
                  <c:v>-224.935069</c:v>
                </c:pt>
                <c:pt idx="2509">
                  <c:v>-224.83629400000001</c:v>
                </c:pt>
                <c:pt idx="2510">
                  <c:v>-224.73862</c:v>
                </c:pt>
                <c:pt idx="2511">
                  <c:v>-224.64084500000001</c:v>
                </c:pt>
                <c:pt idx="2512">
                  <c:v>-224.543071</c:v>
                </c:pt>
                <c:pt idx="2513">
                  <c:v>-224.44539800000001</c:v>
                </c:pt>
                <c:pt idx="2514">
                  <c:v>-224.347624</c:v>
                </c:pt>
                <c:pt idx="2515">
                  <c:v>-224.248851</c:v>
                </c:pt>
                <c:pt idx="2516">
                  <c:v>-224.15117799999999</c:v>
                </c:pt>
                <c:pt idx="2517">
                  <c:v>-224.053406</c:v>
                </c:pt>
                <c:pt idx="2518">
                  <c:v>-223.95563399999998</c:v>
                </c:pt>
                <c:pt idx="2519">
                  <c:v>-223.85796199999999</c:v>
                </c:pt>
                <c:pt idx="2520">
                  <c:v>-223.75918999999999</c:v>
                </c:pt>
                <c:pt idx="2521">
                  <c:v>-223.661519</c:v>
                </c:pt>
                <c:pt idx="2522">
                  <c:v>-223.563748</c:v>
                </c:pt>
                <c:pt idx="2523">
                  <c:v>-223.46607699999998</c:v>
                </c:pt>
                <c:pt idx="2524">
                  <c:v>-223.36830700000002</c:v>
                </c:pt>
                <c:pt idx="2525">
                  <c:v>-223.27053699999999</c:v>
                </c:pt>
                <c:pt idx="2526">
                  <c:v>-223.17186699999999</c:v>
                </c:pt>
                <c:pt idx="2527">
                  <c:v>-223.07409799999999</c:v>
                </c:pt>
                <c:pt idx="2528">
                  <c:v>-222.97632899999999</c:v>
                </c:pt>
                <c:pt idx="2529">
                  <c:v>-222.87866000000002</c:v>
                </c:pt>
                <c:pt idx="2530">
                  <c:v>-222.780891</c:v>
                </c:pt>
                <c:pt idx="2531">
                  <c:v>-222.68312299999999</c:v>
                </c:pt>
                <c:pt idx="2532">
                  <c:v>-222.58445499999999</c:v>
                </c:pt>
                <c:pt idx="2533">
                  <c:v>-222.48668700000002</c:v>
                </c:pt>
                <c:pt idx="2534">
                  <c:v>-222.38891999999998</c:v>
                </c:pt>
                <c:pt idx="2535">
                  <c:v>-222.29115300000001</c:v>
                </c:pt>
                <c:pt idx="2536">
                  <c:v>-222.193487</c:v>
                </c:pt>
                <c:pt idx="2537">
                  <c:v>-222.09472</c:v>
                </c:pt>
                <c:pt idx="2538">
                  <c:v>-221.99695400000002</c:v>
                </c:pt>
                <c:pt idx="2539">
                  <c:v>-221.89928800000001</c:v>
                </c:pt>
                <c:pt idx="2540">
                  <c:v>-221.80152299999997</c:v>
                </c:pt>
                <c:pt idx="2541">
                  <c:v>-221.70375800000002</c:v>
                </c:pt>
                <c:pt idx="2542">
                  <c:v>-221.60599300000001</c:v>
                </c:pt>
                <c:pt idx="2543">
                  <c:v>-221.507328</c:v>
                </c:pt>
                <c:pt idx="2544">
                  <c:v>-221.40956399999999</c:v>
                </c:pt>
                <c:pt idx="2545">
                  <c:v>-221.31180000000001</c:v>
                </c:pt>
                <c:pt idx="2546">
                  <c:v>-221.214136</c:v>
                </c:pt>
                <c:pt idx="2547">
                  <c:v>-221.11637300000001</c:v>
                </c:pt>
                <c:pt idx="2548">
                  <c:v>-221.01861000000002</c:v>
                </c:pt>
                <c:pt idx="2549">
                  <c:v>-220.91994699999998</c:v>
                </c:pt>
                <c:pt idx="2550">
                  <c:v>-220.82218499999999</c:v>
                </c:pt>
                <c:pt idx="2551">
                  <c:v>-220.724423</c:v>
                </c:pt>
                <c:pt idx="2552">
                  <c:v>-220.62666100000001</c:v>
                </c:pt>
                <c:pt idx="2553">
                  <c:v>-220.528999</c:v>
                </c:pt>
                <c:pt idx="2554">
                  <c:v>-220.430238</c:v>
                </c:pt>
                <c:pt idx="2555">
                  <c:v>-220.33247700000004</c:v>
                </c:pt>
                <c:pt idx="2556">
                  <c:v>-220.23481699999999</c:v>
                </c:pt>
                <c:pt idx="2557">
                  <c:v>-220.13705600000003</c:v>
                </c:pt>
                <c:pt idx="2558">
                  <c:v>-220.039297</c:v>
                </c:pt>
                <c:pt idx="2559">
                  <c:v>-219.94153699999998</c:v>
                </c:pt>
                <c:pt idx="2560">
                  <c:v>-219.84287800000001</c:v>
                </c:pt>
                <c:pt idx="2561">
                  <c:v>-219.74511899999999</c:v>
                </c:pt>
                <c:pt idx="2562">
                  <c:v>-219.64735999999999</c:v>
                </c:pt>
                <c:pt idx="2563">
                  <c:v>-219.54970100000003</c:v>
                </c:pt>
                <c:pt idx="2564">
                  <c:v>-219.451943</c:v>
                </c:pt>
                <c:pt idx="2565">
                  <c:v>-219.35418499999997</c:v>
                </c:pt>
                <c:pt idx="2566">
                  <c:v>-219.25542799999999</c:v>
                </c:pt>
                <c:pt idx="2567">
                  <c:v>-219.15777100000003</c:v>
                </c:pt>
                <c:pt idx="2568">
                  <c:v>-219.060014</c:v>
                </c:pt>
                <c:pt idx="2569">
                  <c:v>-218.96225700000002</c:v>
                </c:pt>
                <c:pt idx="2570">
                  <c:v>-218.86460099999999</c:v>
                </c:pt>
                <c:pt idx="2571">
                  <c:v>-218.76584500000001</c:v>
                </c:pt>
                <c:pt idx="2572">
                  <c:v>-218.66808899999998</c:v>
                </c:pt>
                <c:pt idx="2573">
                  <c:v>-218.570334</c:v>
                </c:pt>
                <c:pt idx="2574">
                  <c:v>-218.472579</c:v>
                </c:pt>
                <c:pt idx="2575">
                  <c:v>-218.37482400000002</c:v>
                </c:pt>
                <c:pt idx="2576">
                  <c:v>-218.27706899999998</c:v>
                </c:pt>
                <c:pt idx="2577">
                  <c:v>-218.178415</c:v>
                </c:pt>
                <c:pt idx="2578">
                  <c:v>-218.08066100000002</c:v>
                </c:pt>
                <c:pt idx="2579">
                  <c:v>-217.98290800000001</c:v>
                </c:pt>
                <c:pt idx="2580">
                  <c:v>-217.885155</c:v>
                </c:pt>
                <c:pt idx="2581">
                  <c:v>-217.78750200000002</c:v>
                </c:pt>
                <c:pt idx="2582">
                  <c:v>-217.68974900000001</c:v>
                </c:pt>
                <c:pt idx="2583">
                  <c:v>-217.59099699999999</c:v>
                </c:pt>
                <c:pt idx="2584">
                  <c:v>-217.49334499999998</c:v>
                </c:pt>
                <c:pt idx="2585">
                  <c:v>-217.39559299999999</c:v>
                </c:pt>
                <c:pt idx="2586">
                  <c:v>-217.297842</c:v>
                </c:pt>
                <c:pt idx="2587">
                  <c:v>-217.20009000000002</c:v>
                </c:pt>
                <c:pt idx="2588">
                  <c:v>-217.10133999999999</c:v>
                </c:pt>
                <c:pt idx="2589">
                  <c:v>-217.00358900000003</c:v>
                </c:pt>
                <c:pt idx="2590">
                  <c:v>-216.90583899999999</c:v>
                </c:pt>
                <c:pt idx="2591">
                  <c:v>-216.808089</c:v>
                </c:pt>
                <c:pt idx="2592">
                  <c:v>-216.71043900000001</c:v>
                </c:pt>
                <c:pt idx="2593">
                  <c:v>-216.61268999999999</c:v>
                </c:pt>
                <c:pt idx="2594">
                  <c:v>-216.51394100000002</c:v>
                </c:pt>
                <c:pt idx="2595">
                  <c:v>-216.416293</c:v>
                </c:pt>
                <c:pt idx="2596">
                  <c:v>-216.318544</c:v>
                </c:pt>
                <c:pt idx="2597">
                  <c:v>-216.22079600000001</c:v>
                </c:pt>
                <c:pt idx="2598">
                  <c:v>-216.12294800000001</c:v>
                </c:pt>
                <c:pt idx="2599">
                  <c:v>-216.02430099999998</c:v>
                </c:pt>
                <c:pt idx="2600">
                  <c:v>-215.92655399999998</c:v>
                </c:pt>
                <c:pt idx="2601">
                  <c:v>-215.82880699999998</c:v>
                </c:pt>
                <c:pt idx="2602">
                  <c:v>-215.73106100000001</c:v>
                </c:pt>
                <c:pt idx="2603">
                  <c:v>-215.63341400000002</c:v>
                </c:pt>
                <c:pt idx="2604">
                  <c:v>-215.53566799999999</c:v>
                </c:pt>
                <c:pt idx="2605">
                  <c:v>-215.43692300000001</c:v>
                </c:pt>
                <c:pt idx="2606">
                  <c:v>-215.33927699999998</c:v>
                </c:pt>
                <c:pt idx="2607">
                  <c:v>-215.241432</c:v>
                </c:pt>
                <c:pt idx="2608">
                  <c:v>-215.143688</c:v>
                </c:pt>
                <c:pt idx="2609">
                  <c:v>-215.04594299999999</c:v>
                </c:pt>
                <c:pt idx="2610">
                  <c:v>-214.94829900000002</c:v>
                </c:pt>
                <c:pt idx="2611">
                  <c:v>-214.84955600000001</c:v>
                </c:pt>
                <c:pt idx="2612">
                  <c:v>-214.75181199999997</c:v>
                </c:pt>
                <c:pt idx="2613">
                  <c:v>-214.65406899999999</c:v>
                </c:pt>
                <c:pt idx="2614">
                  <c:v>-214.55632600000001</c:v>
                </c:pt>
                <c:pt idx="2615">
                  <c:v>-214.458584</c:v>
                </c:pt>
                <c:pt idx="2616">
                  <c:v>-214.35984099999999</c:v>
                </c:pt>
                <c:pt idx="2617">
                  <c:v>-214.26209900000001</c:v>
                </c:pt>
                <c:pt idx="2618">
                  <c:v>-214.164458</c:v>
                </c:pt>
                <c:pt idx="2619">
                  <c:v>-214.06671599999999</c:v>
                </c:pt>
                <c:pt idx="2620">
                  <c:v>-213.968975</c:v>
                </c:pt>
                <c:pt idx="2621">
                  <c:v>-213.87113499999998</c:v>
                </c:pt>
                <c:pt idx="2622">
                  <c:v>-213.77249399999999</c:v>
                </c:pt>
                <c:pt idx="2623">
                  <c:v>-213.67475400000001</c:v>
                </c:pt>
                <c:pt idx="2624">
                  <c:v>-213.57701399999999</c:v>
                </c:pt>
                <c:pt idx="2625">
                  <c:v>-213.47937500000003</c:v>
                </c:pt>
                <c:pt idx="2626">
                  <c:v>-213.38163600000001</c:v>
                </c:pt>
                <c:pt idx="2627">
                  <c:v>-213.28279700000002</c:v>
                </c:pt>
                <c:pt idx="2628">
                  <c:v>-213.18505799999997</c:v>
                </c:pt>
                <c:pt idx="2629">
                  <c:v>-213.08742000000001</c:v>
                </c:pt>
                <c:pt idx="2630">
                  <c:v>-212.98968199999999</c:v>
                </c:pt>
                <c:pt idx="2631">
                  <c:v>-212.89194400000002</c:v>
                </c:pt>
                <c:pt idx="2632">
                  <c:v>-212.79420699999997</c:v>
                </c:pt>
                <c:pt idx="2633">
                  <c:v>-212.69547</c:v>
                </c:pt>
                <c:pt idx="2634">
                  <c:v>-212.59773300000001</c:v>
                </c:pt>
                <c:pt idx="2635">
                  <c:v>-212.49999700000001</c:v>
                </c:pt>
                <c:pt idx="2636">
                  <c:v>-212.40226100000001</c:v>
                </c:pt>
                <c:pt idx="2637">
                  <c:v>-212.30462500000002</c:v>
                </c:pt>
                <c:pt idx="2638">
                  <c:v>-212.20578899999998</c:v>
                </c:pt>
                <c:pt idx="2639">
                  <c:v>-212.10805400000001</c:v>
                </c:pt>
                <c:pt idx="2640">
                  <c:v>-212.01031900000001</c:v>
                </c:pt>
                <c:pt idx="2641">
                  <c:v>-211.91268499999998</c:v>
                </c:pt>
                <c:pt idx="2642">
                  <c:v>-211.81495000000001</c:v>
                </c:pt>
                <c:pt idx="2643">
                  <c:v>-211.71711600000003</c:v>
                </c:pt>
                <c:pt idx="2644">
                  <c:v>-211.61838299999999</c:v>
                </c:pt>
                <c:pt idx="2645">
                  <c:v>-211.52074900000002</c:v>
                </c:pt>
                <c:pt idx="2646">
                  <c:v>-211.42301599999999</c:v>
                </c:pt>
                <c:pt idx="2647">
                  <c:v>-211.32528300000001</c:v>
                </c:pt>
                <c:pt idx="2648">
                  <c:v>-211.227451</c:v>
                </c:pt>
                <c:pt idx="2649">
                  <c:v>-211.12881900000002</c:v>
                </c:pt>
                <c:pt idx="2650">
                  <c:v>-211.03108699999999</c:v>
                </c:pt>
                <c:pt idx="2651">
                  <c:v>-210.933356</c:v>
                </c:pt>
                <c:pt idx="2652">
                  <c:v>-210.835624</c:v>
                </c:pt>
                <c:pt idx="2653">
                  <c:v>-210.73789300000001</c:v>
                </c:pt>
                <c:pt idx="2654">
                  <c:v>-210.64016300000003</c:v>
                </c:pt>
                <c:pt idx="2655">
                  <c:v>-210.54143300000001</c:v>
                </c:pt>
                <c:pt idx="2656">
                  <c:v>-210.44370299999997</c:v>
                </c:pt>
                <c:pt idx="2657">
                  <c:v>-210.34597300000001</c:v>
                </c:pt>
                <c:pt idx="2658">
                  <c:v>-210.248243</c:v>
                </c:pt>
                <c:pt idx="2659">
                  <c:v>-210.15051399999999</c:v>
                </c:pt>
                <c:pt idx="2660">
                  <c:v>-210.05178599999999</c:v>
                </c:pt>
                <c:pt idx="2661">
                  <c:v>-209.95405699999998</c:v>
                </c:pt>
                <c:pt idx="2662">
                  <c:v>-209.85632899999999</c:v>
                </c:pt>
                <c:pt idx="2663">
                  <c:v>-209.758601</c:v>
                </c:pt>
                <c:pt idx="2664">
                  <c:v>-209.66087300000001</c:v>
                </c:pt>
                <c:pt idx="2665">
                  <c:v>-209.56304599999999</c:v>
                </c:pt>
                <c:pt idx="2666">
                  <c:v>-209.46441899999999</c:v>
                </c:pt>
                <c:pt idx="2667">
                  <c:v>-209.36669300000003</c:v>
                </c:pt>
                <c:pt idx="2668">
                  <c:v>-209.26896599999998</c:v>
                </c:pt>
                <c:pt idx="2669">
                  <c:v>-209.17114000000001</c:v>
                </c:pt>
                <c:pt idx="2670">
                  <c:v>-209.07351399999999</c:v>
                </c:pt>
                <c:pt idx="2671">
                  <c:v>-208.97478900000002</c:v>
                </c:pt>
                <c:pt idx="2672">
                  <c:v>-208.87706400000002</c:v>
                </c:pt>
                <c:pt idx="2673">
                  <c:v>-208.77923900000002</c:v>
                </c:pt>
                <c:pt idx="2674">
                  <c:v>-208.68161500000002</c:v>
                </c:pt>
                <c:pt idx="2675">
                  <c:v>-208.58389000000003</c:v>
                </c:pt>
                <c:pt idx="2676">
                  <c:v>-208.48616599999997</c:v>
                </c:pt>
                <c:pt idx="2677">
                  <c:v>-208.38734299999999</c:v>
                </c:pt>
                <c:pt idx="2678">
                  <c:v>-208.28972000000002</c:v>
                </c:pt>
                <c:pt idx="2679">
                  <c:v>-208.19199700000001</c:v>
                </c:pt>
                <c:pt idx="2680">
                  <c:v>-208.09417399999998</c:v>
                </c:pt>
                <c:pt idx="2681">
                  <c:v>-207.99645099999998</c:v>
                </c:pt>
                <c:pt idx="2682">
                  <c:v>-207.897729</c:v>
                </c:pt>
                <c:pt idx="2683">
                  <c:v>-207.80010800000002</c:v>
                </c:pt>
                <c:pt idx="2684">
                  <c:v>-207.70228599999999</c:v>
                </c:pt>
                <c:pt idx="2685">
                  <c:v>-207.60456500000001</c:v>
                </c:pt>
                <c:pt idx="2686">
                  <c:v>-207.506844</c:v>
                </c:pt>
                <c:pt idx="2687">
                  <c:v>-207.40912400000002</c:v>
                </c:pt>
                <c:pt idx="2688">
                  <c:v>-207.31040299999998</c:v>
                </c:pt>
                <c:pt idx="2689">
                  <c:v>-207.212684</c:v>
                </c:pt>
                <c:pt idx="2690">
                  <c:v>-207.11496399999999</c:v>
                </c:pt>
                <c:pt idx="2691">
                  <c:v>-207.017245</c:v>
                </c:pt>
                <c:pt idx="2692">
                  <c:v>-206.91952600000002</c:v>
                </c:pt>
                <c:pt idx="2693">
                  <c:v>-206.820807</c:v>
                </c:pt>
                <c:pt idx="2694">
                  <c:v>-206.72298800000002</c:v>
                </c:pt>
                <c:pt idx="2695">
                  <c:v>-206.62527</c:v>
                </c:pt>
                <c:pt idx="2696">
                  <c:v>-206.52765300000002</c:v>
                </c:pt>
                <c:pt idx="2697">
                  <c:v>-206.42983500000003</c:v>
                </c:pt>
                <c:pt idx="2698">
                  <c:v>-206.33211800000001</c:v>
                </c:pt>
                <c:pt idx="2699">
                  <c:v>-206.23340100000001</c:v>
                </c:pt>
                <c:pt idx="2700">
                  <c:v>-206.135684</c:v>
                </c:pt>
                <c:pt idx="2701">
                  <c:v>-206.03796800000003</c:v>
                </c:pt>
                <c:pt idx="2702">
                  <c:v>-205.94025200000002</c:v>
                </c:pt>
                <c:pt idx="2703">
                  <c:v>-205.84243700000002</c:v>
                </c:pt>
                <c:pt idx="2704">
                  <c:v>-205.74372099999999</c:v>
                </c:pt>
                <c:pt idx="2705">
                  <c:v>-205.646106</c:v>
                </c:pt>
                <c:pt idx="2706">
                  <c:v>-205.548292</c:v>
                </c:pt>
                <c:pt idx="2707">
                  <c:v>-205.45057699999998</c:v>
                </c:pt>
                <c:pt idx="2708">
                  <c:v>-205.35286300000001</c:v>
                </c:pt>
                <c:pt idx="2709">
                  <c:v>-205.25414900000001</c:v>
                </c:pt>
                <c:pt idx="2710">
                  <c:v>-205.15643600000001</c:v>
                </c:pt>
                <c:pt idx="2711">
                  <c:v>-205.05872199999999</c:v>
                </c:pt>
                <c:pt idx="2712">
                  <c:v>-204.96091000000001</c:v>
                </c:pt>
                <c:pt idx="2713">
                  <c:v>-204.86319699999999</c:v>
                </c:pt>
                <c:pt idx="2714">
                  <c:v>-204.76558499999999</c:v>
                </c:pt>
                <c:pt idx="2715">
                  <c:v>-204.66677299999998</c:v>
                </c:pt>
                <c:pt idx="2716">
                  <c:v>-204.56906099999998</c:v>
                </c:pt>
                <c:pt idx="2717">
                  <c:v>-204.47135000000003</c:v>
                </c:pt>
                <c:pt idx="2718">
                  <c:v>-204.373639</c:v>
                </c:pt>
                <c:pt idx="2719">
                  <c:v>-204.27592800000002</c:v>
                </c:pt>
                <c:pt idx="2720">
                  <c:v>-204.17721699999998</c:v>
                </c:pt>
                <c:pt idx="2721">
                  <c:v>-204.079407</c:v>
                </c:pt>
                <c:pt idx="2722">
                  <c:v>-203.981697</c:v>
                </c:pt>
                <c:pt idx="2723">
                  <c:v>-203.88398799999999</c:v>
                </c:pt>
                <c:pt idx="2724">
                  <c:v>-203.78627899999998</c:v>
                </c:pt>
                <c:pt idx="2725">
                  <c:v>-203.68857</c:v>
                </c:pt>
                <c:pt idx="2726">
                  <c:v>-203.58976100000001</c:v>
                </c:pt>
                <c:pt idx="2727">
                  <c:v>-203.492053</c:v>
                </c:pt>
                <c:pt idx="2728">
                  <c:v>-203.39444499999999</c:v>
                </c:pt>
                <c:pt idx="2729">
                  <c:v>-203.29663700000003</c:v>
                </c:pt>
                <c:pt idx="2730">
                  <c:v>-203.19892999999999</c:v>
                </c:pt>
                <c:pt idx="2731">
                  <c:v>-203.100123</c:v>
                </c:pt>
                <c:pt idx="2732">
                  <c:v>-203.00251599999999</c:v>
                </c:pt>
                <c:pt idx="2733">
                  <c:v>-202.904809</c:v>
                </c:pt>
                <c:pt idx="2734">
                  <c:v>-202.80700299999998</c:v>
                </c:pt>
                <c:pt idx="2735">
                  <c:v>-202.70929700000002</c:v>
                </c:pt>
                <c:pt idx="2736">
                  <c:v>-202.61049200000002</c:v>
                </c:pt>
                <c:pt idx="2737">
                  <c:v>-202.51288700000001</c:v>
                </c:pt>
                <c:pt idx="2738">
                  <c:v>-202.41518200000002</c:v>
                </c:pt>
                <c:pt idx="2739">
                  <c:v>-202.31737699999999</c:v>
                </c:pt>
                <c:pt idx="2740">
                  <c:v>-202.219673</c:v>
                </c:pt>
                <c:pt idx="2741">
                  <c:v>-202.121869</c:v>
                </c:pt>
                <c:pt idx="2742">
                  <c:v>-202.02326500000001</c:v>
                </c:pt>
                <c:pt idx="2743">
                  <c:v>-201.92556099999999</c:v>
                </c:pt>
                <c:pt idx="2744">
                  <c:v>-201.82775799999999</c:v>
                </c:pt>
                <c:pt idx="2745">
                  <c:v>-201.73005599999999</c:v>
                </c:pt>
                <c:pt idx="2746">
                  <c:v>-201.63225299999999</c:v>
                </c:pt>
                <c:pt idx="2747">
                  <c:v>-201.53365100000002</c:v>
                </c:pt>
                <c:pt idx="2748">
                  <c:v>-201.43584899999999</c:v>
                </c:pt>
                <c:pt idx="2749">
                  <c:v>-201.33814700000002</c:v>
                </c:pt>
                <c:pt idx="2750">
                  <c:v>-201.24044599999996</c:v>
                </c:pt>
                <c:pt idx="2751">
                  <c:v>-201.14264499999999</c:v>
                </c:pt>
                <c:pt idx="2752">
                  <c:v>-201.04504400000002</c:v>
                </c:pt>
                <c:pt idx="2753">
                  <c:v>-200.94624400000001</c:v>
                </c:pt>
                <c:pt idx="2754">
                  <c:v>-200.848544</c:v>
                </c:pt>
                <c:pt idx="2755">
                  <c:v>-200.750744</c:v>
                </c:pt>
                <c:pt idx="2756">
                  <c:v>-200.65304499999999</c:v>
                </c:pt>
                <c:pt idx="2757">
                  <c:v>-200.55544599999999</c:v>
                </c:pt>
                <c:pt idx="2758">
                  <c:v>-200.456647</c:v>
                </c:pt>
                <c:pt idx="2759">
                  <c:v>-200.358948</c:v>
                </c:pt>
                <c:pt idx="2760">
                  <c:v>-200.26114999999999</c:v>
                </c:pt>
                <c:pt idx="2761">
                  <c:v>-200.16345200000001</c:v>
                </c:pt>
                <c:pt idx="2762">
                  <c:v>-200.065755</c:v>
                </c:pt>
                <c:pt idx="2763">
                  <c:v>-199.96705700000001</c:v>
                </c:pt>
                <c:pt idx="2764">
                  <c:v>-199.86926</c:v>
                </c:pt>
                <c:pt idx="2765">
                  <c:v>-199.77156399999998</c:v>
                </c:pt>
                <c:pt idx="2766">
                  <c:v>-199.673767</c:v>
                </c:pt>
                <c:pt idx="2767">
                  <c:v>-199.57617099999999</c:v>
                </c:pt>
                <c:pt idx="2768">
                  <c:v>-199.478475</c:v>
                </c:pt>
                <c:pt idx="2769">
                  <c:v>-199.37967999999998</c:v>
                </c:pt>
                <c:pt idx="2770">
                  <c:v>-199.28198499999999</c:v>
                </c:pt>
                <c:pt idx="2771">
                  <c:v>-199.18419</c:v>
                </c:pt>
                <c:pt idx="2772">
                  <c:v>-199.08659499999999</c:v>
                </c:pt>
                <c:pt idx="2773">
                  <c:v>-198.98880100000002</c:v>
                </c:pt>
                <c:pt idx="2774">
                  <c:v>-198.890107</c:v>
                </c:pt>
                <c:pt idx="2775">
                  <c:v>-198.792314</c:v>
                </c:pt>
                <c:pt idx="2776">
                  <c:v>-198.69461999999999</c:v>
                </c:pt>
                <c:pt idx="2777">
                  <c:v>-198.59692699999999</c:v>
                </c:pt>
                <c:pt idx="2778">
                  <c:v>-198.499234</c:v>
                </c:pt>
                <c:pt idx="2779">
                  <c:v>-198.400442</c:v>
                </c:pt>
                <c:pt idx="2780">
                  <c:v>-198.30275</c:v>
                </c:pt>
                <c:pt idx="2781">
                  <c:v>-198.20495799999998</c:v>
                </c:pt>
                <c:pt idx="2782">
                  <c:v>-198.10726700000001</c:v>
                </c:pt>
                <c:pt idx="2783">
                  <c:v>-198.00957499999998</c:v>
                </c:pt>
                <c:pt idx="2784">
                  <c:v>-197.91188499999998</c:v>
                </c:pt>
                <c:pt idx="2785">
                  <c:v>-197.81309400000001</c:v>
                </c:pt>
                <c:pt idx="2786">
                  <c:v>-197.71540399999998</c:v>
                </c:pt>
                <c:pt idx="2787">
                  <c:v>-197.617614</c:v>
                </c:pt>
                <c:pt idx="2788">
                  <c:v>-197.52002399999998</c:v>
                </c:pt>
                <c:pt idx="2789">
                  <c:v>-197.422235</c:v>
                </c:pt>
                <c:pt idx="2790">
                  <c:v>-197.32354600000002</c:v>
                </c:pt>
                <c:pt idx="2791">
                  <c:v>-197.22575699999999</c:v>
                </c:pt>
                <c:pt idx="2792">
                  <c:v>-197.12806900000001</c:v>
                </c:pt>
                <c:pt idx="2793">
                  <c:v>-197.03028</c:v>
                </c:pt>
                <c:pt idx="2794">
                  <c:v>-196.932693</c:v>
                </c:pt>
                <c:pt idx="2795">
                  <c:v>-196.83390500000002</c:v>
                </c:pt>
                <c:pt idx="2796">
                  <c:v>-196.73621800000001</c:v>
                </c:pt>
                <c:pt idx="2797">
                  <c:v>-196.63843100000003</c:v>
                </c:pt>
                <c:pt idx="2798">
                  <c:v>-196.54074399999999</c:v>
                </c:pt>
                <c:pt idx="2799">
                  <c:v>-196.44305800000001</c:v>
                </c:pt>
                <c:pt idx="2800">
                  <c:v>-196.34427199999999</c:v>
                </c:pt>
                <c:pt idx="2801">
                  <c:v>-196.24658599999998</c:v>
                </c:pt>
                <c:pt idx="2802">
                  <c:v>-196.14880099999999</c:v>
                </c:pt>
                <c:pt idx="2803">
                  <c:v>-196.05111599999998</c:v>
                </c:pt>
                <c:pt idx="2804">
                  <c:v>-195.95333100000002</c:v>
                </c:pt>
                <c:pt idx="2805">
                  <c:v>-195.85574699999998</c:v>
                </c:pt>
                <c:pt idx="2806">
                  <c:v>-195.75696300000001</c:v>
                </c:pt>
                <c:pt idx="2807">
                  <c:v>-195.65927900000003</c:v>
                </c:pt>
                <c:pt idx="2808">
                  <c:v>-195.56149500000001</c:v>
                </c:pt>
                <c:pt idx="2809">
                  <c:v>-195.46381199999996</c:v>
                </c:pt>
                <c:pt idx="2810">
                  <c:v>-195.366029</c:v>
                </c:pt>
                <c:pt idx="2811">
                  <c:v>-195.267346</c:v>
                </c:pt>
                <c:pt idx="2812">
                  <c:v>-195.16966400000001</c:v>
                </c:pt>
                <c:pt idx="2813">
                  <c:v>-195.07188199999999</c:v>
                </c:pt>
                <c:pt idx="2814">
                  <c:v>-194.9742</c:v>
                </c:pt>
                <c:pt idx="2815">
                  <c:v>-194.876419</c:v>
                </c:pt>
                <c:pt idx="2816">
                  <c:v>-194.777838</c:v>
                </c:pt>
                <c:pt idx="2817">
                  <c:v>-194.68005699999998</c:v>
                </c:pt>
                <c:pt idx="2818">
                  <c:v>-194.58237700000001</c:v>
                </c:pt>
                <c:pt idx="2819">
                  <c:v>-194.48459600000001</c:v>
                </c:pt>
                <c:pt idx="2820">
                  <c:v>-194.38681699999998</c:v>
                </c:pt>
                <c:pt idx="2821">
                  <c:v>-194.28913700000001</c:v>
                </c:pt>
                <c:pt idx="2822">
                  <c:v>-194.19045800000001</c:v>
                </c:pt>
                <c:pt idx="2823">
                  <c:v>-194.09277900000001</c:v>
                </c:pt>
                <c:pt idx="2824">
                  <c:v>-193.995</c:v>
                </c:pt>
                <c:pt idx="2825">
                  <c:v>-193.897222</c:v>
                </c:pt>
                <c:pt idx="2826">
                  <c:v>-193.799544</c:v>
                </c:pt>
                <c:pt idx="2827">
                  <c:v>-193.70076599999999</c:v>
                </c:pt>
                <c:pt idx="2828">
                  <c:v>-193.60318900000001</c:v>
                </c:pt>
                <c:pt idx="2829">
                  <c:v>-193.50541099999998</c:v>
                </c:pt>
                <c:pt idx="2830">
                  <c:v>-193.407635</c:v>
                </c:pt>
                <c:pt idx="2831">
                  <c:v>-193.30995800000002</c:v>
                </c:pt>
                <c:pt idx="2832">
                  <c:v>-193.21118199999998</c:v>
                </c:pt>
                <c:pt idx="2833">
                  <c:v>-193.113506</c:v>
                </c:pt>
                <c:pt idx="2834">
                  <c:v>-193.01582999999999</c:v>
                </c:pt>
                <c:pt idx="2835">
                  <c:v>-192.91805499999998</c:v>
                </c:pt>
                <c:pt idx="2836">
                  <c:v>-192.82038</c:v>
                </c:pt>
                <c:pt idx="2837">
                  <c:v>-192.72160599999998</c:v>
                </c:pt>
                <c:pt idx="2838">
                  <c:v>-192.623931</c:v>
                </c:pt>
                <c:pt idx="2839">
                  <c:v>-192.52615700000001</c:v>
                </c:pt>
                <c:pt idx="2840">
                  <c:v>-192.428383</c:v>
                </c:pt>
                <c:pt idx="2841">
                  <c:v>-192.33080999999999</c:v>
                </c:pt>
                <c:pt idx="2842">
                  <c:v>-192.233037</c:v>
                </c:pt>
                <c:pt idx="2843">
                  <c:v>-192.13436400000001</c:v>
                </c:pt>
                <c:pt idx="2844">
                  <c:v>-192.03659099999999</c:v>
                </c:pt>
                <c:pt idx="2845">
                  <c:v>-191.938819</c:v>
                </c:pt>
                <c:pt idx="2846">
                  <c:v>-191.84114699999998</c:v>
                </c:pt>
                <c:pt idx="2847">
                  <c:v>-191.74347599999999</c:v>
                </c:pt>
                <c:pt idx="2848">
                  <c:v>-191.64470400000002</c:v>
                </c:pt>
                <c:pt idx="2849">
                  <c:v>-191.547033</c:v>
                </c:pt>
                <c:pt idx="2850">
                  <c:v>-191.449263</c:v>
                </c:pt>
                <c:pt idx="2851">
                  <c:v>-191.35149200000001</c:v>
                </c:pt>
                <c:pt idx="2852">
                  <c:v>-191.25382199999999</c:v>
                </c:pt>
                <c:pt idx="2853">
                  <c:v>-191.15515200000002</c:v>
                </c:pt>
                <c:pt idx="2854">
                  <c:v>-191.05748299999999</c:v>
                </c:pt>
                <c:pt idx="2855">
                  <c:v>-190.95971399999999</c:v>
                </c:pt>
                <c:pt idx="2856">
                  <c:v>-190.86194499999999</c:v>
                </c:pt>
                <c:pt idx="2857">
                  <c:v>-190.764276</c:v>
                </c:pt>
                <c:pt idx="2858">
                  <c:v>-190.66550800000002</c:v>
                </c:pt>
                <c:pt idx="2859">
                  <c:v>-190.56774000000001</c:v>
                </c:pt>
                <c:pt idx="2860">
                  <c:v>-190.47027200000002</c:v>
                </c:pt>
                <c:pt idx="2861">
                  <c:v>-190.37230499999998</c:v>
                </c:pt>
                <c:pt idx="2862">
                  <c:v>-190.274338</c:v>
                </c:pt>
                <c:pt idx="2863">
                  <c:v>-190.17647099999999</c:v>
                </c:pt>
                <c:pt idx="2864">
                  <c:v>-190.07850500000001</c:v>
                </c:pt>
                <c:pt idx="2865">
                  <c:v>-189.98053899999999</c:v>
                </c:pt>
                <c:pt idx="2866">
                  <c:v>-189.88277299999999</c:v>
                </c:pt>
                <c:pt idx="2867">
                  <c:v>-189.784808</c:v>
                </c:pt>
                <c:pt idx="2868">
                  <c:v>-189.68684200000001</c:v>
                </c:pt>
                <c:pt idx="2869">
                  <c:v>-189.588977</c:v>
                </c:pt>
                <c:pt idx="2870">
                  <c:v>-189.49111299999998</c:v>
                </c:pt>
                <c:pt idx="2871">
                  <c:v>-189.39314899999999</c:v>
                </c:pt>
                <c:pt idx="2872">
                  <c:v>-189.29528499999998</c:v>
                </c:pt>
                <c:pt idx="2873">
                  <c:v>-189.19742099999999</c:v>
                </c:pt>
                <c:pt idx="2874">
                  <c:v>-189.09945800000003</c:v>
                </c:pt>
                <c:pt idx="2875">
                  <c:v>-189.00149500000001</c:v>
                </c:pt>
                <c:pt idx="2876">
                  <c:v>-188.90363200000002</c:v>
                </c:pt>
                <c:pt idx="2877">
                  <c:v>-188.80566899999999</c:v>
                </c:pt>
                <c:pt idx="2878">
                  <c:v>-188.707707</c:v>
                </c:pt>
                <c:pt idx="2879">
                  <c:v>-188.60984500000001</c:v>
                </c:pt>
                <c:pt idx="2880">
                  <c:v>-188.51198400000001</c:v>
                </c:pt>
                <c:pt idx="2881">
                  <c:v>-188.41402299999999</c:v>
                </c:pt>
                <c:pt idx="2882">
                  <c:v>-188.31616199999999</c:v>
                </c:pt>
                <c:pt idx="2883">
                  <c:v>-188.21820099999999</c:v>
                </c:pt>
                <c:pt idx="2884">
                  <c:v>-188.120341</c:v>
                </c:pt>
                <c:pt idx="2885">
                  <c:v>-188.022381</c:v>
                </c:pt>
                <c:pt idx="2886">
                  <c:v>-187.92452100000003</c:v>
                </c:pt>
                <c:pt idx="2887">
                  <c:v>-187.826662</c:v>
                </c:pt>
                <c:pt idx="2888">
                  <c:v>-187.728703</c:v>
                </c:pt>
                <c:pt idx="2889">
                  <c:v>-187.63084400000002</c:v>
                </c:pt>
                <c:pt idx="2890">
                  <c:v>-187.53288599999999</c:v>
                </c:pt>
                <c:pt idx="2891">
                  <c:v>-187.43492700000002</c:v>
                </c:pt>
                <c:pt idx="2892">
                  <c:v>-187.33696999999998</c:v>
                </c:pt>
                <c:pt idx="2893">
                  <c:v>-187.23911200000001</c:v>
                </c:pt>
                <c:pt idx="2894">
                  <c:v>-187.14115500000003</c:v>
                </c:pt>
                <c:pt idx="2895">
                  <c:v>-187.04329799999999</c:v>
                </c:pt>
                <c:pt idx="2896">
                  <c:v>-186.94534100000001</c:v>
                </c:pt>
                <c:pt idx="2897">
                  <c:v>-186.84748500000001</c:v>
                </c:pt>
                <c:pt idx="2898">
                  <c:v>-186.74952900000002</c:v>
                </c:pt>
                <c:pt idx="2899">
                  <c:v>-186.65157299999998</c:v>
                </c:pt>
                <c:pt idx="2900">
                  <c:v>-186.553718</c:v>
                </c:pt>
                <c:pt idx="2901">
                  <c:v>-186.45586299999999</c:v>
                </c:pt>
                <c:pt idx="2902">
                  <c:v>-186.35800799999998</c:v>
                </c:pt>
                <c:pt idx="2903">
                  <c:v>-186.260053</c:v>
                </c:pt>
                <c:pt idx="2904">
                  <c:v>-186.16209900000001</c:v>
                </c:pt>
                <c:pt idx="2905">
                  <c:v>-186.064245</c:v>
                </c:pt>
                <c:pt idx="2906">
                  <c:v>-185.96629200000001</c:v>
                </c:pt>
                <c:pt idx="2907">
                  <c:v>-185.86833799999999</c:v>
                </c:pt>
                <c:pt idx="2908">
                  <c:v>-185.770386</c:v>
                </c:pt>
                <c:pt idx="2909">
                  <c:v>-185.67253300000002</c:v>
                </c:pt>
                <c:pt idx="2910">
                  <c:v>-185.574681</c:v>
                </c:pt>
                <c:pt idx="2911">
                  <c:v>-185.47672799999998</c:v>
                </c:pt>
                <c:pt idx="2912">
                  <c:v>-185.37877700000001</c:v>
                </c:pt>
                <c:pt idx="2913">
                  <c:v>-185.280925</c:v>
                </c:pt>
                <c:pt idx="2914">
                  <c:v>-185.18297400000003</c:v>
                </c:pt>
                <c:pt idx="2915">
                  <c:v>-185.08502300000001</c:v>
                </c:pt>
                <c:pt idx="2916">
                  <c:v>-184.98707300000001</c:v>
                </c:pt>
                <c:pt idx="2917">
                  <c:v>-184.88922300000002</c:v>
                </c:pt>
                <c:pt idx="2918">
                  <c:v>-184.791473</c:v>
                </c:pt>
                <c:pt idx="2919">
                  <c:v>-184.693523</c:v>
                </c:pt>
                <c:pt idx="2920">
                  <c:v>-184.595574</c:v>
                </c:pt>
                <c:pt idx="2921">
                  <c:v>-184.497625</c:v>
                </c:pt>
                <c:pt idx="2922">
                  <c:v>-184.39977600000003</c:v>
                </c:pt>
                <c:pt idx="2923">
                  <c:v>-184.301828</c:v>
                </c:pt>
                <c:pt idx="2924">
                  <c:v>-184.20388</c:v>
                </c:pt>
                <c:pt idx="2925">
                  <c:v>-184.105932</c:v>
                </c:pt>
                <c:pt idx="2926">
                  <c:v>-184.00808499999999</c:v>
                </c:pt>
                <c:pt idx="2927">
                  <c:v>-183.910237</c:v>
                </c:pt>
                <c:pt idx="2928">
                  <c:v>-183.81229099999999</c:v>
                </c:pt>
                <c:pt idx="2929">
                  <c:v>-183.71434400000001</c:v>
                </c:pt>
                <c:pt idx="2930">
                  <c:v>-183.616398</c:v>
                </c:pt>
                <c:pt idx="2931">
                  <c:v>-183.518452</c:v>
                </c:pt>
                <c:pt idx="2932">
                  <c:v>-183.42060600000002</c:v>
                </c:pt>
                <c:pt idx="2933">
                  <c:v>-183.32266099999998</c:v>
                </c:pt>
                <c:pt idx="2934">
                  <c:v>-183.224816</c:v>
                </c:pt>
                <c:pt idx="2935">
                  <c:v>-183.12687100000002</c:v>
                </c:pt>
                <c:pt idx="2936">
                  <c:v>-183.02892700000001</c:v>
                </c:pt>
                <c:pt idx="2937">
                  <c:v>-182.930983</c:v>
                </c:pt>
                <c:pt idx="2938">
                  <c:v>-182.83323899999999</c:v>
                </c:pt>
                <c:pt idx="2939">
                  <c:v>-182.73529599999998</c:v>
                </c:pt>
                <c:pt idx="2940">
                  <c:v>-182.63735200000002</c:v>
                </c:pt>
                <c:pt idx="2941">
                  <c:v>-182.53940999999998</c:v>
                </c:pt>
                <c:pt idx="2942">
                  <c:v>-182.44146699999999</c:v>
                </c:pt>
                <c:pt idx="2943">
                  <c:v>-182.343625</c:v>
                </c:pt>
                <c:pt idx="2944">
                  <c:v>-182.24578299999999</c:v>
                </c:pt>
                <c:pt idx="2945">
                  <c:v>-182.147841</c:v>
                </c:pt>
                <c:pt idx="2946">
                  <c:v>-182.04989999999998</c:v>
                </c:pt>
                <c:pt idx="2947">
                  <c:v>-181.95195899999999</c:v>
                </c:pt>
                <c:pt idx="2948">
                  <c:v>-181.854018</c:v>
                </c:pt>
                <c:pt idx="2949">
                  <c:v>-181.756078</c:v>
                </c:pt>
                <c:pt idx="2950">
                  <c:v>-181.65823800000001</c:v>
                </c:pt>
                <c:pt idx="2951">
                  <c:v>-181.56029799999999</c:v>
                </c:pt>
                <c:pt idx="2952">
                  <c:v>-181.462458</c:v>
                </c:pt>
                <c:pt idx="2953">
                  <c:v>-181.364519</c:v>
                </c:pt>
                <c:pt idx="2954">
                  <c:v>-181.26657999999998</c:v>
                </c:pt>
                <c:pt idx="2955">
                  <c:v>-181.16864200000001</c:v>
                </c:pt>
                <c:pt idx="2956">
                  <c:v>-181.07070299999998</c:v>
                </c:pt>
                <c:pt idx="2957">
                  <c:v>-180.97286499999998</c:v>
                </c:pt>
                <c:pt idx="2958">
                  <c:v>-180.87492799999998</c:v>
                </c:pt>
                <c:pt idx="2959">
                  <c:v>-180.77699000000001</c:v>
                </c:pt>
                <c:pt idx="2960">
                  <c:v>-180.67905299999998</c:v>
                </c:pt>
                <c:pt idx="2961">
                  <c:v>-180.58121699999998</c:v>
                </c:pt>
                <c:pt idx="2962">
                  <c:v>-180.48327999999998</c:v>
                </c:pt>
                <c:pt idx="2963">
                  <c:v>-180.385344</c:v>
                </c:pt>
                <c:pt idx="2964">
                  <c:v>-180.28740800000003</c:v>
                </c:pt>
                <c:pt idx="2965">
                  <c:v>-180.189573</c:v>
                </c:pt>
                <c:pt idx="2966">
                  <c:v>-180.09173699999999</c:v>
                </c:pt>
                <c:pt idx="2967">
                  <c:v>-179.99380300000001</c:v>
                </c:pt>
                <c:pt idx="2968">
                  <c:v>-179.89586799999998</c:v>
                </c:pt>
                <c:pt idx="2969">
                  <c:v>-179.797934</c:v>
                </c:pt>
                <c:pt idx="2970">
                  <c:v>-179.7</c:v>
                </c:pt>
                <c:pt idx="2971">
                  <c:v>-179.60216599999998</c:v>
                </c:pt>
                <c:pt idx="2972">
                  <c:v>-179.504233</c:v>
                </c:pt>
                <c:pt idx="2973">
                  <c:v>-179.40629899999999</c:v>
                </c:pt>
                <c:pt idx="2974">
                  <c:v>-179.308367</c:v>
                </c:pt>
                <c:pt idx="2975">
                  <c:v>-179.210534</c:v>
                </c:pt>
                <c:pt idx="2976">
                  <c:v>-179.11260199999998</c:v>
                </c:pt>
                <c:pt idx="2977">
                  <c:v>-179.01467</c:v>
                </c:pt>
                <c:pt idx="2978">
                  <c:v>-178.91673900000001</c:v>
                </c:pt>
                <c:pt idx="2979">
                  <c:v>-178.81880699999999</c:v>
                </c:pt>
                <c:pt idx="2980">
                  <c:v>-178.720877</c:v>
                </c:pt>
                <c:pt idx="2981">
                  <c:v>-178.62304599999999</c:v>
                </c:pt>
                <c:pt idx="2982">
                  <c:v>-178.525116</c:v>
                </c:pt>
                <c:pt idx="2983">
                  <c:v>-178.42718600000001</c:v>
                </c:pt>
                <c:pt idx="2984">
                  <c:v>-178.32925599999999</c:v>
                </c:pt>
                <c:pt idx="2985">
                  <c:v>-178.231326</c:v>
                </c:pt>
                <c:pt idx="2986">
                  <c:v>-178.13349699999998</c:v>
                </c:pt>
                <c:pt idx="2987">
                  <c:v>-178.03556899999998</c:v>
                </c:pt>
                <c:pt idx="2988">
                  <c:v>-177.93764000000002</c:v>
                </c:pt>
                <c:pt idx="2989">
                  <c:v>-177.83971199999996</c:v>
                </c:pt>
                <c:pt idx="2990">
                  <c:v>-177.741784</c:v>
                </c:pt>
                <c:pt idx="2991">
                  <c:v>-177.64385600000003</c:v>
                </c:pt>
                <c:pt idx="2992">
                  <c:v>-177.54602899999998</c:v>
                </c:pt>
                <c:pt idx="2993">
                  <c:v>-177.44810200000001</c:v>
                </c:pt>
                <c:pt idx="2994">
                  <c:v>-177.350176</c:v>
                </c:pt>
                <c:pt idx="2995">
                  <c:v>-177.25224900000001</c:v>
                </c:pt>
                <c:pt idx="2996">
                  <c:v>-177.15432300000001</c:v>
                </c:pt>
                <c:pt idx="2997">
                  <c:v>-177.056398</c:v>
                </c:pt>
                <c:pt idx="2998">
                  <c:v>-176.95847199999997</c:v>
                </c:pt>
                <c:pt idx="2999">
                  <c:v>-176.860547</c:v>
                </c:pt>
                <c:pt idx="3000">
                  <c:v>-176.76262200000002</c:v>
                </c:pt>
                <c:pt idx="3001">
                  <c:v>-176.66469799999999</c:v>
                </c:pt>
                <c:pt idx="3002">
                  <c:v>-176.56677300000001</c:v>
                </c:pt>
                <c:pt idx="3003">
                  <c:v>-176.46884999999997</c:v>
                </c:pt>
                <c:pt idx="3004">
                  <c:v>-176.371026</c:v>
                </c:pt>
                <c:pt idx="3005">
                  <c:v>-176.27320300000002</c:v>
                </c:pt>
                <c:pt idx="3006">
                  <c:v>-176.17527999999999</c:v>
                </c:pt>
                <c:pt idx="3007">
                  <c:v>-176.07735699999998</c:v>
                </c:pt>
                <c:pt idx="3008">
                  <c:v>-175.97943500000002</c:v>
                </c:pt>
                <c:pt idx="3009">
                  <c:v>-175.88151299999998</c:v>
                </c:pt>
                <c:pt idx="3010">
                  <c:v>-175.783591</c:v>
                </c:pt>
                <c:pt idx="3011">
                  <c:v>-175.68566900000002</c:v>
                </c:pt>
                <c:pt idx="3012">
                  <c:v>-175.587748</c:v>
                </c:pt>
                <c:pt idx="3013">
                  <c:v>-175.48982700000002</c:v>
                </c:pt>
                <c:pt idx="3014">
                  <c:v>-175.391907</c:v>
                </c:pt>
                <c:pt idx="3015">
                  <c:v>-175.29398700000002</c:v>
                </c:pt>
                <c:pt idx="3016">
                  <c:v>-175.196167</c:v>
                </c:pt>
                <c:pt idx="3017">
                  <c:v>-175.09824699999999</c:v>
                </c:pt>
                <c:pt idx="3018">
                  <c:v>-175.000328</c:v>
                </c:pt>
                <c:pt idx="3019">
                  <c:v>-174.90240899999998</c:v>
                </c:pt>
                <c:pt idx="3020">
                  <c:v>-174.80448999999999</c:v>
                </c:pt>
                <c:pt idx="3021">
                  <c:v>-174.70657199999999</c:v>
                </c:pt>
                <c:pt idx="3022">
                  <c:v>-174.608654</c:v>
                </c:pt>
                <c:pt idx="3023">
                  <c:v>-174.51073600000001</c:v>
                </c:pt>
                <c:pt idx="3024">
                  <c:v>-174.41281800000002</c:v>
                </c:pt>
                <c:pt idx="3025">
                  <c:v>-174.31490099999999</c:v>
                </c:pt>
                <c:pt idx="3026">
                  <c:v>-174.216984</c:v>
                </c:pt>
                <c:pt idx="3027">
                  <c:v>-174.119068</c:v>
                </c:pt>
                <c:pt idx="3028">
                  <c:v>-174.021152</c:v>
                </c:pt>
                <c:pt idx="3029">
                  <c:v>-173.92333600000001</c:v>
                </c:pt>
                <c:pt idx="3030">
                  <c:v>-173.82542000000001</c:v>
                </c:pt>
                <c:pt idx="3031">
                  <c:v>-173.72750499999998</c:v>
                </c:pt>
                <c:pt idx="3032">
                  <c:v>-173.62959000000001</c:v>
                </c:pt>
                <c:pt idx="3033">
                  <c:v>-173.53167500000001</c:v>
                </c:pt>
                <c:pt idx="3034">
                  <c:v>-173.433761</c:v>
                </c:pt>
                <c:pt idx="3035">
                  <c:v>-173.335847</c:v>
                </c:pt>
                <c:pt idx="3036">
                  <c:v>-173.23783300000002</c:v>
                </c:pt>
                <c:pt idx="3037">
                  <c:v>-173.13991900000002</c:v>
                </c:pt>
                <c:pt idx="3038">
                  <c:v>-173.04200600000001</c:v>
                </c:pt>
                <c:pt idx="3039">
                  <c:v>-172.94409300000001</c:v>
                </c:pt>
                <c:pt idx="3040">
                  <c:v>-172.846181</c:v>
                </c:pt>
                <c:pt idx="3041">
                  <c:v>-172.748268</c:v>
                </c:pt>
                <c:pt idx="3042">
                  <c:v>-172.65035599999999</c:v>
                </c:pt>
                <c:pt idx="3043">
                  <c:v>-172.55254500000001</c:v>
                </c:pt>
                <c:pt idx="3044">
                  <c:v>-172.454633</c:v>
                </c:pt>
                <c:pt idx="3045">
                  <c:v>-172.35672199999999</c:v>
                </c:pt>
                <c:pt idx="3046">
                  <c:v>-172.25881200000001</c:v>
                </c:pt>
                <c:pt idx="3047">
                  <c:v>-172.16090100000002</c:v>
                </c:pt>
                <c:pt idx="3048">
                  <c:v>-172.06299099999998</c:v>
                </c:pt>
                <c:pt idx="3049">
                  <c:v>-171.965081</c:v>
                </c:pt>
                <c:pt idx="3050">
                  <c:v>-171.86717199999998</c:v>
                </c:pt>
                <c:pt idx="3051">
                  <c:v>-171.769262</c:v>
                </c:pt>
                <c:pt idx="3052">
                  <c:v>-171.67135400000001</c:v>
                </c:pt>
                <c:pt idx="3053">
                  <c:v>-171.57344499999999</c:v>
                </c:pt>
                <c:pt idx="3054">
                  <c:v>-171.47553699999997</c:v>
                </c:pt>
                <c:pt idx="3055">
                  <c:v>-171.37752900000001</c:v>
                </c:pt>
                <c:pt idx="3056">
                  <c:v>-171.27962100000002</c:v>
                </c:pt>
                <c:pt idx="3057">
                  <c:v>-171.181714</c:v>
                </c:pt>
                <c:pt idx="3058">
                  <c:v>-171.08380700000001</c:v>
                </c:pt>
                <c:pt idx="3059">
                  <c:v>-170.98599999999999</c:v>
                </c:pt>
                <c:pt idx="3060">
                  <c:v>-170.888093</c:v>
                </c:pt>
                <c:pt idx="3061">
                  <c:v>-170.790187</c:v>
                </c:pt>
                <c:pt idx="3062">
                  <c:v>-170.69228099999998</c:v>
                </c:pt>
                <c:pt idx="3063">
                  <c:v>-170.59437600000001</c:v>
                </c:pt>
                <c:pt idx="3064">
                  <c:v>-170.49647099999999</c:v>
                </c:pt>
                <c:pt idx="3065">
                  <c:v>-170.39856599999999</c:v>
                </c:pt>
                <c:pt idx="3066">
                  <c:v>-170.30066099999999</c:v>
                </c:pt>
                <c:pt idx="3067">
                  <c:v>-170.20265699999999</c:v>
                </c:pt>
                <c:pt idx="3068">
                  <c:v>-170.10475299999999</c:v>
                </c:pt>
                <c:pt idx="3069">
                  <c:v>-170.00684900000002</c:v>
                </c:pt>
                <c:pt idx="3070">
                  <c:v>-169.90894600000001</c:v>
                </c:pt>
                <c:pt idx="3071">
                  <c:v>-169.81104300000001</c:v>
                </c:pt>
                <c:pt idx="3072">
                  <c:v>-169.71313999999998</c:v>
                </c:pt>
                <c:pt idx="3073">
                  <c:v>-169.61523699999998</c:v>
                </c:pt>
                <c:pt idx="3074">
                  <c:v>-169.517335</c:v>
                </c:pt>
                <c:pt idx="3075">
                  <c:v>-169.419433</c:v>
                </c:pt>
                <c:pt idx="3076">
                  <c:v>-169.32143200000002</c:v>
                </c:pt>
                <c:pt idx="3077">
                  <c:v>-169.22363099999998</c:v>
                </c:pt>
                <c:pt idx="3078">
                  <c:v>-169.12573</c:v>
                </c:pt>
                <c:pt idx="3079">
                  <c:v>-169.02772900000002</c:v>
                </c:pt>
                <c:pt idx="3080">
                  <c:v>-168.92982900000001</c:v>
                </c:pt>
                <c:pt idx="3081">
                  <c:v>-168.831929</c:v>
                </c:pt>
                <c:pt idx="3082">
                  <c:v>-168.73402899999999</c:v>
                </c:pt>
                <c:pt idx="3083">
                  <c:v>-168.63612900000001</c:v>
                </c:pt>
                <c:pt idx="3084">
                  <c:v>-168.53813</c:v>
                </c:pt>
                <c:pt idx="3085">
                  <c:v>-168.44023199999998</c:v>
                </c:pt>
                <c:pt idx="3086">
                  <c:v>-168.342333</c:v>
                </c:pt>
                <c:pt idx="3087">
                  <c:v>-168.24443500000001</c:v>
                </c:pt>
                <c:pt idx="3088">
                  <c:v>-168.146537</c:v>
                </c:pt>
                <c:pt idx="3089">
                  <c:v>-168.04863900000001</c:v>
                </c:pt>
                <c:pt idx="3090">
                  <c:v>-167.95074199999999</c:v>
                </c:pt>
                <c:pt idx="3091">
                  <c:v>-167.852745</c:v>
                </c:pt>
                <c:pt idx="3092">
                  <c:v>-167.75484799999998</c:v>
                </c:pt>
                <c:pt idx="3093">
                  <c:v>-167.65695199999999</c:v>
                </c:pt>
                <c:pt idx="3094">
                  <c:v>-167.559056</c:v>
                </c:pt>
                <c:pt idx="3095">
                  <c:v>-167.46116000000001</c:v>
                </c:pt>
                <c:pt idx="3096">
                  <c:v>-167.36326500000001</c:v>
                </c:pt>
                <c:pt idx="3097">
                  <c:v>-167.26536999999999</c:v>
                </c:pt>
                <c:pt idx="3098">
                  <c:v>-167.167475</c:v>
                </c:pt>
                <c:pt idx="3099">
                  <c:v>-167.06957999999997</c:v>
                </c:pt>
                <c:pt idx="3100">
                  <c:v>-166.97168600000001</c:v>
                </c:pt>
                <c:pt idx="3101">
                  <c:v>-166.87379200000001</c:v>
                </c:pt>
                <c:pt idx="3102">
                  <c:v>-166.77589899999998</c:v>
                </c:pt>
                <c:pt idx="3103">
                  <c:v>-166.67800499999998</c:v>
                </c:pt>
                <c:pt idx="3104">
                  <c:v>-166.58001200000001</c:v>
                </c:pt>
                <c:pt idx="3105">
                  <c:v>-166.48212000000001</c:v>
                </c:pt>
                <c:pt idx="3106">
                  <c:v>-166.38422700000001</c:v>
                </c:pt>
                <c:pt idx="3107">
                  <c:v>-166.286235</c:v>
                </c:pt>
                <c:pt idx="3108">
                  <c:v>-166.18834400000003</c:v>
                </c:pt>
                <c:pt idx="3109">
                  <c:v>-166.090352</c:v>
                </c:pt>
                <c:pt idx="3110">
                  <c:v>-165.99246099999999</c:v>
                </c:pt>
                <c:pt idx="3111">
                  <c:v>-165.89456999999999</c:v>
                </c:pt>
                <c:pt idx="3112">
                  <c:v>-165.79667999999998</c:v>
                </c:pt>
                <c:pt idx="3113">
                  <c:v>-165.698789</c:v>
                </c:pt>
                <c:pt idx="3114">
                  <c:v>-165.60079899999999</c:v>
                </c:pt>
                <c:pt idx="3115">
                  <c:v>-165.50291000000001</c:v>
                </c:pt>
                <c:pt idx="3116">
                  <c:v>-165.40502000000001</c:v>
                </c:pt>
                <c:pt idx="3117">
                  <c:v>-165.30713100000003</c:v>
                </c:pt>
                <c:pt idx="3118">
                  <c:v>-165.20924300000001</c:v>
                </c:pt>
                <c:pt idx="3119">
                  <c:v>-165.111254</c:v>
                </c:pt>
                <c:pt idx="3120">
                  <c:v>-165.01336600000002</c:v>
                </c:pt>
                <c:pt idx="3121">
                  <c:v>-164.91547800000001</c:v>
                </c:pt>
                <c:pt idx="3122">
                  <c:v>-164.81759099999999</c:v>
                </c:pt>
                <c:pt idx="3123">
                  <c:v>-164.71970399999998</c:v>
                </c:pt>
                <c:pt idx="3124">
                  <c:v>-164.62171699999999</c:v>
                </c:pt>
                <c:pt idx="3125">
                  <c:v>-164.52383</c:v>
                </c:pt>
                <c:pt idx="3126">
                  <c:v>-164.42594400000002</c:v>
                </c:pt>
                <c:pt idx="3127">
                  <c:v>-164.328158</c:v>
                </c:pt>
                <c:pt idx="3128">
                  <c:v>-164.230073</c:v>
                </c:pt>
                <c:pt idx="3129">
                  <c:v>-164.13218699999999</c:v>
                </c:pt>
                <c:pt idx="3130">
                  <c:v>-164.034302</c:v>
                </c:pt>
                <c:pt idx="3131">
                  <c:v>-163.93641700000001</c:v>
                </c:pt>
                <c:pt idx="3132">
                  <c:v>-163.83853300000001</c:v>
                </c:pt>
                <c:pt idx="3133">
                  <c:v>-163.74054899999999</c:v>
                </c:pt>
                <c:pt idx="3134">
                  <c:v>-163.64266499999999</c:v>
                </c:pt>
                <c:pt idx="3135">
                  <c:v>-163.544782</c:v>
                </c:pt>
                <c:pt idx="3136">
                  <c:v>-163.446898</c:v>
                </c:pt>
                <c:pt idx="3137">
                  <c:v>-163.348916</c:v>
                </c:pt>
                <c:pt idx="3138">
                  <c:v>-163.25103300000001</c:v>
                </c:pt>
                <c:pt idx="3139">
                  <c:v>-163.15315100000001</c:v>
                </c:pt>
                <c:pt idx="3140">
                  <c:v>-163.05526900000001</c:v>
                </c:pt>
                <c:pt idx="3141">
                  <c:v>-162.95728700000001</c:v>
                </c:pt>
                <c:pt idx="3142">
                  <c:v>-162.85940599999998</c:v>
                </c:pt>
                <c:pt idx="3143">
                  <c:v>-162.76152500000001</c:v>
                </c:pt>
                <c:pt idx="3144">
                  <c:v>-162.66364399999998</c:v>
                </c:pt>
                <c:pt idx="3145">
                  <c:v>-162.565663</c:v>
                </c:pt>
                <c:pt idx="3146">
                  <c:v>-162.46768300000002</c:v>
                </c:pt>
                <c:pt idx="3147">
                  <c:v>-162.36980299999999</c:v>
                </c:pt>
                <c:pt idx="3148">
                  <c:v>-162.27192399999998</c:v>
                </c:pt>
                <c:pt idx="3149">
                  <c:v>-162.173945</c:v>
                </c:pt>
                <c:pt idx="3150">
                  <c:v>-162.07606600000003</c:v>
                </c:pt>
                <c:pt idx="3151">
                  <c:v>-161.97818699999999</c:v>
                </c:pt>
                <c:pt idx="3152">
                  <c:v>-161.88020900000001</c:v>
                </c:pt>
                <c:pt idx="3153">
                  <c:v>-161.782331</c:v>
                </c:pt>
                <c:pt idx="3154">
                  <c:v>-161.68445300000002</c:v>
                </c:pt>
                <c:pt idx="3155">
                  <c:v>-161.58657600000001</c:v>
                </c:pt>
                <c:pt idx="3156">
                  <c:v>-161.48859900000002</c:v>
                </c:pt>
                <c:pt idx="3157">
                  <c:v>-161.39072200000001</c:v>
                </c:pt>
                <c:pt idx="3158">
                  <c:v>-161.292846</c:v>
                </c:pt>
                <c:pt idx="3159">
                  <c:v>-161.19486899999998</c:v>
                </c:pt>
                <c:pt idx="3160">
                  <c:v>-161.096994</c:v>
                </c:pt>
                <c:pt idx="3161">
                  <c:v>-160.99901800000001</c:v>
                </c:pt>
                <c:pt idx="3162">
                  <c:v>-160.90114299999999</c:v>
                </c:pt>
                <c:pt idx="3163">
                  <c:v>-160.803168</c:v>
                </c:pt>
                <c:pt idx="3164">
                  <c:v>-160.70529299999998</c:v>
                </c:pt>
                <c:pt idx="3165">
                  <c:v>-160.60741899999999</c:v>
                </c:pt>
                <c:pt idx="3166">
                  <c:v>-160.509445</c:v>
                </c:pt>
                <c:pt idx="3167">
                  <c:v>-160.41157100000001</c:v>
                </c:pt>
                <c:pt idx="3168">
                  <c:v>-160.31369799999999</c:v>
                </c:pt>
                <c:pt idx="3169">
                  <c:v>-160.21572499999999</c:v>
                </c:pt>
                <c:pt idx="3170">
                  <c:v>-160.117852</c:v>
                </c:pt>
                <c:pt idx="3171">
                  <c:v>-160.01997899999998</c:v>
                </c:pt>
                <c:pt idx="3172">
                  <c:v>-159.92200699999998</c:v>
                </c:pt>
                <c:pt idx="3173">
                  <c:v>-159.82413500000001</c:v>
                </c:pt>
                <c:pt idx="3174">
                  <c:v>-159.72626399999999</c:v>
                </c:pt>
                <c:pt idx="3175">
                  <c:v>-159.62819300000001</c:v>
                </c:pt>
                <c:pt idx="3176">
                  <c:v>-159.53032200000001</c:v>
                </c:pt>
                <c:pt idx="3177">
                  <c:v>-159.43245100000001</c:v>
                </c:pt>
                <c:pt idx="3178">
                  <c:v>-159.33448099999998</c:v>
                </c:pt>
                <c:pt idx="3179">
                  <c:v>-159.23661099999998</c:v>
                </c:pt>
                <c:pt idx="3180">
                  <c:v>-159.13874100000001</c:v>
                </c:pt>
                <c:pt idx="3181">
                  <c:v>-159.04077100000001</c:v>
                </c:pt>
                <c:pt idx="3182">
                  <c:v>-158.942902</c:v>
                </c:pt>
                <c:pt idx="3183">
                  <c:v>-158.84503400000003</c:v>
                </c:pt>
                <c:pt idx="3184">
                  <c:v>-158.74706500000002</c:v>
                </c:pt>
                <c:pt idx="3185">
                  <c:v>-158.64919699999999</c:v>
                </c:pt>
                <c:pt idx="3186">
                  <c:v>-158.55132899999998</c:v>
                </c:pt>
                <c:pt idx="3187">
                  <c:v>-158.453261</c:v>
                </c:pt>
                <c:pt idx="3188">
                  <c:v>-158.35539399999999</c:v>
                </c:pt>
                <c:pt idx="3189">
                  <c:v>-158.25752700000001</c:v>
                </c:pt>
                <c:pt idx="3190">
                  <c:v>-158.15956</c:v>
                </c:pt>
                <c:pt idx="3191">
                  <c:v>-158.06169399999999</c:v>
                </c:pt>
                <c:pt idx="3192">
                  <c:v>-157.96382800000001</c:v>
                </c:pt>
                <c:pt idx="3193">
                  <c:v>-157.86586200000002</c:v>
                </c:pt>
                <c:pt idx="3194">
                  <c:v>-157.76799700000001</c:v>
                </c:pt>
                <c:pt idx="3195">
                  <c:v>-157.67013200000002</c:v>
                </c:pt>
                <c:pt idx="3196">
                  <c:v>-157.57216700000001</c:v>
                </c:pt>
                <c:pt idx="3197">
                  <c:v>-157.47430199999999</c:v>
                </c:pt>
                <c:pt idx="3198">
                  <c:v>-157.37633799999998</c:v>
                </c:pt>
                <c:pt idx="3199">
                  <c:v>-157.27837400000001</c:v>
                </c:pt>
                <c:pt idx="3200">
                  <c:v>-157.180511</c:v>
                </c:pt>
                <c:pt idx="3201">
                  <c:v>-157.08254699999998</c:v>
                </c:pt>
                <c:pt idx="3202">
                  <c:v>-156.98468399999999</c:v>
                </c:pt>
                <c:pt idx="3203">
                  <c:v>-156.88672200000002</c:v>
                </c:pt>
                <c:pt idx="3204">
                  <c:v>-156.788859</c:v>
                </c:pt>
                <c:pt idx="3205">
                  <c:v>-156.69099700000001</c:v>
                </c:pt>
                <c:pt idx="3206">
                  <c:v>-156.59303499999999</c:v>
                </c:pt>
                <c:pt idx="3207">
                  <c:v>-156.49517399999999</c:v>
                </c:pt>
                <c:pt idx="3208">
                  <c:v>-156.397313</c:v>
                </c:pt>
                <c:pt idx="3209">
                  <c:v>-156.299352</c:v>
                </c:pt>
                <c:pt idx="3210">
                  <c:v>-156.201391</c:v>
                </c:pt>
                <c:pt idx="3211">
                  <c:v>-156.103431</c:v>
                </c:pt>
                <c:pt idx="3212">
                  <c:v>-156.005571</c:v>
                </c:pt>
                <c:pt idx="3213">
                  <c:v>-155.907712</c:v>
                </c:pt>
                <c:pt idx="3214">
                  <c:v>-155.809752</c:v>
                </c:pt>
                <c:pt idx="3215">
                  <c:v>-155.711893</c:v>
                </c:pt>
                <c:pt idx="3216">
                  <c:v>-155.61393500000003</c:v>
                </c:pt>
                <c:pt idx="3217">
                  <c:v>-155.516076</c:v>
                </c:pt>
                <c:pt idx="3218">
                  <c:v>-155.41811799999999</c:v>
                </c:pt>
                <c:pt idx="3219">
                  <c:v>-155.32026000000002</c:v>
                </c:pt>
                <c:pt idx="3220">
                  <c:v>-155.22230300000001</c:v>
                </c:pt>
                <c:pt idx="3221">
                  <c:v>-155.124346</c:v>
                </c:pt>
                <c:pt idx="3222">
                  <c:v>-155.026489</c:v>
                </c:pt>
                <c:pt idx="3223">
                  <c:v>-154.92853200000002</c:v>
                </c:pt>
                <c:pt idx="3224">
                  <c:v>-154.83067600000001</c:v>
                </c:pt>
                <c:pt idx="3225">
                  <c:v>-154.73272000000003</c:v>
                </c:pt>
                <c:pt idx="3226">
                  <c:v>-154.63486399999999</c:v>
                </c:pt>
                <c:pt idx="3227">
                  <c:v>-154.53700900000001</c:v>
                </c:pt>
                <c:pt idx="3228">
                  <c:v>-154.439054</c:v>
                </c:pt>
                <c:pt idx="3229">
                  <c:v>-154.34119899999999</c:v>
                </c:pt>
                <c:pt idx="3230">
                  <c:v>-154.243145</c:v>
                </c:pt>
                <c:pt idx="3231">
                  <c:v>-154.14529099999999</c:v>
                </c:pt>
                <c:pt idx="3232">
                  <c:v>-154.047337</c:v>
                </c:pt>
                <c:pt idx="3233">
                  <c:v>-153.94948299999999</c:v>
                </c:pt>
                <c:pt idx="3234">
                  <c:v>-153.85153</c:v>
                </c:pt>
                <c:pt idx="3235">
                  <c:v>-153.75367700000001</c:v>
                </c:pt>
                <c:pt idx="3236">
                  <c:v>-153.65582499999999</c:v>
                </c:pt>
                <c:pt idx="3237">
                  <c:v>-153.557873</c:v>
                </c:pt>
                <c:pt idx="3238">
                  <c:v>-153.46002099999998</c:v>
                </c:pt>
                <c:pt idx="3239">
                  <c:v>-153.36196899999999</c:v>
                </c:pt>
                <c:pt idx="3240">
                  <c:v>-153.264118</c:v>
                </c:pt>
                <c:pt idx="3241">
                  <c:v>-153.166166</c:v>
                </c:pt>
                <c:pt idx="3242">
                  <c:v>-153.06831599999998</c:v>
                </c:pt>
                <c:pt idx="3243">
                  <c:v>-152.97036499999999</c:v>
                </c:pt>
                <c:pt idx="3244">
                  <c:v>-152.87251499999999</c:v>
                </c:pt>
                <c:pt idx="3245">
                  <c:v>-152.774565</c:v>
                </c:pt>
                <c:pt idx="3246">
                  <c:v>-152.676716</c:v>
                </c:pt>
                <c:pt idx="3247">
                  <c:v>-152.578767</c:v>
                </c:pt>
                <c:pt idx="3248">
                  <c:v>-152.480718</c:v>
                </c:pt>
                <c:pt idx="3249">
                  <c:v>-152.382769</c:v>
                </c:pt>
                <c:pt idx="3250">
                  <c:v>-152.284921</c:v>
                </c:pt>
                <c:pt idx="3251">
                  <c:v>-152.187073</c:v>
                </c:pt>
                <c:pt idx="3252">
                  <c:v>-152.089125</c:v>
                </c:pt>
                <c:pt idx="3253">
                  <c:v>-151.99127800000002</c:v>
                </c:pt>
                <c:pt idx="3254">
                  <c:v>-151.89333100000002</c:v>
                </c:pt>
                <c:pt idx="3255">
                  <c:v>-151.79548400000002</c:v>
                </c:pt>
                <c:pt idx="3256">
                  <c:v>-151.69753700000001</c:v>
                </c:pt>
                <c:pt idx="3257">
                  <c:v>-151.599591</c:v>
                </c:pt>
                <c:pt idx="3258">
                  <c:v>-151.501645</c:v>
                </c:pt>
                <c:pt idx="3259">
                  <c:v>-151.40379999999999</c:v>
                </c:pt>
                <c:pt idx="3260">
                  <c:v>-151.30585500000001</c:v>
                </c:pt>
                <c:pt idx="3261">
                  <c:v>-151.20801</c:v>
                </c:pt>
                <c:pt idx="3262">
                  <c:v>-151.11006499999999</c:v>
                </c:pt>
                <c:pt idx="3263">
                  <c:v>-151.01222100000001</c:v>
                </c:pt>
                <c:pt idx="3264">
                  <c:v>-150.914277</c:v>
                </c:pt>
                <c:pt idx="3265">
                  <c:v>-150.81623300000001</c:v>
                </c:pt>
                <c:pt idx="3266">
                  <c:v>-150.71839</c:v>
                </c:pt>
                <c:pt idx="3267">
                  <c:v>-150.62044700000001</c:v>
                </c:pt>
                <c:pt idx="3268">
                  <c:v>-150.522604</c:v>
                </c:pt>
                <c:pt idx="3269">
                  <c:v>-150.42466100000001</c:v>
                </c:pt>
                <c:pt idx="3270">
                  <c:v>-150.326819</c:v>
                </c:pt>
                <c:pt idx="3271">
                  <c:v>-150.22887700000001</c:v>
                </c:pt>
                <c:pt idx="3272">
                  <c:v>-150.13103599999999</c:v>
                </c:pt>
                <c:pt idx="3273">
                  <c:v>-150.032994</c:v>
                </c:pt>
                <c:pt idx="3274">
                  <c:v>-149.93515399999998</c:v>
                </c:pt>
                <c:pt idx="3275">
                  <c:v>-149.83721299999999</c:v>
                </c:pt>
                <c:pt idx="3276">
                  <c:v>-149.739373</c:v>
                </c:pt>
                <c:pt idx="3277">
                  <c:v>-149.641333</c:v>
                </c:pt>
                <c:pt idx="3278">
                  <c:v>-149.54349300000001</c:v>
                </c:pt>
                <c:pt idx="3279">
                  <c:v>-149.44555299999999</c:v>
                </c:pt>
                <c:pt idx="3280">
                  <c:v>-149.34761400000002</c:v>
                </c:pt>
                <c:pt idx="3281">
                  <c:v>-149.249675</c:v>
                </c:pt>
                <c:pt idx="3282">
                  <c:v>-149.151737</c:v>
                </c:pt>
                <c:pt idx="3283">
                  <c:v>-149.053899</c:v>
                </c:pt>
                <c:pt idx="3284">
                  <c:v>-148.955961</c:v>
                </c:pt>
                <c:pt idx="3285">
                  <c:v>-148.85812300000003</c:v>
                </c:pt>
                <c:pt idx="3286">
                  <c:v>-148.760186</c:v>
                </c:pt>
                <c:pt idx="3287">
                  <c:v>-148.66234900000001</c:v>
                </c:pt>
                <c:pt idx="3288">
                  <c:v>-148.564412</c:v>
                </c:pt>
                <c:pt idx="3289">
                  <c:v>-148.466376</c:v>
                </c:pt>
                <c:pt idx="3290">
                  <c:v>-148.36854</c:v>
                </c:pt>
                <c:pt idx="3291">
                  <c:v>-148.27060399999999</c:v>
                </c:pt>
                <c:pt idx="3292">
                  <c:v>-148.17276899999999</c:v>
                </c:pt>
                <c:pt idx="3293">
                  <c:v>-148.07483400000001</c:v>
                </c:pt>
                <c:pt idx="3294">
                  <c:v>-147.97699900000001</c:v>
                </c:pt>
                <c:pt idx="3295">
                  <c:v>-147.879064</c:v>
                </c:pt>
                <c:pt idx="3296">
                  <c:v>-147.78102999999999</c:v>
                </c:pt>
                <c:pt idx="3297">
                  <c:v>-147.68319600000001</c:v>
                </c:pt>
                <c:pt idx="3298">
                  <c:v>-147.58516300000002</c:v>
                </c:pt>
                <c:pt idx="3299">
                  <c:v>-147.48732899999999</c:v>
                </c:pt>
                <c:pt idx="3300">
                  <c:v>-147.389396</c:v>
                </c:pt>
                <c:pt idx="3301">
                  <c:v>-147.29146399999999</c:v>
                </c:pt>
                <c:pt idx="3302">
                  <c:v>-147.19363100000001</c:v>
                </c:pt>
                <c:pt idx="3303">
                  <c:v>-147.09559899999999</c:v>
                </c:pt>
                <c:pt idx="3304">
                  <c:v>-146.99776700000001</c:v>
                </c:pt>
                <c:pt idx="3305">
                  <c:v>-146.89983599999999</c:v>
                </c:pt>
                <c:pt idx="3306">
                  <c:v>-146.801905</c:v>
                </c:pt>
                <c:pt idx="3307">
                  <c:v>-146.70407399999999</c:v>
                </c:pt>
                <c:pt idx="3308">
                  <c:v>-146.606143</c:v>
                </c:pt>
                <c:pt idx="3309">
                  <c:v>-146.50831299999999</c:v>
                </c:pt>
                <c:pt idx="3310">
                  <c:v>-146.41028299999999</c:v>
                </c:pt>
                <c:pt idx="3311">
                  <c:v>-146.312354</c:v>
                </c:pt>
                <c:pt idx="3312">
                  <c:v>-146.21452399999998</c:v>
                </c:pt>
                <c:pt idx="3313">
                  <c:v>-146.11659499999999</c:v>
                </c:pt>
                <c:pt idx="3314">
                  <c:v>-146.018767</c:v>
                </c:pt>
                <c:pt idx="3315">
                  <c:v>-145.920838</c:v>
                </c:pt>
                <c:pt idx="3316">
                  <c:v>-145.82281</c:v>
                </c:pt>
                <c:pt idx="3317">
                  <c:v>-145.72488199999998</c:v>
                </c:pt>
                <c:pt idx="3318">
                  <c:v>-145.62695500000001</c:v>
                </c:pt>
                <c:pt idx="3319">
                  <c:v>-145.52902799999998</c:v>
                </c:pt>
                <c:pt idx="3320">
                  <c:v>-145.43120100000002</c:v>
                </c:pt>
                <c:pt idx="3321">
                  <c:v>-145.33327400000002</c:v>
                </c:pt>
                <c:pt idx="3322">
                  <c:v>-145.23544799999999</c:v>
                </c:pt>
                <c:pt idx="3323">
                  <c:v>-145.13752199999999</c:v>
                </c:pt>
                <c:pt idx="3324">
                  <c:v>-145.03949599999999</c:v>
                </c:pt>
                <c:pt idx="3325">
                  <c:v>-144.94167100000001</c:v>
                </c:pt>
                <c:pt idx="3326">
                  <c:v>-144.84374600000001</c:v>
                </c:pt>
                <c:pt idx="3327">
                  <c:v>-144.74582100000001</c:v>
                </c:pt>
                <c:pt idx="3328">
                  <c:v>-144.647997</c:v>
                </c:pt>
                <c:pt idx="3329">
                  <c:v>-144.550073</c:v>
                </c:pt>
                <c:pt idx="3330">
                  <c:v>-144.45204899999999</c:v>
                </c:pt>
                <c:pt idx="3331">
                  <c:v>-144.35422599999998</c:v>
                </c:pt>
                <c:pt idx="3332">
                  <c:v>-144.256202</c:v>
                </c:pt>
                <c:pt idx="3333">
                  <c:v>-144.15828000000002</c:v>
                </c:pt>
                <c:pt idx="3334">
                  <c:v>-144.06045700000001</c:v>
                </c:pt>
                <c:pt idx="3335">
                  <c:v>-143.962535</c:v>
                </c:pt>
                <c:pt idx="3336">
                  <c:v>-143.86461300000002</c:v>
                </c:pt>
                <c:pt idx="3337">
                  <c:v>-143.76669099999998</c:v>
                </c:pt>
                <c:pt idx="3338">
                  <c:v>-143.66876999999999</c:v>
                </c:pt>
                <c:pt idx="3339">
                  <c:v>-143.57084900000001</c:v>
                </c:pt>
                <c:pt idx="3340">
                  <c:v>-143.473028</c:v>
                </c:pt>
                <c:pt idx="3341">
                  <c:v>-143.37510699999999</c:v>
                </c:pt>
                <c:pt idx="3342">
                  <c:v>-143.277187</c:v>
                </c:pt>
                <c:pt idx="3343">
                  <c:v>-143.17926800000001</c:v>
                </c:pt>
                <c:pt idx="3344">
                  <c:v>-143.08134799999999</c:v>
                </c:pt>
                <c:pt idx="3345">
                  <c:v>-142.983429</c:v>
                </c:pt>
                <c:pt idx="3346">
                  <c:v>-142.88551000000001</c:v>
                </c:pt>
                <c:pt idx="3347">
                  <c:v>-142.78759099999999</c:v>
                </c:pt>
                <c:pt idx="3348">
                  <c:v>-142.68967300000003</c:v>
                </c:pt>
                <c:pt idx="3349">
                  <c:v>-142.59175500000001</c:v>
                </c:pt>
                <c:pt idx="3350">
                  <c:v>-142.49383700000001</c:v>
                </c:pt>
                <c:pt idx="3351">
                  <c:v>-142.39591999999999</c:v>
                </c:pt>
                <c:pt idx="3352">
                  <c:v>-142.29800299999999</c:v>
                </c:pt>
                <c:pt idx="3353">
                  <c:v>-142.200186</c:v>
                </c:pt>
                <c:pt idx="3354">
                  <c:v>-142.10227</c:v>
                </c:pt>
                <c:pt idx="3355">
                  <c:v>-142.004254</c:v>
                </c:pt>
                <c:pt idx="3356">
                  <c:v>-141.90643800000001</c:v>
                </c:pt>
                <c:pt idx="3357">
                  <c:v>-141.80852200000001</c:v>
                </c:pt>
                <c:pt idx="3358">
                  <c:v>-141.71060699999998</c:v>
                </c:pt>
                <c:pt idx="3359">
                  <c:v>-141.61269199999998</c:v>
                </c:pt>
                <c:pt idx="3360">
                  <c:v>-141.51477699999998</c:v>
                </c:pt>
                <c:pt idx="3361">
                  <c:v>-141.416763</c:v>
                </c:pt>
                <c:pt idx="3362">
                  <c:v>-141.318849</c:v>
                </c:pt>
                <c:pt idx="3363">
                  <c:v>-141.221035</c:v>
                </c:pt>
                <c:pt idx="3364">
                  <c:v>-141.123122</c:v>
                </c:pt>
                <c:pt idx="3365">
                  <c:v>-141.02520900000002</c:v>
                </c:pt>
                <c:pt idx="3366">
                  <c:v>-140.92729600000001</c:v>
                </c:pt>
                <c:pt idx="3367">
                  <c:v>-140.829384</c:v>
                </c:pt>
                <c:pt idx="3368">
                  <c:v>-140.731472</c:v>
                </c:pt>
                <c:pt idx="3369">
                  <c:v>-140.63356000000002</c:v>
                </c:pt>
                <c:pt idx="3370">
                  <c:v>-140.53574800000001</c:v>
                </c:pt>
                <c:pt idx="3371">
                  <c:v>-140.437737</c:v>
                </c:pt>
                <c:pt idx="3372">
                  <c:v>-140.33972600000001</c:v>
                </c:pt>
                <c:pt idx="3373">
                  <c:v>-140.241815</c:v>
                </c:pt>
                <c:pt idx="3374">
                  <c:v>-140.14400500000002</c:v>
                </c:pt>
                <c:pt idx="3375">
                  <c:v>-140.04609500000001</c:v>
                </c:pt>
                <c:pt idx="3376">
                  <c:v>-139.948185</c:v>
                </c:pt>
                <c:pt idx="3377">
                  <c:v>-139.85027599999998</c:v>
                </c:pt>
                <c:pt idx="3378">
                  <c:v>-139.75236699999999</c:v>
                </c:pt>
                <c:pt idx="3379">
                  <c:v>-139.65445800000001</c:v>
                </c:pt>
                <c:pt idx="3380">
                  <c:v>-139.55654899999999</c:v>
                </c:pt>
                <c:pt idx="3381">
                  <c:v>-139.458641</c:v>
                </c:pt>
                <c:pt idx="3382">
                  <c:v>-139.36073300000001</c:v>
                </c:pt>
                <c:pt idx="3383">
                  <c:v>-139.26272599999999</c:v>
                </c:pt>
                <c:pt idx="3384">
                  <c:v>-139.16481899999999</c:v>
                </c:pt>
                <c:pt idx="3385">
                  <c:v>-139.066912</c:v>
                </c:pt>
                <c:pt idx="3386">
                  <c:v>-138.96900499999998</c:v>
                </c:pt>
                <c:pt idx="3387">
                  <c:v>-138.87119900000002</c:v>
                </c:pt>
                <c:pt idx="3388">
                  <c:v>-138.773293</c:v>
                </c:pt>
                <c:pt idx="3389">
                  <c:v>-138.675287</c:v>
                </c:pt>
                <c:pt idx="3390">
                  <c:v>-138.577381</c:v>
                </c:pt>
                <c:pt idx="3391">
                  <c:v>-138.47957600000001</c:v>
                </c:pt>
                <c:pt idx="3392">
                  <c:v>-138.38167099999998</c:v>
                </c:pt>
                <c:pt idx="3393">
                  <c:v>-138.28366700000001</c:v>
                </c:pt>
                <c:pt idx="3394">
                  <c:v>-138.18566300000001</c:v>
                </c:pt>
                <c:pt idx="3395">
                  <c:v>-138.08775900000001</c:v>
                </c:pt>
                <c:pt idx="3396">
                  <c:v>-137.98995500000001</c:v>
                </c:pt>
                <c:pt idx="3397">
                  <c:v>-137.89205199999998</c:v>
                </c:pt>
                <c:pt idx="3398">
                  <c:v>-137.794149</c:v>
                </c:pt>
                <c:pt idx="3399">
                  <c:v>-137.696246</c:v>
                </c:pt>
                <c:pt idx="3400">
                  <c:v>-137.59824399999999</c:v>
                </c:pt>
                <c:pt idx="3401">
                  <c:v>-137.50044199999999</c:v>
                </c:pt>
                <c:pt idx="3402">
                  <c:v>-137.40254000000002</c:v>
                </c:pt>
                <c:pt idx="3403">
                  <c:v>-137.30453900000001</c:v>
                </c:pt>
                <c:pt idx="3404">
                  <c:v>-137.206638</c:v>
                </c:pt>
                <c:pt idx="3405">
                  <c:v>-137.10863699999999</c:v>
                </c:pt>
                <c:pt idx="3406">
                  <c:v>-137.01083599999998</c:v>
                </c:pt>
                <c:pt idx="3407">
                  <c:v>-136.912936</c:v>
                </c:pt>
                <c:pt idx="3408">
                  <c:v>-136.81503609999999</c:v>
                </c:pt>
                <c:pt idx="3409">
                  <c:v>-136.71713650000001</c:v>
                </c:pt>
                <c:pt idx="3410">
                  <c:v>-136.61913720000001</c:v>
                </c:pt>
                <c:pt idx="3411">
                  <c:v>-136.5212382</c:v>
                </c:pt>
                <c:pt idx="3412">
                  <c:v>-136.4234395</c:v>
                </c:pt>
                <c:pt idx="3413">
                  <c:v>-136.32544110000001</c:v>
                </c:pt>
                <c:pt idx="3414">
                  <c:v>-136.227543</c:v>
                </c:pt>
                <c:pt idx="3415">
                  <c:v>-136.12954529999999</c:v>
                </c:pt>
                <c:pt idx="3416">
                  <c:v>-136.0316478</c:v>
                </c:pt>
                <c:pt idx="3417">
                  <c:v>-135.93375070000002</c:v>
                </c:pt>
                <c:pt idx="3418">
                  <c:v>-135.8359538</c:v>
                </c:pt>
                <c:pt idx="3419">
                  <c:v>-135.73805730000001</c:v>
                </c:pt>
                <c:pt idx="3420">
                  <c:v>-135.640061</c:v>
                </c:pt>
                <c:pt idx="3421">
                  <c:v>-135.54216510000001</c:v>
                </c:pt>
                <c:pt idx="3422">
                  <c:v>-135.44426949999999</c:v>
                </c:pt>
                <c:pt idx="3423">
                  <c:v>-135.34627409999999</c:v>
                </c:pt>
                <c:pt idx="3424">
                  <c:v>-135.24837909999999</c:v>
                </c:pt>
                <c:pt idx="3425">
                  <c:v>-135.15048440000001</c:v>
                </c:pt>
                <c:pt idx="3426">
                  <c:v>-135.05258999999998</c:v>
                </c:pt>
                <c:pt idx="3427">
                  <c:v>-134.95469589999999</c:v>
                </c:pt>
                <c:pt idx="3428">
                  <c:v>-134.85680210000001</c:v>
                </c:pt>
                <c:pt idx="3429">
                  <c:v>-134.75890870000001</c:v>
                </c:pt>
                <c:pt idx="3430">
                  <c:v>-134.66091549999999</c:v>
                </c:pt>
                <c:pt idx="3431">
                  <c:v>-134.56292260000001</c:v>
                </c:pt>
                <c:pt idx="3432">
                  <c:v>-134.46513010000001</c:v>
                </c:pt>
                <c:pt idx="3433">
                  <c:v>-134.3672378</c:v>
                </c:pt>
                <c:pt idx="3434">
                  <c:v>-134.26934590000002</c:v>
                </c:pt>
                <c:pt idx="3435">
                  <c:v>-134.1713542</c:v>
                </c:pt>
                <c:pt idx="3436">
                  <c:v>-134.07346290000001</c:v>
                </c:pt>
                <c:pt idx="3437">
                  <c:v>-133.97557180000001</c:v>
                </c:pt>
                <c:pt idx="3438">
                  <c:v>-133.87768109999999</c:v>
                </c:pt>
                <c:pt idx="3439">
                  <c:v>-133.7796907</c:v>
                </c:pt>
                <c:pt idx="3440">
                  <c:v>-133.6818006</c:v>
                </c:pt>
                <c:pt idx="3441">
                  <c:v>-133.58391080000001</c:v>
                </c:pt>
                <c:pt idx="3442">
                  <c:v>-133.4860213</c:v>
                </c:pt>
                <c:pt idx="3443">
                  <c:v>-133.38813210000001</c:v>
                </c:pt>
                <c:pt idx="3444">
                  <c:v>-133.29014319999999</c:v>
                </c:pt>
                <c:pt idx="3445">
                  <c:v>-133.19225460000001</c:v>
                </c:pt>
                <c:pt idx="3446">
                  <c:v>-133.09436629999999</c:v>
                </c:pt>
                <c:pt idx="3447">
                  <c:v>-132.9964784</c:v>
                </c:pt>
                <c:pt idx="3448">
                  <c:v>-132.8984907</c:v>
                </c:pt>
                <c:pt idx="3449">
                  <c:v>-132.8005034</c:v>
                </c:pt>
                <c:pt idx="3450">
                  <c:v>-132.70271629999999</c:v>
                </c:pt>
                <c:pt idx="3451">
                  <c:v>-132.60482959999999</c:v>
                </c:pt>
                <c:pt idx="3452">
                  <c:v>-132.5069431</c:v>
                </c:pt>
                <c:pt idx="3453">
                  <c:v>-132.40895699999999</c:v>
                </c:pt>
                <c:pt idx="3454">
                  <c:v>-132.31107119999999</c:v>
                </c:pt>
                <c:pt idx="3455">
                  <c:v>-132.2131857</c:v>
                </c:pt>
                <c:pt idx="3456">
                  <c:v>-132.11530049999999</c:v>
                </c:pt>
                <c:pt idx="3457">
                  <c:v>-132.0173155</c:v>
                </c:pt>
                <c:pt idx="3458">
                  <c:v>-131.919331</c:v>
                </c:pt>
                <c:pt idx="3459">
                  <c:v>-131.8214467</c:v>
                </c:pt>
                <c:pt idx="3460">
                  <c:v>-131.7235627</c:v>
                </c:pt>
                <c:pt idx="3461">
                  <c:v>-131.62567899999999</c:v>
                </c:pt>
                <c:pt idx="3462">
                  <c:v>-131.52779560000002</c:v>
                </c:pt>
                <c:pt idx="3463">
                  <c:v>-131.42991259999999</c:v>
                </c:pt>
                <c:pt idx="3464">
                  <c:v>-131.33192980000001</c:v>
                </c:pt>
                <c:pt idx="3465">
                  <c:v>-131.23404729999999</c:v>
                </c:pt>
                <c:pt idx="3466">
                  <c:v>-131.13616519999999</c:v>
                </c:pt>
                <c:pt idx="3467">
                  <c:v>-131.03818339999998</c:v>
                </c:pt>
                <c:pt idx="3468">
                  <c:v>-130.94030180000001</c:v>
                </c:pt>
                <c:pt idx="3469">
                  <c:v>-130.8424206</c:v>
                </c:pt>
                <c:pt idx="3470">
                  <c:v>-130.74453969999999</c:v>
                </c:pt>
                <c:pt idx="3471">
                  <c:v>-130.64655909999999</c:v>
                </c:pt>
                <c:pt idx="3472">
                  <c:v>-130.54857870000001</c:v>
                </c:pt>
                <c:pt idx="3473">
                  <c:v>-130.45069869999998</c:v>
                </c:pt>
                <c:pt idx="3474">
                  <c:v>-130.35281899999998</c:v>
                </c:pt>
                <c:pt idx="3475">
                  <c:v>-130.25493969999999</c:v>
                </c:pt>
                <c:pt idx="3476">
                  <c:v>-130.15696059999999</c:v>
                </c:pt>
                <c:pt idx="3477">
                  <c:v>-130.0590818</c:v>
                </c:pt>
                <c:pt idx="3478">
                  <c:v>-129.96120329999999</c:v>
                </c:pt>
                <c:pt idx="3479">
                  <c:v>-129.86332520000002</c:v>
                </c:pt>
                <c:pt idx="3480">
                  <c:v>-129.7652473</c:v>
                </c:pt>
                <c:pt idx="3481">
                  <c:v>-129.66736969999999</c:v>
                </c:pt>
                <c:pt idx="3482">
                  <c:v>-129.5694925</c:v>
                </c:pt>
                <c:pt idx="3483">
                  <c:v>-129.47161560000001</c:v>
                </c:pt>
                <c:pt idx="3484">
                  <c:v>-129.3736389</c:v>
                </c:pt>
                <c:pt idx="3485">
                  <c:v>-129.27576260000001</c:v>
                </c:pt>
                <c:pt idx="3486">
                  <c:v>-129.1779866</c:v>
                </c:pt>
                <c:pt idx="3487">
                  <c:v>-129.08001090000002</c:v>
                </c:pt>
                <c:pt idx="3488">
                  <c:v>-128.9821355</c:v>
                </c:pt>
                <c:pt idx="3489">
                  <c:v>-128.88416039999998</c:v>
                </c:pt>
                <c:pt idx="3490">
                  <c:v>-128.78628560000001</c:v>
                </c:pt>
                <c:pt idx="3491">
                  <c:v>-128.6884111</c:v>
                </c:pt>
                <c:pt idx="3492">
                  <c:v>-128.59053689999999</c:v>
                </c:pt>
                <c:pt idx="3493">
                  <c:v>-128.49256299999999</c:v>
                </c:pt>
                <c:pt idx="3494">
                  <c:v>-128.3945894</c:v>
                </c:pt>
                <c:pt idx="3495">
                  <c:v>-128.29671619999999</c:v>
                </c:pt>
                <c:pt idx="3496">
                  <c:v>-128.1988432</c:v>
                </c:pt>
                <c:pt idx="3497">
                  <c:v>-128.10087060000001</c:v>
                </c:pt>
                <c:pt idx="3498">
                  <c:v>-128.00299820000001</c:v>
                </c:pt>
                <c:pt idx="3499">
                  <c:v>-127.9051262</c:v>
                </c:pt>
                <c:pt idx="3500">
                  <c:v>-127.8072545</c:v>
                </c:pt>
                <c:pt idx="3501">
                  <c:v>-127.70908299999999</c:v>
                </c:pt>
                <c:pt idx="3502">
                  <c:v>-127.6112119</c:v>
                </c:pt>
                <c:pt idx="3503">
                  <c:v>-127.51334109999999</c:v>
                </c:pt>
                <c:pt idx="3504">
                  <c:v>-127.41547059999999</c:v>
                </c:pt>
                <c:pt idx="3505">
                  <c:v>-127.31750039999999</c:v>
                </c:pt>
                <c:pt idx="3506">
                  <c:v>-127.21963049999999</c:v>
                </c:pt>
                <c:pt idx="3507">
                  <c:v>-127.1217609</c:v>
                </c:pt>
                <c:pt idx="3508">
                  <c:v>-127.02379160000001</c:v>
                </c:pt>
                <c:pt idx="3509">
                  <c:v>-126.9258227</c:v>
                </c:pt>
                <c:pt idx="3510">
                  <c:v>-126.82795400000001</c:v>
                </c:pt>
                <c:pt idx="3511">
                  <c:v>-126.7300856</c:v>
                </c:pt>
                <c:pt idx="3512">
                  <c:v>-126.6322176</c:v>
                </c:pt>
                <c:pt idx="3513">
                  <c:v>-126.5342498</c:v>
                </c:pt>
                <c:pt idx="3514">
                  <c:v>-126.43628240000001</c:v>
                </c:pt>
                <c:pt idx="3515">
                  <c:v>-126.33841520000001</c:v>
                </c:pt>
                <c:pt idx="3516">
                  <c:v>-126.24054839999999</c:v>
                </c:pt>
                <c:pt idx="3517">
                  <c:v>-126.14258190000001</c:v>
                </c:pt>
                <c:pt idx="3518">
                  <c:v>-126.04471570000001</c:v>
                </c:pt>
                <c:pt idx="3519">
                  <c:v>-125.9468498</c:v>
                </c:pt>
                <c:pt idx="3520">
                  <c:v>-125.84898419999999</c:v>
                </c:pt>
                <c:pt idx="3521">
                  <c:v>-125.75091890000002</c:v>
                </c:pt>
                <c:pt idx="3522">
                  <c:v>-125.65305389999999</c:v>
                </c:pt>
                <c:pt idx="3523">
                  <c:v>-125.5551892</c:v>
                </c:pt>
                <c:pt idx="3524">
                  <c:v>-125.45732480000001</c:v>
                </c:pt>
                <c:pt idx="3525">
                  <c:v>-125.35926069999999</c:v>
                </c:pt>
                <c:pt idx="3526">
                  <c:v>-125.26139699999999</c:v>
                </c:pt>
                <c:pt idx="3527">
                  <c:v>-125.1634335</c:v>
                </c:pt>
                <c:pt idx="3528">
                  <c:v>-125.06557029999999</c:v>
                </c:pt>
                <c:pt idx="3529">
                  <c:v>-124.9676075</c:v>
                </c:pt>
                <c:pt idx="3530">
                  <c:v>-124.86974499999999</c:v>
                </c:pt>
                <c:pt idx="3531">
                  <c:v>-124.77188270000001</c:v>
                </c:pt>
                <c:pt idx="3532">
                  <c:v>-124.67402079999999</c:v>
                </c:pt>
                <c:pt idx="3533">
                  <c:v>-124.57595918</c:v>
                </c:pt>
                <c:pt idx="3534">
                  <c:v>-124.47809785999999</c:v>
                </c:pt>
                <c:pt idx="3535">
                  <c:v>-124.38023685</c:v>
                </c:pt>
                <c:pt idx="3536">
                  <c:v>-124.28237615</c:v>
                </c:pt>
                <c:pt idx="3537">
                  <c:v>-124.18441576000001</c:v>
                </c:pt>
                <c:pt idx="3538">
                  <c:v>-124.08645566999999</c:v>
                </c:pt>
                <c:pt idx="3539">
                  <c:v>-123.98849588</c:v>
                </c:pt>
                <c:pt idx="3540">
                  <c:v>-123.89063641000001</c:v>
                </c:pt>
                <c:pt idx="3541">
                  <c:v>-123.79267723999999</c:v>
                </c:pt>
                <c:pt idx="3542">
                  <c:v>-123.69481837000001</c:v>
                </c:pt>
                <c:pt idx="3543">
                  <c:v>-123.59695981</c:v>
                </c:pt>
                <c:pt idx="3544">
                  <c:v>-123.49900156</c:v>
                </c:pt>
                <c:pt idx="3545">
                  <c:v>-123.40104361900001</c:v>
                </c:pt>
                <c:pt idx="3546">
                  <c:v>-123.30318598140001</c:v>
                </c:pt>
                <c:pt idx="3547">
                  <c:v>-123.205228651</c:v>
                </c:pt>
                <c:pt idx="3548">
                  <c:v>-123.10727162000001</c:v>
                </c:pt>
                <c:pt idx="3549">
                  <c:v>-123.0094149</c:v>
                </c:pt>
                <c:pt idx="3550">
                  <c:v>-122.91155848999999</c:v>
                </c:pt>
                <c:pt idx="3551">
                  <c:v>-122.81360239</c:v>
                </c:pt>
                <c:pt idx="3552">
                  <c:v>-122.71564658999999</c:v>
                </c:pt>
                <c:pt idx="3553">
                  <c:v>-122.61779109</c:v>
                </c:pt>
                <c:pt idx="3554">
                  <c:v>-122.51993591</c:v>
                </c:pt>
                <c:pt idx="3555">
                  <c:v>-122.42208102000001</c:v>
                </c:pt>
                <c:pt idx="3556">
                  <c:v>-122.32402644999999</c:v>
                </c:pt>
                <c:pt idx="3557">
                  <c:v>-122.22607218</c:v>
                </c:pt>
                <c:pt idx="3558">
                  <c:v>-122.12821822000001</c:v>
                </c:pt>
                <c:pt idx="3559">
                  <c:v>-122.03026456999999</c:v>
                </c:pt>
                <c:pt idx="3560">
                  <c:v>-121.93241119999999</c:v>
                </c:pt>
                <c:pt idx="3561">
                  <c:v>-121.83455819999999</c:v>
                </c:pt>
                <c:pt idx="3562">
                  <c:v>-121.73670540000001</c:v>
                </c:pt>
                <c:pt idx="3563">
                  <c:v>-121.638553</c:v>
                </c:pt>
                <c:pt idx="3564">
                  <c:v>-121.54070089999999</c:v>
                </c:pt>
                <c:pt idx="3565">
                  <c:v>-121.44284909999999</c:v>
                </c:pt>
                <c:pt idx="3566">
                  <c:v>-121.3449976</c:v>
                </c:pt>
                <c:pt idx="3567">
                  <c:v>-121.24704639999999</c:v>
                </c:pt>
                <c:pt idx="3568">
                  <c:v>-121.1491955</c:v>
                </c:pt>
                <c:pt idx="3569">
                  <c:v>-121.0511449</c:v>
                </c:pt>
                <c:pt idx="3570">
                  <c:v>-120.9531946</c:v>
                </c:pt>
                <c:pt idx="3571">
                  <c:v>-120.8553446</c:v>
                </c:pt>
                <c:pt idx="3572">
                  <c:v>-120.7574949</c:v>
                </c:pt>
                <c:pt idx="3573">
                  <c:v>-120.65964560000002</c:v>
                </c:pt>
                <c:pt idx="3574">
                  <c:v>-120.56159650000001</c:v>
                </c:pt>
                <c:pt idx="3575">
                  <c:v>-120.4636478</c:v>
                </c:pt>
                <c:pt idx="3576">
                  <c:v>-120.36579930000002</c:v>
                </c:pt>
                <c:pt idx="3577">
                  <c:v>-120.26785120000001</c:v>
                </c:pt>
                <c:pt idx="3578">
                  <c:v>-120.17000330000002</c:v>
                </c:pt>
                <c:pt idx="3579">
                  <c:v>-120.0721558</c:v>
                </c:pt>
                <c:pt idx="3580">
                  <c:v>-119.9742086</c:v>
                </c:pt>
                <c:pt idx="3581">
                  <c:v>-119.87616170000001</c:v>
                </c:pt>
                <c:pt idx="3582">
                  <c:v>-119.77831510000001</c:v>
                </c:pt>
                <c:pt idx="3583">
                  <c:v>-119.68046879999999</c:v>
                </c:pt>
                <c:pt idx="3584">
                  <c:v>-119.58252280000001</c:v>
                </c:pt>
                <c:pt idx="3585">
                  <c:v>-119.4845771</c:v>
                </c:pt>
                <c:pt idx="3586">
                  <c:v>-119.3866317</c:v>
                </c:pt>
                <c:pt idx="3587">
                  <c:v>-119.28878659999998</c:v>
                </c:pt>
                <c:pt idx="3588">
                  <c:v>-119.1908419</c:v>
                </c:pt>
                <c:pt idx="3589">
                  <c:v>-119.0929974</c:v>
                </c:pt>
                <c:pt idx="3590">
                  <c:v>-118.99505319999999</c:v>
                </c:pt>
                <c:pt idx="3591">
                  <c:v>-118.8970094</c:v>
                </c:pt>
                <c:pt idx="3592">
                  <c:v>-118.79916589999999</c:v>
                </c:pt>
                <c:pt idx="3593">
                  <c:v>-118.7013226</c:v>
                </c:pt>
                <c:pt idx="3594">
                  <c:v>-118.60347969999999</c:v>
                </c:pt>
                <c:pt idx="3595">
                  <c:v>-118.5055371</c:v>
                </c:pt>
                <c:pt idx="3596">
                  <c:v>-118.4074947</c:v>
                </c:pt>
                <c:pt idx="3597">
                  <c:v>-118.3096527</c:v>
                </c:pt>
                <c:pt idx="3598">
                  <c:v>-118.21171100000001</c:v>
                </c:pt>
                <c:pt idx="3599">
                  <c:v>-118.11386959999999</c:v>
                </c:pt>
                <c:pt idx="3600">
                  <c:v>-118.0159285</c:v>
                </c:pt>
                <c:pt idx="3601">
                  <c:v>-117.91798780000002</c:v>
                </c:pt>
                <c:pt idx="3602">
                  <c:v>-117.82004729999998</c:v>
                </c:pt>
                <c:pt idx="3603">
                  <c:v>-117.72220709999999</c:v>
                </c:pt>
                <c:pt idx="3604">
                  <c:v>-117.62436719999999</c:v>
                </c:pt>
                <c:pt idx="3605">
                  <c:v>-117.5263277</c:v>
                </c:pt>
                <c:pt idx="3606">
                  <c:v>-117.4283884</c:v>
                </c:pt>
                <c:pt idx="3607">
                  <c:v>-117.3305495</c:v>
                </c:pt>
                <c:pt idx="3608">
                  <c:v>-117.23261079999999</c:v>
                </c:pt>
                <c:pt idx="3609">
                  <c:v>-117.13467249999999</c:v>
                </c:pt>
                <c:pt idx="3610">
                  <c:v>-117.0368345</c:v>
                </c:pt>
                <c:pt idx="3611">
                  <c:v>-116.93889679999999</c:v>
                </c:pt>
                <c:pt idx="3612">
                  <c:v>-116.84095930000001</c:v>
                </c:pt>
                <c:pt idx="3613">
                  <c:v>-116.7430222</c:v>
                </c:pt>
                <c:pt idx="3614">
                  <c:v>-116.6451854</c:v>
                </c:pt>
                <c:pt idx="3615">
                  <c:v>-116.5472489</c:v>
                </c:pt>
                <c:pt idx="3616">
                  <c:v>-116.4493128</c:v>
                </c:pt>
                <c:pt idx="3617">
                  <c:v>-116.35137690000002</c:v>
                </c:pt>
                <c:pt idx="3618">
                  <c:v>-116.25344130000001</c:v>
                </c:pt>
                <c:pt idx="3619">
                  <c:v>-116.15560600000001</c:v>
                </c:pt>
                <c:pt idx="3620">
                  <c:v>-116.05777110000001</c:v>
                </c:pt>
                <c:pt idx="3621">
                  <c:v>-115.95973640000001</c:v>
                </c:pt>
                <c:pt idx="3622">
                  <c:v>-115.86180210000001</c:v>
                </c:pt>
                <c:pt idx="3623">
                  <c:v>-115.76396800000001</c:v>
                </c:pt>
                <c:pt idx="3624">
                  <c:v>-115.66603430000001</c:v>
                </c:pt>
                <c:pt idx="3625">
                  <c:v>-115.56810080000001</c:v>
                </c:pt>
                <c:pt idx="3626">
                  <c:v>-115.4701677</c:v>
                </c:pt>
                <c:pt idx="3627">
                  <c:v>-115.3723349</c:v>
                </c:pt>
                <c:pt idx="3628">
                  <c:v>-115.2743024</c:v>
                </c:pt>
                <c:pt idx="3629">
                  <c:v>-115.17647019999998</c:v>
                </c:pt>
                <c:pt idx="3630">
                  <c:v>-115.07863829999999</c:v>
                </c:pt>
                <c:pt idx="3631">
                  <c:v>-114.98050670000001</c:v>
                </c:pt>
                <c:pt idx="3632">
                  <c:v>-114.88267539999998</c:v>
                </c:pt>
                <c:pt idx="3633">
                  <c:v>-114.7848444</c:v>
                </c:pt>
                <c:pt idx="3634">
                  <c:v>-114.68701379999999</c:v>
                </c:pt>
                <c:pt idx="3635">
                  <c:v>-114.58898339999999</c:v>
                </c:pt>
                <c:pt idx="3636">
                  <c:v>-114.4910533</c:v>
                </c:pt>
                <c:pt idx="3637">
                  <c:v>-114.3932236</c:v>
                </c:pt>
                <c:pt idx="3638">
                  <c:v>-114.2951941</c:v>
                </c:pt>
                <c:pt idx="3639">
                  <c:v>-114.19736499999999</c:v>
                </c:pt>
                <c:pt idx="3640">
                  <c:v>-114.0994362</c:v>
                </c:pt>
                <c:pt idx="3641">
                  <c:v>-114.00140759999999</c:v>
                </c:pt>
                <c:pt idx="3642">
                  <c:v>-113.9035794</c:v>
                </c:pt>
                <c:pt idx="3643">
                  <c:v>-113.80575150000001</c:v>
                </c:pt>
                <c:pt idx="3644">
                  <c:v>-113.7077239</c:v>
                </c:pt>
                <c:pt idx="3645">
                  <c:v>-113.60979660000001</c:v>
                </c:pt>
                <c:pt idx="3646">
                  <c:v>-113.5119696</c:v>
                </c:pt>
                <c:pt idx="3647">
                  <c:v>-113.4139429</c:v>
                </c:pt>
                <c:pt idx="3648">
                  <c:v>-113.31611649999999</c:v>
                </c:pt>
                <c:pt idx="3649">
                  <c:v>-113.21829049999999</c:v>
                </c:pt>
                <c:pt idx="3650">
                  <c:v>-113.12026469999998</c:v>
                </c:pt>
                <c:pt idx="3651">
                  <c:v>-113.0223392</c:v>
                </c:pt>
                <c:pt idx="3652">
                  <c:v>-112.9245141</c:v>
                </c:pt>
                <c:pt idx="3653">
                  <c:v>-112.8265892</c:v>
                </c:pt>
                <c:pt idx="3654">
                  <c:v>-112.72856469999999</c:v>
                </c:pt>
                <c:pt idx="3655">
                  <c:v>-112.63074040000001</c:v>
                </c:pt>
                <c:pt idx="3656">
                  <c:v>-112.5328165</c:v>
                </c:pt>
                <c:pt idx="3657">
                  <c:v>-112.43489289999999</c:v>
                </c:pt>
                <c:pt idx="3658">
                  <c:v>-112.33706960000001</c:v>
                </c:pt>
                <c:pt idx="3659">
                  <c:v>-112.23904659999999</c:v>
                </c:pt>
                <c:pt idx="3660">
                  <c:v>-112.14112390000001</c:v>
                </c:pt>
                <c:pt idx="3661">
                  <c:v>-112.0433015</c:v>
                </c:pt>
                <c:pt idx="3662">
                  <c:v>-111.94537940000001</c:v>
                </c:pt>
                <c:pt idx="3663">
                  <c:v>-111.84735760000001</c:v>
                </c:pt>
                <c:pt idx="3664">
                  <c:v>-111.7495361</c:v>
                </c:pt>
                <c:pt idx="3665">
                  <c:v>-111.65161490000001</c:v>
                </c:pt>
                <c:pt idx="3666">
                  <c:v>-111.5536941</c:v>
                </c:pt>
                <c:pt idx="3667">
                  <c:v>-111.45587350000001</c:v>
                </c:pt>
                <c:pt idx="3668">
                  <c:v>-111.35785330000002</c:v>
                </c:pt>
                <c:pt idx="3669">
                  <c:v>-111.2599333</c:v>
                </c:pt>
                <c:pt idx="3670">
                  <c:v>-111.1620137</c:v>
                </c:pt>
                <c:pt idx="3671">
                  <c:v>-111.06419439999999</c:v>
                </c:pt>
                <c:pt idx="3672">
                  <c:v>-110.96617530000002</c:v>
                </c:pt>
                <c:pt idx="3673">
                  <c:v>-110.86825660000002</c:v>
                </c:pt>
                <c:pt idx="3674">
                  <c:v>-110.77043820000002</c:v>
                </c:pt>
                <c:pt idx="3675">
                  <c:v>-110.67252009999999</c:v>
                </c:pt>
                <c:pt idx="3676">
                  <c:v>-110.5746023</c:v>
                </c:pt>
                <c:pt idx="3677">
                  <c:v>-110.47668480000002</c:v>
                </c:pt>
                <c:pt idx="3678">
                  <c:v>-110.378668</c:v>
                </c:pt>
                <c:pt idx="3679">
                  <c:v>-110.280851</c:v>
                </c:pt>
                <c:pt idx="3680">
                  <c:v>-110.18303399999999</c:v>
                </c:pt>
                <c:pt idx="3681">
                  <c:v>-110.084918</c:v>
                </c:pt>
                <c:pt idx="3682">
                  <c:v>-109.98710200000001</c:v>
                </c:pt>
                <c:pt idx="3683">
                  <c:v>-109.889186</c:v>
                </c:pt>
                <c:pt idx="3684">
                  <c:v>-109.79127100000001</c:v>
                </c:pt>
                <c:pt idx="3685">
                  <c:v>-109.69335599999999</c:v>
                </c:pt>
                <c:pt idx="3686">
                  <c:v>-109.59544099999999</c:v>
                </c:pt>
                <c:pt idx="3687">
                  <c:v>-109.49752700000001</c:v>
                </c:pt>
                <c:pt idx="3688">
                  <c:v>-109.399613</c:v>
                </c:pt>
                <c:pt idx="3689">
                  <c:v>-109.30179899999999</c:v>
                </c:pt>
                <c:pt idx="3690">
                  <c:v>-109.203785</c:v>
                </c:pt>
                <c:pt idx="3691">
                  <c:v>-109.10587200000001</c:v>
                </c:pt>
                <c:pt idx="3692">
                  <c:v>-109.008059</c:v>
                </c:pt>
                <c:pt idx="3693">
                  <c:v>-108.91004700000001</c:v>
                </c:pt>
                <c:pt idx="3694">
                  <c:v>-108.812134</c:v>
                </c:pt>
                <c:pt idx="3695">
                  <c:v>-108.71422200000001</c:v>
                </c:pt>
                <c:pt idx="3696">
                  <c:v>-108.616311</c:v>
                </c:pt>
                <c:pt idx="3697">
                  <c:v>-108.51849899999999</c:v>
                </c:pt>
                <c:pt idx="3698">
                  <c:v>-108.420388</c:v>
                </c:pt>
                <c:pt idx="3699">
                  <c:v>-108.32257699999998</c:v>
                </c:pt>
                <c:pt idx="3700">
                  <c:v>-108.224667</c:v>
                </c:pt>
                <c:pt idx="3701">
                  <c:v>-108.126757</c:v>
                </c:pt>
                <c:pt idx="3702">
                  <c:v>-108.02874699999998</c:v>
                </c:pt>
                <c:pt idx="3703">
                  <c:v>-107.930938</c:v>
                </c:pt>
                <c:pt idx="3704">
                  <c:v>-107.83292800000001</c:v>
                </c:pt>
                <c:pt idx="3705">
                  <c:v>-107.735119</c:v>
                </c:pt>
                <c:pt idx="3706">
                  <c:v>-107.63721099999998</c:v>
                </c:pt>
                <c:pt idx="3707">
                  <c:v>-107.53920299999999</c:v>
                </c:pt>
                <c:pt idx="3708">
                  <c:v>-107.441395</c:v>
                </c:pt>
                <c:pt idx="3709">
                  <c:v>-107.34348699999998</c:v>
                </c:pt>
                <c:pt idx="3710">
                  <c:v>-107.24557899999999</c:v>
                </c:pt>
                <c:pt idx="3711">
                  <c:v>-107.147572</c:v>
                </c:pt>
                <c:pt idx="3712">
                  <c:v>-107.04976599999999</c:v>
                </c:pt>
                <c:pt idx="3713">
                  <c:v>-106.951759</c:v>
                </c:pt>
                <c:pt idx="3714">
                  <c:v>-106.85395299999999</c:v>
                </c:pt>
                <c:pt idx="3715">
                  <c:v>-106.75594699999999</c:v>
                </c:pt>
                <c:pt idx="3716">
                  <c:v>-106.65804199999999</c:v>
                </c:pt>
                <c:pt idx="3717">
                  <c:v>-106.560136</c:v>
                </c:pt>
                <c:pt idx="3718">
                  <c:v>-106.462231</c:v>
                </c:pt>
                <c:pt idx="3719">
                  <c:v>-106.364327</c:v>
                </c:pt>
                <c:pt idx="3720">
                  <c:v>-106.266423</c:v>
                </c:pt>
                <c:pt idx="3721">
                  <c:v>-106.168519</c:v>
                </c:pt>
                <c:pt idx="3722">
                  <c:v>-106.070615</c:v>
                </c:pt>
                <c:pt idx="3723">
                  <c:v>-105.972711</c:v>
                </c:pt>
                <c:pt idx="3724">
                  <c:v>-105.874708</c:v>
                </c:pt>
                <c:pt idx="3725">
                  <c:v>-105.776906</c:v>
                </c:pt>
                <c:pt idx="3726">
                  <c:v>-105.67900300000001</c:v>
                </c:pt>
                <c:pt idx="3727">
                  <c:v>-105.58100100000001</c:v>
                </c:pt>
                <c:pt idx="3728">
                  <c:v>-105.48309899999998</c:v>
                </c:pt>
                <c:pt idx="3729">
                  <c:v>-105.38529800000001</c:v>
                </c:pt>
                <c:pt idx="3730">
                  <c:v>-105.287296</c:v>
                </c:pt>
                <c:pt idx="3731">
                  <c:v>-105.189395</c:v>
                </c:pt>
                <c:pt idx="3732">
                  <c:v>-105.09139499999999</c:v>
                </c:pt>
                <c:pt idx="3733">
                  <c:v>-104.993594</c:v>
                </c:pt>
                <c:pt idx="3734">
                  <c:v>-104.89559399999999</c:v>
                </c:pt>
                <c:pt idx="3735">
                  <c:v>-104.797695</c:v>
                </c:pt>
                <c:pt idx="3736">
                  <c:v>-104.69979499999999</c:v>
                </c:pt>
                <c:pt idx="3737">
                  <c:v>-104.601996</c:v>
                </c:pt>
                <c:pt idx="3738">
                  <c:v>-104.50389700000001</c:v>
                </c:pt>
                <c:pt idx="3739">
                  <c:v>-104.406099</c:v>
                </c:pt>
                <c:pt idx="3740">
                  <c:v>-104.308201</c:v>
                </c:pt>
                <c:pt idx="3741">
                  <c:v>-104.21030300000001</c:v>
                </c:pt>
                <c:pt idx="3742">
                  <c:v>-104.11230499999999</c:v>
                </c:pt>
                <c:pt idx="3743">
                  <c:v>-104.014308</c:v>
                </c:pt>
                <c:pt idx="3744">
                  <c:v>-103.91651100000001</c:v>
                </c:pt>
                <c:pt idx="3745">
                  <c:v>-103.818614</c:v>
                </c:pt>
                <c:pt idx="3746">
                  <c:v>-103.720618</c:v>
                </c:pt>
                <c:pt idx="3747">
                  <c:v>-103.62272200000001</c:v>
                </c:pt>
                <c:pt idx="3748">
                  <c:v>-103.52492600000001</c:v>
                </c:pt>
                <c:pt idx="3749">
                  <c:v>-103.42693100000001</c:v>
                </c:pt>
                <c:pt idx="3750">
                  <c:v>-103.329036</c:v>
                </c:pt>
                <c:pt idx="3751">
                  <c:v>-103.231041</c:v>
                </c:pt>
                <c:pt idx="3752">
                  <c:v>-103.13324600000001</c:v>
                </c:pt>
                <c:pt idx="3753">
                  <c:v>-103.035352</c:v>
                </c:pt>
                <c:pt idx="3754">
                  <c:v>-102.937358</c:v>
                </c:pt>
                <c:pt idx="3755">
                  <c:v>-102.83946500000002</c:v>
                </c:pt>
                <c:pt idx="3756">
                  <c:v>-102.74157099999999</c:v>
                </c:pt>
                <c:pt idx="3757">
                  <c:v>-102.643579</c:v>
                </c:pt>
                <c:pt idx="3758">
                  <c:v>-102.54568600000002</c:v>
                </c:pt>
                <c:pt idx="3759">
                  <c:v>-102.447793</c:v>
                </c:pt>
                <c:pt idx="3760">
                  <c:v>-102.349901</c:v>
                </c:pt>
                <c:pt idx="3761">
                  <c:v>-102.25201</c:v>
                </c:pt>
                <c:pt idx="3762">
                  <c:v>-102.15401800000001</c:v>
                </c:pt>
                <c:pt idx="3763">
                  <c:v>-102.056127</c:v>
                </c:pt>
                <c:pt idx="3764">
                  <c:v>-101.95833599999999</c:v>
                </c:pt>
                <c:pt idx="3765">
                  <c:v>-101.860246</c:v>
                </c:pt>
                <c:pt idx="3766">
                  <c:v>-101.762456</c:v>
                </c:pt>
                <c:pt idx="3767">
                  <c:v>-101.66446599999999</c:v>
                </c:pt>
                <c:pt idx="3768">
                  <c:v>-101.566676</c:v>
                </c:pt>
                <c:pt idx="3769">
                  <c:v>-101.468687</c:v>
                </c:pt>
                <c:pt idx="3770">
                  <c:v>-101.37069799999999</c:v>
                </c:pt>
                <c:pt idx="3771">
                  <c:v>-101.27290900000001</c:v>
                </c:pt>
                <c:pt idx="3772">
                  <c:v>-101.174921</c:v>
                </c:pt>
                <c:pt idx="3773">
                  <c:v>-101.077033</c:v>
                </c:pt>
                <c:pt idx="3774">
                  <c:v>-100.979145</c:v>
                </c:pt>
                <c:pt idx="3775">
                  <c:v>-100.881157</c:v>
                </c:pt>
                <c:pt idx="3776">
                  <c:v>-100.78327</c:v>
                </c:pt>
                <c:pt idx="3777">
                  <c:v>-100.685383</c:v>
                </c:pt>
                <c:pt idx="3778">
                  <c:v>-100.587497</c:v>
                </c:pt>
                <c:pt idx="3779">
                  <c:v>-100.48951099999999</c:v>
                </c:pt>
                <c:pt idx="3780">
                  <c:v>-100.391525</c:v>
                </c:pt>
                <c:pt idx="3781">
                  <c:v>-100.293739</c:v>
                </c:pt>
                <c:pt idx="3782">
                  <c:v>-100.195854</c:v>
                </c:pt>
                <c:pt idx="3783">
                  <c:v>-100.09786900000002</c:v>
                </c:pt>
                <c:pt idx="3784">
                  <c:v>-99.999983999999984</c:v>
                </c:pt>
                <c:pt idx="3785">
                  <c:v>-99.90209999999999</c:v>
                </c:pt>
                <c:pt idx="3786">
                  <c:v>-99.804216000000011</c:v>
                </c:pt>
                <c:pt idx="3787">
                  <c:v>-99.706231999999986</c:v>
                </c:pt>
                <c:pt idx="3788">
                  <c:v>-99.608248000000003</c:v>
                </c:pt>
                <c:pt idx="3789">
                  <c:v>-99.510464999999996</c:v>
                </c:pt>
                <c:pt idx="3790">
                  <c:v>-99.412481999999997</c:v>
                </c:pt>
                <c:pt idx="3791">
                  <c:v>-99.314599999999999</c:v>
                </c:pt>
                <c:pt idx="3792">
                  <c:v>-99.216718</c:v>
                </c:pt>
                <c:pt idx="3793">
                  <c:v>-99.118735999999998</c:v>
                </c:pt>
                <c:pt idx="3794">
                  <c:v>-99.020854</c:v>
                </c:pt>
                <c:pt idx="3795">
                  <c:v>-98.922972999999999</c:v>
                </c:pt>
                <c:pt idx="3796">
                  <c:v>-98.824991999999995</c:v>
                </c:pt>
                <c:pt idx="3797">
                  <c:v>-98.727110999999994</c:v>
                </c:pt>
                <c:pt idx="3798">
                  <c:v>-98.629131000000015</c:v>
                </c:pt>
                <c:pt idx="3799">
                  <c:v>-98.531250999999983</c:v>
                </c:pt>
                <c:pt idx="3800">
                  <c:v>-98.433470999999997</c:v>
                </c:pt>
                <c:pt idx="3801">
                  <c:v>-98.335391000000001</c:v>
                </c:pt>
                <c:pt idx="3802">
                  <c:v>-98.237611999999984</c:v>
                </c:pt>
                <c:pt idx="3803">
                  <c:v>-98.139633000000003</c:v>
                </c:pt>
                <c:pt idx="3804">
                  <c:v>-98.041654999999992</c:v>
                </c:pt>
                <c:pt idx="3805">
                  <c:v>-97.943876000000003</c:v>
                </c:pt>
                <c:pt idx="3806">
                  <c:v>-97.845899000000003</c:v>
                </c:pt>
                <c:pt idx="3807">
                  <c:v>-97.748020999999994</c:v>
                </c:pt>
                <c:pt idx="3808">
                  <c:v>-97.650044000000008</c:v>
                </c:pt>
                <c:pt idx="3809">
                  <c:v>-97.552166999999997</c:v>
                </c:pt>
                <c:pt idx="3810">
                  <c:v>-97.45429</c:v>
                </c:pt>
                <c:pt idx="3811">
                  <c:v>-97.356313</c:v>
                </c:pt>
                <c:pt idx="3812">
                  <c:v>-97.258437000000001</c:v>
                </c:pt>
                <c:pt idx="3813">
                  <c:v>-97.160461000000012</c:v>
                </c:pt>
                <c:pt idx="3814">
                  <c:v>-97.062585999999996</c:v>
                </c:pt>
                <c:pt idx="3815">
                  <c:v>-96.964710999999994</c:v>
                </c:pt>
                <c:pt idx="3816">
                  <c:v>-96.866736000000003</c:v>
                </c:pt>
                <c:pt idx="3817">
                  <c:v>-96.768860999999987</c:v>
                </c:pt>
                <c:pt idx="3818">
                  <c:v>-96.670887000000008</c:v>
                </c:pt>
                <c:pt idx="3819">
                  <c:v>-96.573013000000003</c:v>
                </c:pt>
                <c:pt idx="3820">
                  <c:v>-96.475138999999984</c:v>
                </c:pt>
                <c:pt idx="3821">
                  <c:v>-96.377166000000003</c:v>
                </c:pt>
                <c:pt idx="3822">
                  <c:v>-96.279292999999996</c:v>
                </c:pt>
                <c:pt idx="3823">
                  <c:v>-96.181319999999999</c:v>
                </c:pt>
                <c:pt idx="3824">
                  <c:v>-96.083547999999993</c:v>
                </c:pt>
                <c:pt idx="3825">
                  <c:v>-95.985476000000006</c:v>
                </c:pt>
                <c:pt idx="3826">
                  <c:v>-95.88760400000001</c:v>
                </c:pt>
                <c:pt idx="3827">
                  <c:v>-95.78983199999999</c:v>
                </c:pt>
                <c:pt idx="3828">
                  <c:v>-95.691761000000014</c:v>
                </c:pt>
                <c:pt idx="3829">
                  <c:v>-95.593889999999988</c:v>
                </c:pt>
                <c:pt idx="3830">
                  <c:v>-95.495919999999998</c:v>
                </c:pt>
                <c:pt idx="3831">
                  <c:v>-95.398049999999998</c:v>
                </c:pt>
                <c:pt idx="3832">
                  <c:v>-95.300179999999983</c:v>
                </c:pt>
                <c:pt idx="3833">
                  <c:v>-95.202209999999994</c:v>
                </c:pt>
                <c:pt idx="3834">
                  <c:v>-95.104440999999994</c:v>
                </c:pt>
                <c:pt idx="3835">
                  <c:v>-95.006371000000001</c:v>
                </c:pt>
                <c:pt idx="3836">
                  <c:v>-94.908502999999996</c:v>
                </c:pt>
                <c:pt idx="3837">
                  <c:v>-94.810534000000004</c:v>
                </c:pt>
                <c:pt idx="3838">
                  <c:v>-94.712666000000013</c:v>
                </c:pt>
                <c:pt idx="3839">
                  <c:v>-94.614797999999993</c:v>
                </c:pt>
                <c:pt idx="3840">
                  <c:v>-94.516830999999996</c:v>
                </c:pt>
                <c:pt idx="3841">
                  <c:v>-94.418863999999999</c:v>
                </c:pt>
                <c:pt idx="3842">
                  <c:v>-94.320996999999991</c:v>
                </c:pt>
                <c:pt idx="3843">
                  <c:v>-94.223129999999998</c:v>
                </c:pt>
                <c:pt idx="3844">
                  <c:v>-94.125164000000012</c:v>
                </c:pt>
                <c:pt idx="3845">
                  <c:v>-94.027197999999999</c:v>
                </c:pt>
                <c:pt idx="3846">
                  <c:v>-93.929431999999991</c:v>
                </c:pt>
                <c:pt idx="3847">
                  <c:v>-93.831467000000004</c:v>
                </c:pt>
                <c:pt idx="3848">
                  <c:v>-93.733502000000016</c:v>
                </c:pt>
                <c:pt idx="3849">
                  <c:v>-93.635536999999999</c:v>
                </c:pt>
                <c:pt idx="3850">
                  <c:v>-93.537772000000004</c:v>
                </c:pt>
                <c:pt idx="3851">
                  <c:v>-93.439807999999999</c:v>
                </c:pt>
                <c:pt idx="3852">
                  <c:v>-93.341843999999995</c:v>
                </c:pt>
                <c:pt idx="3853">
                  <c:v>-93.243981000000005</c:v>
                </c:pt>
                <c:pt idx="3854">
                  <c:v>-93.146017999999998</c:v>
                </c:pt>
                <c:pt idx="3855">
                  <c:v>-93.048154999999994</c:v>
                </c:pt>
                <c:pt idx="3856">
                  <c:v>-92.950192000000001</c:v>
                </c:pt>
                <c:pt idx="3857">
                  <c:v>-92.852230000000006</c:v>
                </c:pt>
                <c:pt idx="3858">
                  <c:v>-92.754468000000003</c:v>
                </c:pt>
                <c:pt idx="3859">
                  <c:v>-92.656505999999993</c:v>
                </c:pt>
                <c:pt idx="3860">
                  <c:v>-92.558545000000009</c:v>
                </c:pt>
                <c:pt idx="3861">
                  <c:v>-92.460584000000011</c:v>
                </c:pt>
                <c:pt idx="3862">
                  <c:v>-92.362723000000003</c:v>
                </c:pt>
                <c:pt idx="3863">
                  <c:v>-92.264862000000008</c:v>
                </c:pt>
                <c:pt idx="3864">
                  <c:v>-92.166901999999993</c:v>
                </c:pt>
                <c:pt idx="3865">
                  <c:v>-92.069041999999996</c:v>
                </c:pt>
                <c:pt idx="3866">
                  <c:v>-91.971082999999993</c:v>
                </c:pt>
                <c:pt idx="3867">
                  <c:v>-91.873224000000008</c:v>
                </c:pt>
                <c:pt idx="3868">
                  <c:v>-91.77526499999999</c:v>
                </c:pt>
                <c:pt idx="3869">
                  <c:v>-91.677406000000005</c:v>
                </c:pt>
                <c:pt idx="3870">
                  <c:v>-91.579347999999996</c:v>
                </c:pt>
                <c:pt idx="3871">
                  <c:v>-91.481490000000008</c:v>
                </c:pt>
                <c:pt idx="3872">
                  <c:v>-91.383732000000009</c:v>
                </c:pt>
                <c:pt idx="3873">
                  <c:v>-91.285674999999998</c:v>
                </c:pt>
                <c:pt idx="3874">
                  <c:v>-91.187816999999995</c:v>
                </c:pt>
                <c:pt idx="3875">
                  <c:v>-91.089860999999999</c:v>
                </c:pt>
                <c:pt idx="3876">
                  <c:v>-90.991904000000005</c:v>
                </c:pt>
                <c:pt idx="3877">
                  <c:v>-90.894048000000012</c:v>
                </c:pt>
                <c:pt idx="3878">
                  <c:v>-90.796191999999991</c:v>
                </c:pt>
                <c:pt idx="3879">
                  <c:v>-90.698137000000003</c:v>
                </c:pt>
                <c:pt idx="3880">
                  <c:v>-90.600280999999995</c:v>
                </c:pt>
                <c:pt idx="3881">
                  <c:v>-90.502426000000014</c:v>
                </c:pt>
                <c:pt idx="3882">
                  <c:v>-90.404371999999995</c:v>
                </c:pt>
                <c:pt idx="3883">
                  <c:v>-90.306577000000004</c:v>
                </c:pt>
                <c:pt idx="3884">
                  <c:v>-90.208642999999995</c:v>
                </c:pt>
                <c:pt idx="3885">
                  <c:v>-90.11069999999998</c:v>
                </c:pt>
                <c:pt idx="3886">
                  <c:v>-90.012765999999999</c:v>
                </c:pt>
                <c:pt idx="3887">
                  <c:v>-89.914932999999991</c:v>
                </c:pt>
                <c:pt idx="3888">
                  <c:v>-89.816990000000004</c:v>
                </c:pt>
                <c:pt idx="3889">
                  <c:v>-89.719058000000004</c:v>
                </c:pt>
                <c:pt idx="3890">
                  <c:v>-89.621225999999993</c:v>
                </c:pt>
                <c:pt idx="3891">
                  <c:v>-89.523184000000001</c:v>
                </c:pt>
                <c:pt idx="3892">
                  <c:v>-89.42535199999999</c:v>
                </c:pt>
                <c:pt idx="3893">
                  <c:v>-89.327411000000012</c:v>
                </c:pt>
                <c:pt idx="3894">
                  <c:v>-89.229480000000009</c:v>
                </c:pt>
                <c:pt idx="3895">
                  <c:v>-89.131538999999989</c:v>
                </c:pt>
                <c:pt idx="3896">
                  <c:v>-89.033709000000002</c:v>
                </c:pt>
                <c:pt idx="3897">
                  <c:v>-88.93566899999999</c:v>
                </c:pt>
                <c:pt idx="3898">
                  <c:v>-88.837839000000002</c:v>
                </c:pt>
                <c:pt idx="3899">
                  <c:v>-88.740000000000009</c:v>
                </c:pt>
                <c:pt idx="3900">
                  <c:v>-88.641961000000009</c:v>
                </c:pt>
                <c:pt idx="3901">
                  <c:v>-88.544132000000005</c:v>
                </c:pt>
                <c:pt idx="3902">
                  <c:v>-88.446192999999994</c:v>
                </c:pt>
                <c:pt idx="3903">
                  <c:v>-88.348255000000009</c:v>
                </c:pt>
                <c:pt idx="3904">
                  <c:v>-88.250326999999999</c:v>
                </c:pt>
                <c:pt idx="3905">
                  <c:v>-88.15249</c:v>
                </c:pt>
                <c:pt idx="3906">
                  <c:v>-88.054451999999998</c:v>
                </c:pt>
                <c:pt idx="3907">
                  <c:v>-87.956625000000003</c:v>
                </c:pt>
                <c:pt idx="3908">
                  <c:v>-87.858789000000002</c:v>
                </c:pt>
                <c:pt idx="3909">
                  <c:v>-87.760752000000011</c:v>
                </c:pt>
                <c:pt idx="3910">
                  <c:v>-87.662915999999996</c:v>
                </c:pt>
                <c:pt idx="3911">
                  <c:v>-87.564981000000003</c:v>
                </c:pt>
                <c:pt idx="3912">
                  <c:v>-87.467044999999999</c:v>
                </c:pt>
                <c:pt idx="3913">
                  <c:v>-87.369119999999981</c:v>
                </c:pt>
                <c:pt idx="3914">
                  <c:v>-87.271285000000006</c:v>
                </c:pt>
                <c:pt idx="3915">
                  <c:v>-87.173250999999993</c:v>
                </c:pt>
                <c:pt idx="3916">
                  <c:v>-87.075416000000004</c:v>
                </c:pt>
                <c:pt idx="3917">
                  <c:v>-86.977481999999995</c:v>
                </c:pt>
                <c:pt idx="3918">
                  <c:v>-86.879548999999997</c:v>
                </c:pt>
                <c:pt idx="3919">
                  <c:v>-86.781616</c:v>
                </c:pt>
                <c:pt idx="3920">
                  <c:v>-86.683782999999991</c:v>
                </c:pt>
                <c:pt idx="3921">
                  <c:v>-86.585850000000008</c:v>
                </c:pt>
                <c:pt idx="3922">
                  <c:v>-86.487917999999993</c:v>
                </c:pt>
                <c:pt idx="3923">
                  <c:v>-86.390084999999999</c:v>
                </c:pt>
                <c:pt idx="3924">
                  <c:v>-86.292044000000004</c:v>
                </c:pt>
                <c:pt idx="3925">
                  <c:v>-86.194212000000007</c:v>
                </c:pt>
                <c:pt idx="3926">
                  <c:v>-86.096281000000005</c:v>
                </c:pt>
                <c:pt idx="3927">
                  <c:v>-85.998349999999988</c:v>
                </c:pt>
                <c:pt idx="3928">
                  <c:v>-85.900420000000011</c:v>
                </c:pt>
                <c:pt idx="3929">
                  <c:v>-85.802579999999992</c:v>
                </c:pt>
                <c:pt idx="3930">
                  <c:v>-85.704549999999998</c:v>
                </c:pt>
                <c:pt idx="3931">
                  <c:v>-85.606719999999996</c:v>
                </c:pt>
                <c:pt idx="3932">
                  <c:v>-85.508690999999999</c:v>
                </c:pt>
                <c:pt idx="3933">
                  <c:v>-85.410852000000006</c:v>
                </c:pt>
                <c:pt idx="3934">
                  <c:v>-85.313022999999987</c:v>
                </c:pt>
                <c:pt idx="3935">
                  <c:v>-85.214995000000002</c:v>
                </c:pt>
                <c:pt idx="3936">
                  <c:v>-85.117156999999992</c:v>
                </c:pt>
                <c:pt idx="3937">
                  <c:v>-85.019228999999996</c:v>
                </c:pt>
                <c:pt idx="3938">
                  <c:v>-84.921301</c:v>
                </c:pt>
                <c:pt idx="3939">
                  <c:v>-84.823363999999998</c:v>
                </c:pt>
                <c:pt idx="3940">
                  <c:v>-84.725537000000003</c:v>
                </c:pt>
                <c:pt idx="3941">
                  <c:v>-84.627501000000009</c:v>
                </c:pt>
                <c:pt idx="3942">
                  <c:v>-84.529674</c:v>
                </c:pt>
                <c:pt idx="3943">
                  <c:v>-84.431739000000007</c:v>
                </c:pt>
                <c:pt idx="3944">
                  <c:v>-84.333812999999992</c:v>
                </c:pt>
                <c:pt idx="3945">
                  <c:v>-84.235878</c:v>
                </c:pt>
                <c:pt idx="3946">
                  <c:v>-84.13804300000001</c:v>
                </c:pt>
                <c:pt idx="3947">
                  <c:v>-84.040017999999989</c:v>
                </c:pt>
                <c:pt idx="3948">
                  <c:v>-83.942183</c:v>
                </c:pt>
                <c:pt idx="3949">
                  <c:v>-83.844159000000005</c:v>
                </c:pt>
                <c:pt idx="3950">
                  <c:v>-83.746325999999996</c:v>
                </c:pt>
                <c:pt idx="3951">
                  <c:v>-83.648392000000001</c:v>
                </c:pt>
                <c:pt idx="3952">
                  <c:v>-83.550459000000004</c:v>
                </c:pt>
                <c:pt idx="3953">
                  <c:v>-83.452635999999998</c:v>
                </c:pt>
                <c:pt idx="3954">
                  <c:v>-83.354703999999998</c:v>
                </c:pt>
                <c:pt idx="3955">
                  <c:v>-83.256771000000001</c:v>
                </c:pt>
                <c:pt idx="3956">
                  <c:v>-83.158839000000015</c:v>
                </c:pt>
                <c:pt idx="3957">
                  <c:v>-83.061018000000004</c:v>
                </c:pt>
                <c:pt idx="3958">
                  <c:v>-82.962986000000001</c:v>
                </c:pt>
                <c:pt idx="3959">
                  <c:v>-82.865155000000001</c:v>
                </c:pt>
                <c:pt idx="3960">
                  <c:v>-82.767124999999993</c:v>
                </c:pt>
                <c:pt idx="3961">
                  <c:v>-82.669294000000008</c:v>
                </c:pt>
                <c:pt idx="3962">
                  <c:v>-82.571364000000003</c:v>
                </c:pt>
                <c:pt idx="3963">
                  <c:v>-82.473434000000012</c:v>
                </c:pt>
                <c:pt idx="3964">
                  <c:v>-82.37550499999999</c:v>
                </c:pt>
                <c:pt idx="3965">
                  <c:v>-82.277676</c:v>
                </c:pt>
                <c:pt idx="3966">
                  <c:v>-82.179647000000003</c:v>
                </c:pt>
                <c:pt idx="3967">
                  <c:v>-82.081818000000013</c:v>
                </c:pt>
                <c:pt idx="3968">
                  <c:v>-81.983890000000002</c:v>
                </c:pt>
                <c:pt idx="3969">
                  <c:v>-81.885962000000006</c:v>
                </c:pt>
                <c:pt idx="3970">
                  <c:v>-81.78803400000001</c:v>
                </c:pt>
                <c:pt idx="3971">
                  <c:v>-81.690107000000012</c:v>
                </c:pt>
                <c:pt idx="3972">
                  <c:v>-81.592179999999999</c:v>
                </c:pt>
                <c:pt idx="3973">
                  <c:v>-81.494353000000004</c:v>
                </c:pt>
                <c:pt idx="3974">
                  <c:v>-81.396316999999996</c:v>
                </c:pt>
                <c:pt idx="3975">
                  <c:v>-81.298490999999999</c:v>
                </c:pt>
                <c:pt idx="3976">
                  <c:v>-81.200565000000012</c:v>
                </c:pt>
                <c:pt idx="3977">
                  <c:v>-81.102638999999982</c:v>
                </c:pt>
                <c:pt idx="3978">
                  <c:v>-81.004704000000004</c:v>
                </c:pt>
                <c:pt idx="3979">
                  <c:v>-80.906779</c:v>
                </c:pt>
                <c:pt idx="3980">
                  <c:v>-80.808854999999994</c:v>
                </c:pt>
                <c:pt idx="3981">
                  <c:v>-80.711029999999994</c:v>
                </c:pt>
                <c:pt idx="3982">
                  <c:v>-80.61299600000001</c:v>
                </c:pt>
                <c:pt idx="3983">
                  <c:v>-80.51517299999999</c:v>
                </c:pt>
                <c:pt idx="3984">
                  <c:v>-80.417239000000009</c:v>
                </c:pt>
                <c:pt idx="3985">
                  <c:v>-80.319316000000001</c:v>
                </c:pt>
                <c:pt idx="3986">
                  <c:v>-80.221394000000004</c:v>
                </c:pt>
                <c:pt idx="3987">
                  <c:v>-80.123461000000006</c:v>
                </c:pt>
                <c:pt idx="3988">
                  <c:v>-80.025538999999995</c:v>
                </c:pt>
                <c:pt idx="3989">
                  <c:v>-79.927706999999998</c:v>
                </c:pt>
                <c:pt idx="3990">
                  <c:v>-79.829685999999995</c:v>
                </c:pt>
                <c:pt idx="3991">
                  <c:v>-79.731853999999998</c:v>
                </c:pt>
                <c:pt idx="3992">
                  <c:v>-79.633934000000011</c:v>
                </c:pt>
                <c:pt idx="3993">
                  <c:v>-79.536002999999994</c:v>
                </c:pt>
                <c:pt idx="3994">
                  <c:v>-79.438073000000003</c:v>
                </c:pt>
                <c:pt idx="3995">
                  <c:v>-79.340153000000001</c:v>
                </c:pt>
                <c:pt idx="3996">
                  <c:v>-79.242222999999996</c:v>
                </c:pt>
                <c:pt idx="3997">
                  <c:v>-79.144394000000005</c:v>
                </c:pt>
                <c:pt idx="3998">
                  <c:v>-79.046374999999998</c:v>
                </c:pt>
                <c:pt idx="3999">
                  <c:v>-78.948545999999993</c:v>
                </c:pt>
                <c:pt idx="4000">
                  <c:v>-78.850617</c:v>
                </c:pt>
                <c:pt idx="4001">
                  <c:v>-78.752698999999993</c:v>
                </c:pt>
                <c:pt idx="4002">
                  <c:v>-78.654770999999997</c:v>
                </c:pt>
                <c:pt idx="4003">
                  <c:v>-78.556843999999998</c:v>
                </c:pt>
                <c:pt idx="4004">
                  <c:v>-78.458917</c:v>
                </c:pt>
                <c:pt idx="4005">
                  <c:v>-78.361090000000004</c:v>
                </c:pt>
                <c:pt idx="4006">
                  <c:v>-78.263063000000002</c:v>
                </c:pt>
                <c:pt idx="4007">
                  <c:v>-78.165246999999994</c:v>
                </c:pt>
                <c:pt idx="4008">
                  <c:v>-78.067220999999989</c:v>
                </c:pt>
                <c:pt idx="4009">
                  <c:v>-77.969394999999992</c:v>
                </c:pt>
                <c:pt idx="4010">
                  <c:v>-77.871469999999988</c:v>
                </c:pt>
                <c:pt idx="4011">
                  <c:v>-77.773544999999984</c:v>
                </c:pt>
                <c:pt idx="4012">
                  <c:v>-77.675619999999995</c:v>
                </c:pt>
                <c:pt idx="4013">
                  <c:v>-77.577794999999995</c:v>
                </c:pt>
                <c:pt idx="4014">
                  <c:v>-77.479771</c:v>
                </c:pt>
                <c:pt idx="4015">
                  <c:v>-77.381946999999997</c:v>
                </c:pt>
                <c:pt idx="4016">
                  <c:v>-77.283923999999985</c:v>
                </c:pt>
                <c:pt idx="4017">
                  <c:v>-77.186100999999994</c:v>
                </c:pt>
                <c:pt idx="4018">
                  <c:v>-77.088177999999999</c:v>
                </c:pt>
                <c:pt idx="4019">
                  <c:v>-76.990244999999987</c:v>
                </c:pt>
                <c:pt idx="4020">
                  <c:v>-76.892323000000005</c:v>
                </c:pt>
                <c:pt idx="4021">
                  <c:v>-76.794400999999993</c:v>
                </c:pt>
                <c:pt idx="4022">
                  <c:v>-76.696478999999997</c:v>
                </c:pt>
                <c:pt idx="4023">
                  <c:v>-76.598658</c:v>
                </c:pt>
                <c:pt idx="4024">
                  <c:v>-76.500626999999994</c:v>
                </c:pt>
                <c:pt idx="4025">
                  <c:v>-76.402805999999998</c:v>
                </c:pt>
                <c:pt idx="4026">
                  <c:v>-76.304784999999995</c:v>
                </c:pt>
                <c:pt idx="4027">
                  <c:v>-76.206964999999997</c:v>
                </c:pt>
                <c:pt idx="4028">
                  <c:v>-76.109035000000006</c:v>
                </c:pt>
                <c:pt idx="4029">
                  <c:v>-76.011116000000001</c:v>
                </c:pt>
                <c:pt idx="4030">
                  <c:v>-75.913187000000008</c:v>
                </c:pt>
                <c:pt idx="4031">
                  <c:v>-75.815268000000003</c:v>
                </c:pt>
                <c:pt idx="4032">
                  <c:v>-75.717348999999999</c:v>
                </c:pt>
                <c:pt idx="4033">
                  <c:v>-75.619521000000006</c:v>
                </c:pt>
                <c:pt idx="4034">
                  <c:v>-75.52150300000001</c:v>
                </c:pt>
                <c:pt idx="4035">
                  <c:v>-75.423674999999989</c:v>
                </c:pt>
                <c:pt idx="4036">
                  <c:v>-75.32565799999999</c:v>
                </c:pt>
                <c:pt idx="4037">
                  <c:v>-75.227729999999994</c:v>
                </c:pt>
                <c:pt idx="4038">
                  <c:v>-75.129913999999999</c:v>
                </c:pt>
                <c:pt idx="4039">
                  <c:v>-75.031886999999998</c:v>
                </c:pt>
                <c:pt idx="4040">
                  <c:v>-74.934071000000003</c:v>
                </c:pt>
                <c:pt idx="4041">
                  <c:v>-74.836045000000013</c:v>
                </c:pt>
                <c:pt idx="4042">
                  <c:v>-74.738220000000013</c:v>
                </c:pt>
                <c:pt idx="4043">
                  <c:v>-74.640304000000015</c:v>
                </c:pt>
                <c:pt idx="4044">
                  <c:v>-74.542379000000011</c:v>
                </c:pt>
                <c:pt idx="4045">
                  <c:v>-74.444455000000005</c:v>
                </c:pt>
                <c:pt idx="4046">
                  <c:v>-74.346540000000005</c:v>
                </c:pt>
                <c:pt idx="4047">
                  <c:v>-74.248615999999998</c:v>
                </c:pt>
                <c:pt idx="4048">
                  <c:v>-74.150792999999993</c:v>
                </c:pt>
                <c:pt idx="4049">
                  <c:v>-74.052768999999998</c:v>
                </c:pt>
                <c:pt idx="4050">
                  <c:v>-73.954955999999996</c:v>
                </c:pt>
                <c:pt idx="4051">
                  <c:v>-73.856932999999998</c:v>
                </c:pt>
                <c:pt idx="4052">
                  <c:v>-73.759111000000004</c:v>
                </c:pt>
                <c:pt idx="4053">
                  <c:v>-73.661188999999993</c:v>
                </c:pt>
                <c:pt idx="4054">
                  <c:v>-73.563166999999993</c:v>
                </c:pt>
                <c:pt idx="4055">
                  <c:v>-73.465345000000013</c:v>
                </c:pt>
                <c:pt idx="4056">
                  <c:v>-73.367324000000011</c:v>
                </c:pt>
                <c:pt idx="4057">
                  <c:v>-73.269513000000003</c:v>
                </c:pt>
                <c:pt idx="4058">
                  <c:v>-73.171592000000004</c:v>
                </c:pt>
                <c:pt idx="4059">
                  <c:v>-73.073672000000002</c:v>
                </c:pt>
                <c:pt idx="4060">
                  <c:v>-72.975752</c:v>
                </c:pt>
                <c:pt idx="4061">
                  <c:v>-72.877832000000012</c:v>
                </c:pt>
                <c:pt idx="4062">
                  <c:v>-72.779913000000008</c:v>
                </c:pt>
                <c:pt idx="4063">
                  <c:v>-72.682083999999989</c:v>
                </c:pt>
                <c:pt idx="4064">
                  <c:v>-72.584064999999995</c:v>
                </c:pt>
                <c:pt idx="4065">
                  <c:v>-72.486246000000008</c:v>
                </c:pt>
                <c:pt idx="4066">
                  <c:v>-72.388227999999998</c:v>
                </c:pt>
                <c:pt idx="4067">
                  <c:v>-72.290410000000008</c:v>
                </c:pt>
                <c:pt idx="4068">
                  <c:v>-72.192392999999996</c:v>
                </c:pt>
                <c:pt idx="4069">
                  <c:v>-72.094474999999989</c:v>
                </c:pt>
                <c:pt idx="4070">
                  <c:v>-71.996648000000008</c:v>
                </c:pt>
                <c:pt idx="4071">
                  <c:v>-71.898632000000006</c:v>
                </c:pt>
                <c:pt idx="4072">
                  <c:v>-71.800815</c:v>
                </c:pt>
                <c:pt idx="4073">
                  <c:v>-71.702798999999999</c:v>
                </c:pt>
                <c:pt idx="4074">
                  <c:v>-71.604973000000001</c:v>
                </c:pt>
                <c:pt idx="4075">
                  <c:v>-71.507058000000001</c:v>
                </c:pt>
                <c:pt idx="4076">
                  <c:v>-71.409143</c:v>
                </c:pt>
                <c:pt idx="4077">
                  <c:v>-71.311218000000011</c:v>
                </c:pt>
                <c:pt idx="4078">
                  <c:v>-71.213304000000008</c:v>
                </c:pt>
                <c:pt idx="4079">
                  <c:v>-71.115379000000004</c:v>
                </c:pt>
                <c:pt idx="4080">
                  <c:v>-71.017364999999998</c:v>
                </c:pt>
                <c:pt idx="4081">
                  <c:v>-70.91955200000001</c:v>
                </c:pt>
                <c:pt idx="4082">
                  <c:v>-70.821629000000001</c:v>
                </c:pt>
                <c:pt idx="4083">
                  <c:v>-70.723715999999996</c:v>
                </c:pt>
                <c:pt idx="4084">
                  <c:v>-70.625793000000016</c:v>
                </c:pt>
                <c:pt idx="4085">
                  <c:v>-70.527880999999994</c:v>
                </c:pt>
                <c:pt idx="4086">
                  <c:v>-70.429957999999999</c:v>
                </c:pt>
                <c:pt idx="4087">
                  <c:v>-70.332037000000014</c:v>
                </c:pt>
                <c:pt idx="4088">
                  <c:v>-70.234125000000006</c:v>
                </c:pt>
                <c:pt idx="4089">
                  <c:v>-70.136303999999996</c:v>
                </c:pt>
                <c:pt idx="4090">
                  <c:v>-70.038292999999996</c:v>
                </c:pt>
                <c:pt idx="4091">
                  <c:v>-69.940373000000008</c:v>
                </c:pt>
                <c:pt idx="4092">
                  <c:v>-69.842452999999992</c:v>
                </c:pt>
                <c:pt idx="4093">
                  <c:v>-69.744542999999993</c:v>
                </c:pt>
                <c:pt idx="4094">
                  <c:v>-69.646620999999996</c:v>
                </c:pt>
                <c:pt idx="4095">
                  <c:v>-69.548704999999984</c:v>
                </c:pt>
                <c:pt idx="4096">
                  <c:v>-69.450887999999992</c:v>
                </c:pt>
                <c:pt idx="4097">
                  <c:v>-69.352870999999993</c:v>
                </c:pt>
                <c:pt idx="4098">
                  <c:v>-69.255054999999999</c:v>
                </c:pt>
                <c:pt idx="4099">
                  <c:v>-69.157039000000012</c:v>
                </c:pt>
                <c:pt idx="4100">
                  <c:v>-69.059122000000002</c:v>
                </c:pt>
                <c:pt idx="4101">
                  <c:v>-68.961205000000007</c:v>
                </c:pt>
                <c:pt idx="4102">
                  <c:v>-68.863289999999992</c:v>
                </c:pt>
                <c:pt idx="4103">
                  <c:v>-68.765473</c:v>
                </c:pt>
                <c:pt idx="4104">
                  <c:v>-68.667457999999996</c:v>
                </c:pt>
                <c:pt idx="4105">
                  <c:v>-68.569642000000002</c:v>
                </c:pt>
                <c:pt idx="4106">
                  <c:v>-68.471626999999998</c:v>
                </c:pt>
                <c:pt idx="4107">
                  <c:v>-68.373811000000003</c:v>
                </c:pt>
                <c:pt idx="4108">
                  <c:v>-68.275794999999988</c:v>
                </c:pt>
                <c:pt idx="4109">
                  <c:v>-68.177880000000002</c:v>
                </c:pt>
                <c:pt idx="4110">
                  <c:v>-68.080063999999993</c:v>
                </c:pt>
                <c:pt idx="4111">
                  <c:v>-67.982049000000004</c:v>
                </c:pt>
                <c:pt idx="4112">
                  <c:v>-67.884233999999992</c:v>
                </c:pt>
                <c:pt idx="4113">
                  <c:v>-67.786219000000017</c:v>
                </c:pt>
                <c:pt idx="4114">
                  <c:v>-67.688403000000008</c:v>
                </c:pt>
                <c:pt idx="4115">
                  <c:v>-67.590388799999999</c:v>
                </c:pt>
                <c:pt idx="4116">
                  <c:v>-67.492473799999999</c:v>
                </c:pt>
                <c:pt idx="4117">
                  <c:v>-67.394659689999997</c:v>
                </c:pt>
                <c:pt idx="4118">
                  <c:v>-67.296644299999997</c:v>
                </c:pt>
                <c:pt idx="4119">
                  <c:v>-67.198830799999996</c:v>
                </c:pt>
                <c:pt idx="4120">
                  <c:v>-67.100816000000009</c:v>
                </c:pt>
                <c:pt idx="4121">
                  <c:v>-67.003002000000009</c:v>
                </c:pt>
                <c:pt idx="4122">
                  <c:v>-66.904988000000003</c:v>
                </c:pt>
                <c:pt idx="4123">
                  <c:v>-66.807172999999992</c:v>
                </c:pt>
                <c:pt idx="4124">
                  <c:v>-66.709159</c:v>
                </c:pt>
                <c:pt idx="4125">
                  <c:v>-66.611245000000011</c:v>
                </c:pt>
                <c:pt idx="4126">
                  <c:v>-66.513432000000009</c:v>
                </c:pt>
                <c:pt idx="4127">
                  <c:v>-66.415418000000003</c:v>
                </c:pt>
                <c:pt idx="4128">
                  <c:v>-66.317604000000003</c:v>
                </c:pt>
                <c:pt idx="4129">
                  <c:v>-66.219589999999997</c:v>
                </c:pt>
                <c:pt idx="4130">
                  <c:v>-66.121777000000009</c:v>
                </c:pt>
                <c:pt idx="4131">
                  <c:v>-66.023762999999988</c:v>
                </c:pt>
                <c:pt idx="4132">
                  <c:v>-65.925849999999997</c:v>
                </c:pt>
                <c:pt idx="4133">
                  <c:v>-65.827937999999989</c:v>
                </c:pt>
                <c:pt idx="4134">
                  <c:v>-65.730024</c:v>
                </c:pt>
                <c:pt idx="4135">
                  <c:v>-65.632210999999998</c:v>
                </c:pt>
                <c:pt idx="4136">
                  <c:v>-65.534199000000001</c:v>
                </c:pt>
                <c:pt idx="4137">
                  <c:v>-65.436385000000001</c:v>
                </c:pt>
                <c:pt idx="4138">
                  <c:v>-65.338373000000004</c:v>
                </c:pt>
                <c:pt idx="4139">
                  <c:v>-65.240459999999999</c:v>
                </c:pt>
                <c:pt idx="4140">
                  <c:v>-65.142548000000005</c:v>
                </c:pt>
                <c:pt idx="4141">
                  <c:v>-65.044638000000006</c:v>
                </c:pt>
                <c:pt idx="4142">
                  <c:v>-64.946723000000006</c:v>
                </c:pt>
                <c:pt idx="4143">
                  <c:v>-64.848807999999991</c:v>
                </c:pt>
                <c:pt idx="4144">
                  <c:v>-64.750894000000002</c:v>
                </c:pt>
                <c:pt idx="4145">
                  <c:v>-64.652989999999988</c:v>
                </c:pt>
                <c:pt idx="4146">
                  <c:v>-64.555076</c:v>
                </c:pt>
                <c:pt idx="4147">
                  <c:v>-64.457163000000008</c:v>
                </c:pt>
                <c:pt idx="4148">
                  <c:v>-64.359250000000003</c:v>
                </c:pt>
                <c:pt idx="4149">
                  <c:v>-64.261336999999997</c:v>
                </c:pt>
                <c:pt idx="4150">
                  <c:v>-64.163425000000004</c:v>
                </c:pt>
                <c:pt idx="4151">
                  <c:v>-64.065413000000007</c:v>
                </c:pt>
                <c:pt idx="4152">
                  <c:v>-63.967601000000009</c:v>
                </c:pt>
                <c:pt idx="4153">
                  <c:v>-63.869588999999998</c:v>
                </c:pt>
                <c:pt idx="4154">
                  <c:v>-63.771777999999998</c:v>
                </c:pt>
                <c:pt idx="4155">
                  <c:v>-63.673867000000008</c:v>
                </c:pt>
                <c:pt idx="4156">
                  <c:v>-63.575857000000006</c:v>
                </c:pt>
                <c:pt idx="4157">
                  <c:v>-63.478046000000006</c:v>
                </c:pt>
                <c:pt idx="4158">
                  <c:v>-63.380035999999997</c:v>
                </c:pt>
                <c:pt idx="4159">
                  <c:v>-63.282226999999992</c:v>
                </c:pt>
                <c:pt idx="4160">
                  <c:v>-63.184217000000004</c:v>
                </c:pt>
                <c:pt idx="4161">
                  <c:v>-63.086407999999999</c:v>
                </c:pt>
                <c:pt idx="4162">
                  <c:v>-62.988399000000001</c:v>
                </c:pt>
                <c:pt idx="4163">
                  <c:v>-62.890481000000008</c:v>
                </c:pt>
                <c:pt idx="4164">
                  <c:v>-62.792572999999997</c:v>
                </c:pt>
                <c:pt idx="4165">
                  <c:v>-62.694665000000008</c:v>
                </c:pt>
                <c:pt idx="4166">
                  <c:v>-62.596757999999994</c:v>
                </c:pt>
                <c:pt idx="4167">
                  <c:v>-62.498849999999997</c:v>
                </c:pt>
                <c:pt idx="4168">
                  <c:v>-62.400933000000002</c:v>
                </c:pt>
                <c:pt idx="4169">
                  <c:v>-62.303027</c:v>
                </c:pt>
                <c:pt idx="4170">
                  <c:v>-62.205120999999998</c:v>
                </c:pt>
                <c:pt idx="4171">
                  <c:v>-62.107205</c:v>
                </c:pt>
                <c:pt idx="4172">
                  <c:v>-62.009298999999999</c:v>
                </c:pt>
                <c:pt idx="4173">
                  <c:v>-61.909676999999988</c:v>
                </c:pt>
                <c:pt idx="4174">
                  <c:v>-61.809994000000003</c:v>
                </c:pt>
                <c:pt idx="4175">
                  <c:v>-61.710210000000004</c:v>
                </c:pt>
                <c:pt idx="4176">
                  <c:v>-61.610526999999998</c:v>
                </c:pt>
                <c:pt idx="4177">
                  <c:v>-61.510845000000003</c:v>
                </c:pt>
                <c:pt idx="4178">
                  <c:v>-61.411162000000012</c:v>
                </c:pt>
                <c:pt idx="4179">
                  <c:v>-61.311480999999993</c:v>
                </c:pt>
                <c:pt idx="4180">
                  <c:v>-61.211699000000003</c:v>
                </c:pt>
                <c:pt idx="4181">
                  <c:v>-61.112017999999999</c:v>
                </c:pt>
                <c:pt idx="4182">
                  <c:v>-61.012336999999995</c:v>
                </c:pt>
                <c:pt idx="4183">
                  <c:v>-60.912647</c:v>
                </c:pt>
                <c:pt idx="4184">
                  <c:v>-60.812966999999993</c:v>
                </c:pt>
                <c:pt idx="4185">
                  <c:v>-60.713187000000005</c:v>
                </c:pt>
                <c:pt idx="4186">
                  <c:v>-60.613507999999996</c:v>
                </c:pt>
                <c:pt idx="4187">
                  <c:v>-60.513818999999998</c:v>
                </c:pt>
                <c:pt idx="4188">
                  <c:v>-60.414139999999996</c:v>
                </c:pt>
                <c:pt idx="4189">
                  <c:v>-60.314461999999999</c:v>
                </c:pt>
                <c:pt idx="4190">
                  <c:v>-60.214674000000002</c:v>
                </c:pt>
                <c:pt idx="4191">
                  <c:v>-60.114997000000002</c:v>
                </c:pt>
                <c:pt idx="4192">
                  <c:v>-60.015310000000007</c:v>
                </c:pt>
                <c:pt idx="4193">
                  <c:v>-59.915633</c:v>
                </c:pt>
                <c:pt idx="4194">
                  <c:v>-59.815746999999995</c:v>
                </c:pt>
                <c:pt idx="4195">
                  <c:v>-59.716070999999999</c:v>
                </c:pt>
                <c:pt idx="4196">
                  <c:v>-59.616385000000001</c:v>
                </c:pt>
                <c:pt idx="4197">
                  <c:v>-59.516709999999989</c:v>
                </c:pt>
                <c:pt idx="4198">
                  <c:v>-59.417025000000002</c:v>
                </c:pt>
                <c:pt idx="4199">
                  <c:v>-59.31724100000001</c:v>
                </c:pt>
                <c:pt idx="4200">
                  <c:v>-59.217567000000003</c:v>
                </c:pt>
                <c:pt idx="4201">
                  <c:v>-59.117882999999992</c:v>
                </c:pt>
                <c:pt idx="4202">
                  <c:v>-59.018200000000007</c:v>
                </c:pt>
                <c:pt idx="4203">
                  <c:v>-58.918516999999994</c:v>
                </c:pt>
                <c:pt idx="4204">
                  <c:v>-58.818744000000009</c:v>
                </c:pt>
                <c:pt idx="4205">
                  <c:v>-58.719062000000001</c:v>
                </c:pt>
                <c:pt idx="4206">
                  <c:v>-58.619380000000007</c:v>
                </c:pt>
                <c:pt idx="4207">
                  <c:v>-58.519698999999996</c:v>
                </c:pt>
                <c:pt idx="4208">
                  <c:v>-58.420017999999999</c:v>
                </c:pt>
                <c:pt idx="4209">
                  <c:v>-58.320237000000006</c:v>
                </c:pt>
                <c:pt idx="4210">
                  <c:v>-58.220556999999992</c:v>
                </c:pt>
                <c:pt idx="4211">
                  <c:v>-58.120877000000007</c:v>
                </c:pt>
                <c:pt idx="4212">
                  <c:v>-58.021196999999994</c:v>
                </c:pt>
                <c:pt idx="4213">
                  <c:v>-57.921417999999996</c:v>
                </c:pt>
                <c:pt idx="4214">
                  <c:v>-57.821738999999994</c:v>
                </c:pt>
                <c:pt idx="4215">
                  <c:v>-57.722061000000004</c:v>
                </c:pt>
                <c:pt idx="4216">
                  <c:v>-57.622382999999999</c:v>
                </c:pt>
                <c:pt idx="4217">
                  <c:v>-57.522704999999995</c:v>
                </c:pt>
                <c:pt idx="4218">
                  <c:v>-57.422917999999996</c:v>
                </c:pt>
                <c:pt idx="4219">
                  <c:v>-57.323241000000003</c:v>
                </c:pt>
                <c:pt idx="4220">
                  <c:v>-57.223564000000003</c:v>
                </c:pt>
                <c:pt idx="4221">
                  <c:v>-57.123877999999998</c:v>
                </c:pt>
                <c:pt idx="4222">
                  <c:v>-57.024202000000002</c:v>
                </c:pt>
                <c:pt idx="4223">
                  <c:v>-56.924426000000004</c:v>
                </c:pt>
                <c:pt idx="4224">
                  <c:v>-56.824740999999996</c:v>
                </c:pt>
                <c:pt idx="4225">
                  <c:v>-56.725066999999996</c:v>
                </c:pt>
                <c:pt idx="4226">
                  <c:v>-56.625282000000006</c:v>
                </c:pt>
                <c:pt idx="4227">
                  <c:v>-56.525507999999995</c:v>
                </c:pt>
                <c:pt idx="4228">
                  <c:v>-56.425825000000003</c:v>
                </c:pt>
                <c:pt idx="4229">
                  <c:v>-56.326152</c:v>
                </c:pt>
                <c:pt idx="4230">
                  <c:v>-56.226469000000009</c:v>
                </c:pt>
                <c:pt idx="4231">
                  <c:v>-56.126796000000006</c:v>
                </c:pt>
                <c:pt idx="4232">
                  <c:v>-56.027014000000001</c:v>
                </c:pt>
                <c:pt idx="4233">
                  <c:v>-55.927332</c:v>
                </c:pt>
                <c:pt idx="4234">
                  <c:v>-55.827660999999999</c:v>
                </c:pt>
                <c:pt idx="4235">
                  <c:v>-55.727980000000002</c:v>
                </c:pt>
                <c:pt idx="4236">
                  <c:v>-55.628298999999991</c:v>
                </c:pt>
                <c:pt idx="4237">
                  <c:v>-55.528519000000003</c:v>
                </c:pt>
                <c:pt idx="4238">
                  <c:v>-55.428849</c:v>
                </c:pt>
                <c:pt idx="4239">
                  <c:v>-55.329169999999998</c:v>
                </c:pt>
                <c:pt idx="4240">
                  <c:v>-55.229491000000003</c:v>
                </c:pt>
                <c:pt idx="4241">
                  <c:v>-55.129712000000005</c:v>
                </c:pt>
                <c:pt idx="4242">
                  <c:v>-55.030033999999993</c:v>
                </c:pt>
                <c:pt idx="4243">
                  <c:v>-54.930355999999996</c:v>
                </c:pt>
                <c:pt idx="4244">
                  <c:v>-54.830677999999999</c:v>
                </c:pt>
                <c:pt idx="4245">
                  <c:v>-54.731000999999999</c:v>
                </c:pt>
                <c:pt idx="4246">
                  <c:v>-54.631223999999996</c:v>
                </c:pt>
                <c:pt idx="4247">
                  <c:v>-54.531447</c:v>
                </c:pt>
                <c:pt idx="4248">
                  <c:v>-54.431770999999998</c:v>
                </c:pt>
                <c:pt idx="4249">
                  <c:v>-54.332094999999995</c:v>
                </c:pt>
                <c:pt idx="4250">
                  <c:v>-54.232420000000005</c:v>
                </c:pt>
                <c:pt idx="4251">
                  <c:v>-54.132634999999993</c:v>
                </c:pt>
                <c:pt idx="4252">
                  <c:v>-54.032960000000003</c:v>
                </c:pt>
                <c:pt idx="4253">
                  <c:v>-53.933286000000003</c:v>
                </c:pt>
                <c:pt idx="4254">
                  <c:v>-53.833612000000002</c:v>
                </c:pt>
                <c:pt idx="4255">
                  <c:v>-53.733829</c:v>
                </c:pt>
                <c:pt idx="4256">
                  <c:v>-53.634155999999997</c:v>
                </c:pt>
                <c:pt idx="4257">
                  <c:v>-53.534472999999998</c:v>
                </c:pt>
                <c:pt idx="4258">
                  <c:v>-53.434799999999996</c:v>
                </c:pt>
                <c:pt idx="4259">
                  <c:v>-53.335127999999997</c:v>
                </c:pt>
                <c:pt idx="4260">
                  <c:v>-53.235347000000004</c:v>
                </c:pt>
                <c:pt idx="4261">
                  <c:v>-53.135674999999999</c:v>
                </c:pt>
                <c:pt idx="4262">
                  <c:v>-53.035994999999993</c:v>
                </c:pt>
                <c:pt idx="4263">
                  <c:v>-52.936223999999996</c:v>
                </c:pt>
                <c:pt idx="4264">
                  <c:v>-52.836444</c:v>
                </c:pt>
                <c:pt idx="4265">
                  <c:v>-52.736764000000001</c:v>
                </c:pt>
                <c:pt idx="4266">
                  <c:v>-52.637095000000002</c:v>
                </c:pt>
                <c:pt idx="4267">
                  <c:v>-52.537416</c:v>
                </c:pt>
                <c:pt idx="4268">
                  <c:v>-52.437736999999998</c:v>
                </c:pt>
                <c:pt idx="4269">
                  <c:v>-52.337969000000001</c:v>
                </c:pt>
                <c:pt idx="4270">
                  <c:v>-52.238290999999997</c:v>
                </c:pt>
                <c:pt idx="4271">
                  <c:v>-52.138613000000007</c:v>
                </c:pt>
                <c:pt idx="4272">
                  <c:v>-52.038936000000007</c:v>
                </c:pt>
                <c:pt idx="4273">
                  <c:v>-51.939159000000004</c:v>
                </c:pt>
                <c:pt idx="4274">
                  <c:v>-51.839483000000001</c:v>
                </c:pt>
                <c:pt idx="4275">
                  <c:v>-51.739817000000002</c:v>
                </c:pt>
                <c:pt idx="4276">
                  <c:v>-51.640141000000007</c:v>
                </c:pt>
                <c:pt idx="4277">
                  <c:v>-51.540365999999999</c:v>
                </c:pt>
                <c:pt idx="4278">
                  <c:v>-51.440591000000005</c:v>
                </c:pt>
                <c:pt idx="4279">
                  <c:v>-51.340915999999993</c:v>
                </c:pt>
                <c:pt idx="4280">
                  <c:v>-51.241242</c:v>
                </c:pt>
                <c:pt idx="4281">
                  <c:v>-51.141558000000003</c:v>
                </c:pt>
                <c:pt idx="4282">
                  <c:v>-51.041784999999997</c:v>
                </c:pt>
                <c:pt idx="4283">
                  <c:v>-50.942111999999995</c:v>
                </c:pt>
                <c:pt idx="4284">
                  <c:v>-50.842439000000006</c:v>
                </c:pt>
                <c:pt idx="4285">
                  <c:v>-50.742767000000001</c:v>
                </c:pt>
                <c:pt idx="4286">
                  <c:v>-50.643094999999995</c:v>
                </c:pt>
                <c:pt idx="4287">
                  <c:v>-50.543313000000005</c:v>
                </c:pt>
                <c:pt idx="4288">
                  <c:v>-50.443641999999997</c:v>
                </c:pt>
                <c:pt idx="4289">
                  <c:v>-50.343971000000003</c:v>
                </c:pt>
                <c:pt idx="4290">
                  <c:v>-50.244191000000001</c:v>
                </c:pt>
                <c:pt idx="4291">
                  <c:v>-50.144420999999994</c:v>
                </c:pt>
                <c:pt idx="4292">
                  <c:v>-50.044740999999995</c:v>
                </c:pt>
                <c:pt idx="4293">
                  <c:v>-49.945072000000003</c:v>
                </c:pt>
                <c:pt idx="4294">
                  <c:v>-49.845393000000001</c:v>
                </c:pt>
                <c:pt idx="4295">
                  <c:v>-49.745723999999996</c:v>
                </c:pt>
                <c:pt idx="4296">
                  <c:v>-49.645945999999995</c:v>
                </c:pt>
                <c:pt idx="4297">
                  <c:v>-49.546278000000008</c:v>
                </c:pt>
                <c:pt idx="4298">
                  <c:v>-49.446601000000001</c:v>
                </c:pt>
                <c:pt idx="4299">
                  <c:v>-49.346933999999997</c:v>
                </c:pt>
                <c:pt idx="4300">
                  <c:v>-49.247157000000001</c:v>
                </c:pt>
                <c:pt idx="4301">
                  <c:v>-49.147381000000003</c:v>
                </c:pt>
                <c:pt idx="4302">
                  <c:v>-49.047714999999997</c:v>
                </c:pt>
                <c:pt idx="4303">
                  <c:v>-48.948038999999994</c:v>
                </c:pt>
                <c:pt idx="4304">
                  <c:v>-48.848364000000004</c:v>
                </c:pt>
                <c:pt idx="4305">
                  <c:v>-48.748588999999996</c:v>
                </c:pt>
                <c:pt idx="4306">
                  <c:v>-48.648915000000002</c:v>
                </c:pt>
                <c:pt idx="4307">
                  <c:v>-48.549250999999998</c:v>
                </c:pt>
                <c:pt idx="4308">
                  <c:v>-48.449577000000005</c:v>
                </c:pt>
                <c:pt idx="4309">
                  <c:v>-48.349803999999999</c:v>
                </c:pt>
                <c:pt idx="4310">
                  <c:v>-48.250131000000003</c:v>
                </c:pt>
                <c:pt idx="4311">
                  <c:v>-48.150458</c:v>
                </c:pt>
                <c:pt idx="4312">
                  <c:v>-48.050685999999992</c:v>
                </c:pt>
                <c:pt idx="4313">
                  <c:v>-47.951013999999994</c:v>
                </c:pt>
                <c:pt idx="4314">
                  <c:v>-47.851241999999999</c:v>
                </c:pt>
                <c:pt idx="4315">
                  <c:v>-47.751570999999998</c:v>
                </c:pt>
                <c:pt idx="4316">
                  <c:v>-47.651890999999999</c:v>
                </c:pt>
                <c:pt idx="4317">
                  <c:v>-47.552220000000005</c:v>
                </c:pt>
                <c:pt idx="4318">
                  <c:v>-47.452450000000006</c:v>
                </c:pt>
                <c:pt idx="4319">
                  <c:v>-47.352780999999993</c:v>
                </c:pt>
                <c:pt idx="4320">
                  <c:v>-47.253110999999997</c:v>
                </c:pt>
                <c:pt idx="4321">
                  <c:v>-47.153333000000003</c:v>
                </c:pt>
                <c:pt idx="4322">
                  <c:v>-47.053563999999994</c:v>
                </c:pt>
                <c:pt idx="4323">
                  <c:v>-46.953896000000007</c:v>
                </c:pt>
                <c:pt idx="4324">
                  <c:v>-46.854217999999996</c:v>
                </c:pt>
                <c:pt idx="4325">
                  <c:v>-46.754551000000006</c:v>
                </c:pt>
                <c:pt idx="4326">
                  <c:v>-46.654874</c:v>
                </c:pt>
                <c:pt idx="4327">
                  <c:v>-46.555107</c:v>
                </c:pt>
                <c:pt idx="4328">
                  <c:v>-46.455430999999997</c:v>
                </c:pt>
                <c:pt idx="4329">
                  <c:v>-46.355764999999998</c:v>
                </c:pt>
                <c:pt idx="4330">
                  <c:v>-46.25609</c:v>
                </c:pt>
                <c:pt idx="4331">
                  <c:v>-46.156225000000006</c:v>
                </c:pt>
                <c:pt idx="4332">
                  <c:v>-46.056549999999994</c:v>
                </c:pt>
                <c:pt idx="4333">
                  <c:v>-45.956884999999993</c:v>
                </c:pt>
                <c:pt idx="4334">
                  <c:v>-45.857211000000007</c:v>
                </c:pt>
                <c:pt idx="4335">
                  <c:v>-45.757537999999997</c:v>
                </c:pt>
                <c:pt idx="4336">
                  <c:v>-45.657764</c:v>
                </c:pt>
                <c:pt idx="4337">
                  <c:v>-45.558101999999991</c:v>
                </c:pt>
                <c:pt idx="4338">
                  <c:v>-45.458429000000002</c:v>
                </c:pt>
                <c:pt idx="4339">
                  <c:v>-45.358657000000001</c:v>
                </c:pt>
                <c:pt idx="4340">
                  <c:v>-45.258885000000006</c:v>
                </c:pt>
                <c:pt idx="4341">
                  <c:v>-45.159213999999999</c:v>
                </c:pt>
                <c:pt idx="4342">
                  <c:v>-45.059542999999998</c:v>
                </c:pt>
                <c:pt idx="4343">
                  <c:v>-44.959881999999993</c:v>
                </c:pt>
                <c:pt idx="4344">
                  <c:v>-44.860112000000008</c:v>
                </c:pt>
                <c:pt idx="4345">
                  <c:v>-44.760441999999998</c:v>
                </c:pt>
                <c:pt idx="4346">
                  <c:v>-44.660771999999994</c:v>
                </c:pt>
                <c:pt idx="4347">
                  <c:v>-44.561093</c:v>
                </c:pt>
                <c:pt idx="4348">
                  <c:v>-44.461324999999995</c:v>
                </c:pt>
                <c:pt idx="4349">
                  <c:v>-44.361556</c:v>
                </c:pt>
                <c:pt idx="4350">
                  <c:v>-44.261887999999999</c:v>
                </c:pt>
                <c:pt idx="4351">
                  <c:v>-44.162220000000005</c:v>
                </c:pt>
                <c:pt idx="4352">
                  <c:v>-44.062553000000001</c:v>
                </c:pt>
                <c:pt idx="4353">
                  <c:v>-43.962775999999998</c:v>
                </c:pt>
                <c:pt idx="4354">
                  <c:v>-43.863109999999992</c:v>
                </c:pt>
                <c:pt idx="4355">
                  <c:v>-43.763444000000007</c:v>
                </c:pt>
                <c:pt idx="4356">
                  <c:v>-43.663677999999997</c:v>
                </c:pt>
                <c:pt idx="4357">
                  <c:v>-43.563902000000006</c:v>
                </c:pt>
                <c:pt idx="4358">
                  <c:v>-43.464236999999997</c:v>
                </c:pt>
                <c:pt idx="4359">
                  <c:v>-43.364562999999997</c:v>
                </c:pt>
                <c:pt idx="4360">
                  <c:v>-43.264898000000009</c:v>
                </c:pt>
                <c:pt idx="4361">
                  <c:v>-43.165234999999996</c:v>
                </c:pt>
                <c:pt idx="4362">
                  <c:v>-43.065460999999999</c:v>
                </c:pt>
                <c:pt idx="4363">
                  <c:v>-42.965697999999996</c:v>
                </c:pt>
                <c:pt idx="4364">
                  <c:v>-42.866025</c:v>
                </c:pt>
                <c:pt idx="4365">
                  <c:v>-42.766352999999995</c:v>
                </c:pt>
                <c:pt idx="4366">
                  <c:v>-42.666590999999997</c:v>
                </c:pt>
                <c:pt idx="4367">
                  <c:v>-42.566918999999999</c:v>
                </c:pt>
                <c:pt idx="4368">
                  <c:v>-42.467247999999998</c:v>
                </c:pt>
                <c:pt idx="4369">
                  <c:v>-42.367587</c:v>
                </c:pt>
                <c:pt idx="4370">
                  <c:v>-42.267815999999996</c:v>
                </c:pt>
                <c:pt idx="4371">
                  <c:v>-42.168045999999997</c:v>
                </c:pt>
                <c:pt idx="4372">
                  <c:v>-42.068376000000001</c:v>
                </c:pt>
                <c:pt idx="4373">
                  <c:v>-41.968716999999998</c:v>
                </c:pt>
                <c:pt idx="4374">
                  <c:v>-41.867905</c:v>
                </c:pt>
                <c:pt idx="4375">
                  <c:v>-41.766811000000004</c:v>
                </c:pt>
                <c:pt idx="4376">
                  <c:v>-41.665746000000006</c:v>
                </c:pt>
                <c:pt idx="4377">
                  <c:v>-41.564692000000001</c:v>
                </c:pt>
                <c:pt idx="4378">
                  <c:v>-41.463729000000001</c:v>
                </c:pt>
                <c:pt idx="4379">
                  <c:v>-41.362666000000004</c:v>
                </c:pt>
                <c:pt idx="4380">
                  <c:v>-41.261603999999991</c:v>
                </c:pt>
                <c:pt idx="4381">
                  <c:v>-41.160641999999996</c:v>
                </c:pt>
                <c:pt idx="4382">
                  <c:v>-41.059579999999997</c:v>
                </c:pt>
                <c:pt idx="4383">
                  <c:v>-40.958618999999999</c:v>
                </c:pt>
                <c:pt idx="4384">
                  <c:v>-40.857459000000006</c:v>
                </c:pt>
                <c:pt idx="4385">
                  <c:v>-40.756496999999996</c:v>
                </c:pt>
                <c:pt idx="4386">
                  <c:v>-40.655437999999997</c:v>
                </c:pt>
                <c:pt idx="4387">
                  <c:v>-40.554478999999994</c:v>
                </c:pt>
                <c:pt idx="4388">
                  <c:v>-40.453420000000001</c:v>
                </c:pt>
                <c:pt idx="4389">
                  <c:v>-40.352460999999998</c:v>
                </c:pt>
                <c:pt idx="4390">
                  <c:v>-40.251403000000003</c:v>
                </c:pt>
                <c:pt idx="4391">
                  <c:v>-40.150444999999991</c:v>
                </c:pt>
                <c:pt idx="4392">
                  <c:v>-40.049277999999994</c:v>
                </c:pt>
                <c:pt idx="4393">
                  <c:v>-39.948320999999993</c:v>
                </c:pt>
                <c:pt idx="4394">
                  <c:v>-39.847265</c:v>
                </c:pt>
                <c:pt idx="4395">
                  <c:v>-39.746199000000004</c:v>
                </c:pt>
                <c:pt idx="4396">
                  <c:v>-39.645243000000008</c:v>
                </c:pt>
                <c:pt idx="4397">
                  <c:v>-39.544187999999998</c:v>
                </c:pt>
                <c:pt idx="4398">
                  <c:v>-39.443223000000003</c:v>
                </c:pt>
                <c:pt idx="4399">
                  <c:v>-39.342168999999998</c:v>
                </c:pt>
                <c:pt idx="4400">
                  <c:v>-39.241104</c:v>
                </c:pt>
                <c:pt idx="4401">
                  <c:v>-39.140051999999997</c:v>
                </c:pt>
                <c:pt idx="4402">
                  <c:v>-39.039088000000007</c:v>
                </c:pt>
                <c:pt idx="4403">
                  <c:v>-38.938035999999997</c:v>
                </c:pt>
                <c:pt idx="4404">
                  <c:v>-38.837073000000004</c:v>
                </c:pt>
                <c:pt idx="4405">
                  <c:v>-38.736010999999998</c:v>
                </c:pt>
                <c:pt idx="4406">
                  <c:v>-38.63496</c:v>
                </c:pt>
                <c:pt idx="4407">
                  <c:v>-38.533998999999994</c:v>
                </c:pt>
                <c:pt idx="4408">
                  <c:v>-38.432839000000001</c:v>
                </c:pt>
                <c:pt idx="4409">
                  <c:v>-38.331878999999994</c:v>
                </c:pt>
                <c:pt idx="4410">
                  <c:v>-38.230819000000004</c:v>
                </c:pt>
                <c:pt idx="4411">
                  <c:v>-38.129860000000001</c:v>
                </c:pt>
                <c:pt idx="4412">
                  <c:v>-38.028810999999997</c:v>
                </c:pt>
                <c:pt idx="4413">
                  <c:v>-37.927852999999999</c:v>
                </c:pt>
                <c:pt idx="4414">
                  <c:v>-37.826795000000004</c:v>
                </c:pt>
                <c:pt idx="4415">
                  <c:v>-37.725737000000002</c:v>
                </c:pt>
                <c:pt idx="4416">
                  <c:v>-37.624679999999998</c:v>
                </c:pt>
                <c:pt idx="4417">
                  <c:v>-37.523623000000001</c:v>
                </c:pt>
                <c:pt idx="4418">
                  <c:v>-37.422657000000001</c:v>
                </c:pt>
                <c:pt idx="4419">
                  <c:v>-37.321602000000006</c:v>
                </c:pt>
                <c:pt idx="4420">
                  <c:v>-37.220645999999995</c:v>
                </c:pt>
                <c:pt idx="4421">
                  <c:v>-37.119591</c:v>
                </c:pt>
                <c:pt idx="4422">
                  <c:v>-37.018636999999998</c:v>
                </c:pt>
                <c:pt idx="4423">
                  <c:v>-36.917472000000004</c:v>
                </c:pt>
                <c:pt idx="4424">
                  <c:v>-36.816418999999996</c:v>
                </c:pt>
                <c:pt idx="4425">
                  <c:v>-36.715466000000006</c:v>
                </c:pt>
                <c:pt idx="4426">
                  <c:v>-36.614402000000005</c:v>
                </c:pt>
                <c:pt idx="4427">
                  <c:v>-36.513449999999999</c:v>
                </c:pt>
                <c:pt idx="4428">
                  <c:v>-36.412397999999996</c:v>
                </c:pt>
                <c:pt idx="4429">
                  <c:v>-36.311436999999998</c:v>
                </c:pt>
                <c:pt idx="4430">
                  <c:v>-36.210386000000007</c:v>
                </c:pt>
                <c:pt idx="4431">
                  <c:v>-36.109224999999995</c:v>
                </c:pt>
                <c:pt idx="4432">
                  <c:v>-36.008275000000005</c:v>
                </c:pt>
                <c:pt idx="4433">
                  <c:v>-35.907215000000001</c:v>
                </c:pt>
                <c:pt idx="4434">
                  <c:v>-35.806255</c:v>
                </c:pt>
                <c:pt idx="4435">
                  <c:v>-35.705204999999999</c:v>
                </c:pt>
                <c:pt idx="4436">
                  <c:v>-35.604247000000001</c:v>
                </c:pt>
                <c:pt idx="4437">
                  <c:v>-35.503188999999999</c:v>
                </c:pt>
                <c:pt idx="4438">
                  <c:v>-35.402132000000002</c:v>
                </c:pt>
                <c:pt idx="4439">
                  <c:v>-35.301084000000003</c:v>
                </c:pt>
                <c:pt idx="4440">
                  <c:v>-35.200025999999994</c:v>
                </c:pt>
                <c:pt idx="4441">
                  <c:v>-35.099069999999998</c:v>
                </c:pt>
                <c:pt idx="4442">
                  <c:v>-34.998015000000002</c:v>
                </c:pt>
                <c:pt idx="4443">
                  <c:v>-34.896958999999995</c:v>
                </c:pt>
                <c:pt idx="4444">
                  <c:v>-34.796004000000003</c:v>
                </c:pt>
                <c:pt idx="4445">
                  <c:v>-34.694949000000008</c:v>
                </c:pt>
                <c:pt idx="4446">
                  <c:v>-34.593995</c:v>
                </c:pt>
                <c:pt idx="4447">
                  <c:v>-34.492840999999999</c:v>
                </c:pt>
                <c:pt idx="4448">
                  <c:v>-34.391888000000002</c:v>
                </c:pt>
                <c:pt idx="4449">
                  <c:v>-34.290832999999999</c:v>
                </c:pt>
                <c:pt idx="4450">
                  <c:v>-34.189782000000008</c:v>
                </c:pt>
                <c:pt idx="4451">
                  <c:v>-34.088829000000004</c:v>
                </c:pt>
                <c:pt idx="4452">
                  <c:v>-33.987768000000003</c:v>
                </c:pt>
                <c:pt idx="4453">
                  <c:v>-33.886816000000003</c:v>
                </c:pt>
                <c:pt idx="4454">
                  <c:v>-33.785665999999999</c:v>
                </c:pt>
                <c:pt idx="4455">
                  <c:v>-33.684614999999994</c:v>
                </c:pt>
                <c:pt idx="4456">
                  <c:v>-33.583653999999996</c:v>
                </c:pt>
                <c:pt idx="4457">
                  <c:v>-33.482603999999995</c:v>
                </c:pt>
                <c:pt idx="4458">
                  <c:v>-33.381646000000003</c:v>
                </c:pt>
                <c:pt idx="4459">
                  <c:v>-33.280597</c:v>
                </c:pt>
                <c:pt idx="4460">
                  <c:v>-33.179539000000005</c:v>
                </c:pt>
                <c:pt idx="4461">
                  <c:v>-33.078591000000003</c:v>
                </c:pt>
                <c:pt idx="4462">
                  <c:v>-32.977432999999998</c:v>
                </c:pt>
                <c:pt idx="4463">
                  <c:v>-32.876486000000007</c:v>
                </c:pt>
                <c:pt idx="4464">
                  <c:v>-32.775429000000003</c:v>
                </c:pt>
                <c:pt idx="4465">
                  <c:v>-32.674383000000006</c:v>
                </c:pt>
                <c:pt idx="4466">
                  <c:v>-32.573427000000002</c:v>
                </c:pt>
                <c:pt idx="4467">
                  <c:v>-32.472372</c:v>
                </c:pt>
                <c:pt idx="4468">
                  <c:v>-32.371417000000008</c:v>
                </c:pt>
                <c:pt idx="4469">
                  <c:v>-32.270372000000002</c:v>
                </c:pt>
                <c:pt idx="4470">
                  <c:v>-32.169218000000001</c:v>
                </c:pt>
                <c:pt idx="4471">
                  <c:v>-32.068264999999997</c:v>
                </c:pt>
                <c:pt idx="4472">
                  <c:v>-31.967210999999999</c:v>
                </c:pt>
                <c:pt idx="4473">
                  <c:v>-31.866259000000003</c:v>
                </c:pt>
                <c:pt idx="4474">
                  <c:v>-31.765205999999996</c:v>
                </c:pt>
                <c:pt idx="4475">
                  <c:v>-31.664183000000001</c:v>
                </c:pt>
                <c:pt idx="4476">
                  <c:v>-31.563172000000002</c:v>
                </c:pt>
                <c:pt idx="4477">
                  <c:v>-31.462061000000002</c:v>
                </c:pt>
                <c:pt idx="4478">
                  <c:v>-31.361041</c:v>
                </c:pt>
                <c:pt idx="4479">
                  <c:v>-31.26003</c:v>
                </c:pt>
                <c:pt idx="4480">
                  <c:v>-31.159019000000004</c:v>
                </c:pt>
                <c:pt idx="4481">
                  <c:v>-31.058010999999997</c:v>
                </c:pt>
                <c:pt idx="4482">
                  <c:v>-30.956992000000003</c:v>
                </c:pt>
                <c:pt idx="4483">
                  <c:v>-30.855973000000002</c:v>
                </c:pt>
                <c:pt idx="4484">
                  <c:v>-30.754964999999999</c:v>
                </c:pt>
                <c:pt idx="4485">
                  <c:v>-30.6538568</c:v>
                </c:pt>
                <c:pt idx="4486">
                  <c:v>-30.552840000000003</c:v>
                </c:pt>
                <c:pt idx="4487">
                  <c:v>-30.451833199999996</c:v>
                </c:pt>
                <c:pt idx="4488">
                  <c:v>-30.350806500000004</c:v>
                </c:pt>
                <c:pt idx="4489">
                  <c:v>-30.249800399999998</c:v>
                </c:pt>
                <c:pt idx="4490">
                  <c:v>-30.148794599999999</c:v>
                </c:pt>
                <c:pt idx="4491">
                  <c:v>-30.0477688</c:v>
                </c:pt>
                <c:pt idx="4492">
                  <c:v>-29.946664600000002</c:v>
                </c:pt>
                <c:pt idx="4493">
                  <c:v>-29.845650599999999</c:v>
                </c:pt>
                <c:pt idx="4494">
                  <c:v>-29.7446366</c:v>
                </c:pt>
                <c:pt idx="4495">
                  <c:v>-29.643623099999999</c:v>
                </c:pt>
                <c:pt idx="4496">
                  <c:v>-29.542609800000001</c:v>
                </c:pt>
                <c:pt idx="4497">
                  <c:v>-29.441596000000001</c:v>
                </c:pt>
                <c:pt idx="4498">
                  <c:v>-29.3405852</c:v>
                </c:pt>
                <c:pt idx="4499">
                  <c:v>-29.239573200000006</c:v>
                </c:pt>
                <c:pt idx="4500">
                  <c:v>-29.138461399999997</c:v>
                </c:pt>
                <c:pt idx="4501">
                  <c:v>-29.037441100000002</c:v>
                </c:pt>
                <c:pt idx="4502">
                  <c:v>-28.936430599999998</c:v>
                </c:pt>
                <c:pt idx="4503">
                  <c:v>-28.835409300000006</c:v>
                </c:pt>
                <c:pt idx="4504">
                  <c:v>-28.7344106</c:v>
                </c:pt>
                <c:pt idx="4505">
                  <c:v>-28.633400900000002</c:v>
                </c:pt>
                <c:pt idx="4506">
                  <c:v>-28.532382299999998</c:v>
                </c:pt>
                <c:pt idx="4507">
                  <c:v>-28.431274299999998</c:v>
                </c:pt>
                <c:pt idx="4508">
                  <c:v>-28.3302458</c:v>
                </c:pt>
                <c:pt idx="4509">
                  <c:v>-28.229238800000001</c:v>
                </c:pt>
                <c:pt idx="4510">
                  <c:v>-28.128221499999999</c:v>
                </c:pt>
                <c:pt idx="4511">
                  <c:v>-28.027214900000004</c:v>
                </c:pt>
                <c:pt idx="4512">
                  <c:v>-27.926207999999995</c:v>
                </c:pt>
                <c:pt idx="4513">
                  <c:v>-27.8251928</c:v>
                </c:pt>
                <c:pt idx="4514">
                  <c:v>-27.724177399999999</c:v>
                </c:pt>
                <c:pt idx="4515">
                  <c:v>-27.623061099999997</c:v>
                </c:pt>
                <c:pt idx="4516">
                  <c:v>-27.5220573</c:v>
                </c:pt>
                <c:pt idx="4517">
                  <c:v>-27.416045200000003</c:v>
                </c:pt>
                <c:pt idx="4518">
                  <c:v>-27.29995559</c:v>
                </c:pt>
                <c:pt idx="4519">
                  <c:v>-27.183743400000001</c:v>
                </c:pt>
                <c:pt idx="4520">
                  <c:v>-27.067541600000002</c:v>
                </c:pt>
                <c:pt idx="4521">
                  <c:v>-26.951330799999994</c:v>
                </c:pt>
                <c:pt idx="4522">
                  <c:v>-26.835130799999998</c:v>
                </c:pt>
                <c:pt idx="4523">
                  <c:v>-26.7189117</c:v>
                </c:pt>
                <c:pt idx="4524">
                  <c:v>-26.602703500000001</c:v>
                </c:pt>
                <c:pt idx="4525">
                  <c:v>-26.486496000000002</c:v>
                </c:pt>
                <c:pt idx="4526">
                  <c:v>-26.370289999999997</c:v>
                </c:pt>
                <c:pt idx="4527">
                  <c:v>-26.254073999999999</c:v>
                </c:pt>
                <c:pt idx="4528">
                  <c:v>-26.13786</c:v>
                </c:pt>
                <c:pt idx="4529">
                  <c:v>-26.021755999999996</c:v>
                </c:pt>
                <c:pt idx="4530">
                  <c:v>-25.905542999999998</c:v>
                </c:pt>
                <c:pt idx="4531">
                  <c:v>-25.789331000000001</c:v>
                </c:pt>
                <c:pt idx="4532">
                  <c:v>-25.673119999999997</c:v>
                </c:pt>
                <c:pt idx="4533">
                  <c:v>-25.556910000000002</c:v>
                </c:pt>
                <c:pt idx="4534">
                  <c:v>-25.440691000000001</c:v>
                </c:pt>
                <c:pt idx="4535">
                  <c:v>-25.324482999999997</c:v>
                </c:pt>
                <c:pt idx="4536">
                  <c:v>-25.208275000000004</c:v>
                </c:pt>
                <c:pt idx="4537">
                  <c:v>-25.092048999999999</c:v>
                </c:pt>
                <c:pt idx="4538">
                  <c:v>-24.975942999999997</c:v>
                </c:pt>
                <c:pt idx="4539">
                  <c:v>-24.859718000000004</c:v>
                </c:pt>
                <c:pt idx="4540">
                  <c:v>-24.743513999999998</c:v>
                </c:pt>
                <c:pt idx="4541">
                  <c:v>-24.627292000000001</c:v>
                </c:pt>
                <c:pt idx="4542">
                  <c:v>-24.511078999999999</c:v>
                </c:pt>
                <c:pt idx="4543">
                  <c:v>-24.394867999999999</c:v>
                </c:pt>
                <c:pt idx="4544">
                  <c:v>-24.278647999999997</c:v>
                </c:pt>
                <c:pt idx="4545">
                  <c:v>-24.162528999999999</c:v>
                </c:pt>
                <c:pt idx="4546">
                  <c:v>-24.046310000000002</c:v>
                </c:pt>
                <c:pt idx="4547">
                  <c:v>-23.930102999999999</c:v>
                </c:pt>
                <c:pt idx="4548">
                  <c:v>-23.813876</c:v>
                </c:pt>
                <c:pt idx="4549">
                  <c:v>-23.697659999999999</c:v>
                </c:pt>
                <c:pt idx="4550">
                  <c:v>-23.581444999999999</c:v>
                </c:pt>
                <c:pt idx="4551">
                  <c:v>-23.465330999999999</c:v>
                </c:pt>
                <c:pt idx="4552">
                  <c:v>-23.349118000000001</c:v>
                </c:pt>
                <c:pt idx="4553">
                  <c:v>-23.232886000000001</c:v>
                </c:pt>
                <c:pt idx="4554">
                  <c:v>-23.116675000000001</c:v>
                </c:pt>
                <c:pt idx="4555">
                  <c:v>-23.000454000000001</c:v>
                </c:pt>
                <c:pt idx="4556">
                  <c:v>-22.884235</c:v>
                </c:pt>
                <c:pt idx="4557">
                  <c:v>-22.768115999999999</c:v>
                </c:pt>
                <c:pt idx="4558">
                  <c:v>-22.651888</c:v>
                </c:pt>
                <c:pt idx="4559">
                  <c:v>-22.535672000000005</c:v>
                </c:pt>
                <c:pt idx="4560">
                  <c:v>-22.419456000000004</c:v>
                </c:pt>
                <c:pt idx="4561">
                  <c:v>-22.303231</c:v>
                </c:pt>
                <c:pt idx="4562">
                  <c:v>-22.187116</c:v>
                </c:pt>
                <c:pt idx="4563">
                  <c:v>-22.070892999999998</c:v>
                </c:pt>
                <c:pt idx="4564">
                  <c:v>-21.954660999999998</c:v>
                </c:pt>
                <c:pt idx="4565">
                  <c:v>-21.838439000000001</c:v>
                </c:pt>
                <c:pt idx="4566">
                  <c:v>-21.722218999999999</c:v>
                </c:pt>
                <c:pt idx="4567">
                  <c:v>-21.606099</c:v>
                </c:pt>
                <c:pt idx="4568">
                  <c:v>-21.489870000000003</c:v>
                </c:pt>
                <c:pt idx="4569">
                  <c:v>-21.373652999999997</c:v>
                </c:pt>
                <c:pt idx="4570">
                  <c:v>-21.257426000000002</c:v>
                </c:pt>
                <c:pt idx="4571">
                  <c:v>-21.141198999999997</c:v>
                </c:pt>
                <c:pt idx="4572">
                  <c:v>-21.025074</c:v>
                </c:pt>
                <c:pt idx="4573">
                  <c:v>-20.908850000000001</c:v>
                </c:pt>
                <c:pt idx="4574">
                  <c:v>-20.792626999999996</c:v>
                </c:pt>
                <c:pt idx="4575">
                  <c:v>-20.676394000000002</c:v>
                </c:pt>
                <c:pt idx="4576">
                  <c:v>-20.560272000000001</c:v>
                </c:pt>
                <c:pt idx="4577">
                  <c:v>-20.444042</c:v>
                </c:pt>
                <c:pt idx="4578">
                  <c:v>-20.327822000000001</c:v>
                </c:pt>
                <c:pt idx="4579">
                  <c:v>-20.211592999999997</c:v>
                </c:pt>
                <c:pt idx="4580">
                  <c:v>-20.095464999999997</c:v>
                </c:pt>
                <c:pt idx="4581">
                  <c:v>-19.979248000000005</c:v>
                </c:pt>
                <c:pt idx="4582">
                  <c:v>-19.863010000000003</c:v>
                </c:pt>
                <c:pt idx="4583">
                  <c:v>-19.746789999999997</c:v>
                </c:pt>
                <c:pt idx="4584">
                  <c:v>-19.630650000000003</c:v>
                </c:pt>
                <c:pt idx="4585">
                  <c:v>-19.514430000000001</c:v>
                </c:pt>
                <c:pt idx="4586">
                  <c:v>-19.398200000000003</c:v>
                </c:pt>
                <c:pt idx="4587">
                  <c:v>-19.281959999999998</c:v>
                </c:pt>
                <c:pt idx="4588">
                  <c:v>-19.165840000000003</c:v>
                </c:pt>
                <c:pt idx="4589">
                  <c:v>-19.049610000000001</c:v>
                </c:pt>
                <c:pt idx="4590">
                  <c:v>-18.93337</c:v>
                </c:pt>
                <c:pt idx="4591">
                  <c:v>-18.817249999999998</c:v>
                </c:pt>
                <c:pt idx="4592">
                  <c:v>-18.701020000000003</c:v>
                </c:pt>
                <c:pt idx="4593">
                  <c:v>-18.584779999999999</c:v>
                </c:pt>
                <c:pt idx="4594">
                  <c:v>-18.46855</c:v>
                </c:pt>
                <c:pt idx="4595">
                  <c:v>-18.352409999999999</c:v>
                </c:pt>
                <c:pt idx="4596">
                  <c:v>-18.236189999999997</c:v>
                </c:pt>
                <c:pt idx="4597">
                  <c:v>-18.119950000000003</c:v>
                </c:pt>
                <c:pt idx="4598">
                  <c:v>-18.003819999999997</c:v>
                </c:pt>
                <c:pt idx="4599">
                  <c:v>-17.88758</c:v>
                </c:pt>
                <c:pt idx="4600">
                  <c:v>-17.771349999999998</c:v>
                </c:pt>
                <c:pt idx="4601">
                  <c:v>-17.655209999999997</c:v>
                </c:pt>
                <c:pt idx="4602">
                  <c:v>-17.538979999999999</c:v>
                </c:pt>
                <c:pt idx="4603">
                  <c:v>-17.422760000000004</c:v>
                </c:pt>
                <c:pt idx="4604">
                  <c:v>-17.306620000000002</c:v>
                </c:pt>
                <c:pt idx="4605">
                  <c:v>-17.190390000000001</c:v>
                </c:pt>
                <c:pt idx="4606">
                  <c:v>-17.074139999999996</c:v>
                </c:pt>
                <c:pt idx="4607">
                  <c:v>-16.957909999999998</c:v>
                </c:pt>
                <c:pt idx="4608">
                  <c:v>-16.84177</c:v>
                </c:pt>
                <c:pt idx="4609">
                  <c:v>-16.725529999999996</c:v>
                </c:pt>
                <c:pt idx="4610">
                  <c:v>-16.609300000000001</c:v>
                </c:pt>
                <c:pt idx="4611">
                  <c:v>-16.49316</c:v>
                </c:pt>
                <c:pt idx="4612">
                  <c:v>-16.376919999999998</c:v>
                </c:pt>
                <c:pt idx="4613">
                  <c:v>-16.26078</c:v>
                </c:pt>
                <c:pt idx="4614">
                  <c:v>-16.144550000000002</c:v>
                </c:pt>
                <c:pt idx="4615">
                  <c:v>-16.026350000000001</c:v>
                </c:pt>
                <c:pt idx="4616">
                  <c:v>-15.908099999999997</c:v>
                </c:pt>
                <c:pt idx="4617">
                  <c:v>-15.789739999999998</c:v>
                </c:pt>
                <c:pt idx="4618">
                  <c:v>-15.671479999999999</c:v>
                </c:pt>
                <c:pt idx="4619">
                  <c:v>-15.55322</c:v>
                </c:pt>
                <c:pt idx="4620">
                  <c:v>-15.43487</c:v>
                </c:pt>
                <c:pt idx="4621">
                  <c:v>-15.316599999999998</c:v>
                </c:pt>
                <c:pt idx="4622">
                  <c:v>-15.198249999999998</c:v>
                </c:pt>
                <c:pt idx="4623">
                  <c:v>-15.079989999999999</c:v>
                </c:pt>
                <c:pt idx="4624">
                  <c:v>-14.961729999999999</c:v>
                </c:pt>
                <c:pt idx="4625">
                  <c:v>-14.84337</c:v>
                </c:pt>
                <c:pt idx="4626">
                  <c:v>-14.725109999999997</c:v>
                </c:pt>
                <c:pt idx="4627">
                  <c:v>-14.606859999999998</c:v>
                </c:pt>
                <c:pt idx="4628">
                  <c:v>-14.488499999999998</c:v>
                </c:pt>
                <c:pt idx="4629">
                  <c:v>-14.370239999999999</c:v>
                </c:pt>
                <c:pt idx="4630">
                  <c:v>-14.25188</c:v>
                </c:pt>
                <c:pt idx="4631">
                  <c:v>-14.133620000000001</c:v>
                </c:pt>
                <c:pt idx="4632">
                  <c:v>-14.015350000000002</c:v>
                </c:pt>
                <c:pt idx="4633">
                  <c:v>-13.896989999999999</c:v>
                </c:pt>
                <c:pt idx="4634">
                  <c:v>-13.77882</c:v>
                </c:pt>
                <c:pt idx="4635">
                  <c:v>-13.661210000000001</c:v>
                </c:pt>
                <c:pt idx="4636">
                  <c:v>-13.543510000000003</c:v>
                </c:pt>
                <c:pt idx="4637">
                  <c:v>-13.42591</c:v>
                </c:pt>
                <c:pt idx="4638">
                  <c:v>-13.308309999999999</c:v>
                </c:pt>
                <c:pt idx="4639">
                  <c:v>-13.19061</c:v>
                </c:pt>
                <c:pt idx="4640">
                  <c:v>-13.07301</c:v>
                </c:pt>
                <c:pt idx="4641">
                  <c:v>-12.955389999999998</c:v>
                </c:pt>
                <c:pt idx="4642">
                  <c:v>-12.837699999999998</c:v>
                </c:pt>
                <c:pt idx="4643">
                  <c:v>-12.720090000000001</c:v>
                </c:pt>
                <c:pt idx="4644">
                  <c:v>-12.602480000000002</c:v>
                </c:pt>
                <c:pt idx="4645">
                  <c:v>-12.48479</c:v>
                </c:pt>
                <c:pt idx="4646">
                  <c:v>-12.367180000000001</c:v>
                </c:pt>
                <c:pt idx="4647">
                  <c:v>-12.249479999999998</c:v>
                </c:pt>
                <c:pt idx="4648">
                  <c:v>-12.131869999999999</c:v>
                </c:pt>
                <c:pt idx="4649">
                  <c:v>-12.01426</c:v>
                </c:pt>
                <c:pt idx="4650">
                  <c:v>-11.896569999999997</c:v>
                </c:pt>
                <c:pt idx="4651">
                  <c:v>-11.778969999999997</c:v>
                </c:pt>
                <c:pt idx="4652">
                  <c:v>-11.661360000000004</c:v>
                </c:pt>
                <c:pt idx="4653">
                  <c:v>-11.543660000000001</c:v>
                </c:pt>
                <c:pt idx="4654">
                  <c:v>-11.426049999999998</c:v>
                </c:pt>
                <c:pt idx="4655">
                  <c:v>-11.308349999999999</c:v>
                </c:pt>
                <c:pt idx="4656">
                  <c:v>-11.190750000000001</c:v>
                </c:pt>
                <c:pt idx="4657">
                  <c:v>-11.073149999999998</c:v>
                </c:pt>
                <c:pt idx="4658">
                  <c:v>-10.955450000000003</c:v>
                </c:pt>
                <c:pt idx="4659">
                  <c:v>-10.83785</c:v>
                </c:pt>
                <c:pt idx="4660">
                  <c:v>-10.720230000000001</c:v>
                </c:pt>
                <c:pt idx="4661">
                  <c:v>-10.568930000000002</c:v>
                </c:pt>
                <c:pt idx="4662">
                  <c:v>-10.40606</c:v>
                </c:pt>
                <c:pt idx="4663">
                  <c:v>-10.2433</c:v>
                </c:pt>
                <c:pt idx="4664">
                  <c:v>-10.08043</c:v>
                </c:pt>
                <c:pt idx="4665">
                  <c:v>-9.9176599999999979</c:v>
                </c:pt>
                <c:pt idx="4666">
                  <c:v>-9.7547999999999995</c:v>
                </c:pt>
                <c:pt idx="4667">
                  <c:v>-9.5919099999999986</c:v>
                </c:pt>
                <c:pt idx="4668">
                  <c:v>-9.4291499999999999</c:v>
                </c:pt>
                <c:pt idx="4669">
                  <c:v>-9.266370000000002</c:v>
                </c:pt>
                <c:pt idx="4670">
                  <c:v>-9.1035000000000004</c:v>
                </c:pt>
                <c:pt idx="4671">
                  <c:v>-8.9407200000000007</c:v>
                </c:pt>
                <c:pt idx="4672">
                  <c:v>-8.7778400000000012</c:v>
                </c:pt>
                <c:pt idx="4673">
                  <c:v>-8.6150500000000001</c:v>
                </c:pt>
                <c:pt idx="4674">
                  <c:v>-8.4521800000000002</c:v>
                </c:pt>
                <c:pt idx="4675">
                  <c:v>-8.2893999999999988</c:v>
                </c:pt>
                <c:pt idx="4676">
                  <c:v>-8.1266199999999991</c:v>
                </c:pt>
                <c:pt idx="4677">
                  <c:v>-7.9637300000000018</c:v>
                </c:pt>
                <c:pt idx="4678">
                  <c:v>-7.8009399999999989</c:v>
                </c:pt>
                <c:pt idx="4679">
                  <c:v>-7.6380499999999998</c:v>
                </c:pt>
                <c:pt idx="4680">
                  <c:v>-7.4752600000000005</c:v>
                </c:pt>
                <c:pt idx="4681">
                  <c:v>-7.3124799999999981</c:v>
                </c:pt>
                <c:pt idx="4682">
                  <c:v>-7.1495900000000008</c:v>
                </c:pt>
                <c:pt idx="4683">
                  <c:v>-6.9868000000000015</c:v>
                </c:pt>
                <c:pt idx="4684">
                  <c:v>-6.8240099999999995</c:v>
                </c:pt>
                <c:pt idx="4685">
                  <c:v>-6.6611200000000004</c:v>
                </c:pt>
                <c:pt idx="4686">
                  <c:v>-6.49831</c:v>
                </c:pt>
                <c:pt idx="4687">
                  <c:v>-6.3355199999999998</c:v>
                </c:pt>
                <c:pt idx="4688">
                  <c:v>-6.17272</c:v>
                </c:pt>
                <c:pt idx="4689">
                  <c:v>-6.0098199999999995</c:v>
                </c:pt>
                <c:pt idx="4690">
                  <c:v>-5.8470199999999979</c:v>
                </c:pt>
                <c:pt idx="4691">
                  <c:v>-5.6842199999999998</c:v>
                </c:pt>
                <c:pt idx="4692">
                  <c:v>-5.5214200000000018</c:v>
                </c:pt>
                <c:pt idx="4693">
                  <c:v>-5.3586100000000005</c:v>
                </c:pt>
                <c:pt idx="4694">
                  <c:v>-5.1957100000000001</c:v>
                </c:pt>
                <c:pt idx="4695">
                  <c:v>-5.032910000000002</c:v>
                </c:pt>
                <c:pt idx="4696">
                  <c:v>-4.8701000000000008</c:v>
                </c:pt>
                <c:pt idx="4697">
                  <c:v>-4.7072899999999995</c:v>
                </c:pt>
                <c:pt idx="4698">
                  <c:v>-4.5444800000000001</c:v>
                </c:pt>
                <c:pt idx="4699">
                  <c:v>-4.3816700000000024</c:v>
                </c:pt>
                <c:pt idx="4700">
                  <c:v>-4.2187600000000005</c:v>
                </c:pt>
                <c:pt idx="4701">
                  <c:v>-4.0559499999999993</c:v>
                </c:pt>
                <c:pt idx="4702">
                  <c:v>-3.8931300000000002</c:v>
                </c:pt>
                <c:pt idx="4703">
                  <c:v>-3.7308699999999995</c:v>
                </c:pt>
                <c:pt idx="4704">
                  <c:v>-3.5748500000000023</c:v>
                </c:pt>
                <c:pt idx="4705">
                  <c:v>-3.4187400000000006</c:v>
                </c:pt>
                <c:pt idx="4706">
                  <c:v>-3.2626200000000001</c:v>
                </c:pt>
                <c:pt idx="4707">
                  <c:v>-3.1065899999999989</c:v>
                </c:pt>
                <c:pt idx="4708">
                  <c:v>-2.9504799999999989</c:v>
                </c:pt>
                <c:pt idx="4709">
                  <c:v>-2.7944599999999991</c:v>
                </c:pt>
                <c:pt idx="4710">
                  <c:v>-2.6383400000000004</c:v>
                </c:pt>
                <c:pt idx="4711">
                  <c:v>-2.4823199999999987</c:v>
                </c:pt>
                <c:pt idx="4712">
                  <c:v>-2.3261799999999999</c:v>
                </c:pt>
                <c:pt idx="4713">
                  <c:v>-2.1701600000000019</c:v>
                </c:pt>
                <c:pt idx="4714">
                  <c:v>-2.0140299999999991</c:v>
                </c:pt>
                <c:pt idx="4715">
                  <c:v>-1.8580099999999993</c:v>
                </c:pt>
                <c:pt idx="4716">
                  <c:v>-1.7018800000000018</c:v>
                </c:pt>
                <c:pt idx="4717">
                  <c:v>-1.5458500000000006</c:v>
                </c:pt>
                <c:pt idx="4718">
                  <c:v>-1.3897100000000009</c:v>
                </c:pt>
                <c:pt idx="4719">
                  <c:v>-1.2336900000000002</c:v>
                </c:pt>
                <c:pt idx="4720">
                  <c:v>-1.0775599999999992</c:v>
                </c:pt>
                <c:pt idx="4721">
                  <c:v>-0.92152000000000012</c:v>
                </c:pt>
                <c:pt idx="4722">
                  <c:v>-0.76538800000000062</c:v>
                </c:pt>
                <c:pt idx="4723">
                  <c:v>-0.60935199999999945</c:v>
                </c:pt>
                <c:pt idx="4724">
                  <c:v>-0.459954999999999</c:v>
                </c:pt>
                <c:pt idx="4725">
                  <c:v>-0.31285499999999811</c:v>
                </c:pt>
                <c:pt idx="4726">
                  <c:v>-0.16581400000000102</c:v>
                </c:pt>
                <c:pt idx="4727">
                  <c:v>-1.872100000000021E-2</c:v>
                </c:pt>
                <c:pt idx="4728">
                  <c:v>0.12837199999999882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0F-4490-B4CA-4DDDD4E6D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0.19995986072668318</c:v>
                </c:pt>
                <c:pt idx="1">
                  <c:v>0.19953581834526582</c:v>
                </c:pt>
                <c:pt idx="2">
                  <c:v>0.19887392328958822</c:v>
                </c:pt>
                <c:pt idx="3">
                  <c:v>0.19795080648521443</c:v>
                </c:pt>
                <c:pt idx="4">
                  <c:v>0.19263209112750784</c:v>
                </c:pt>
                <c:pt idx="5">
                  <c:v>6.2315723183639362E-3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7"/>
          <c:order val="7"/>
          <c:tx>
            <c:strRef>
              <c:f>'Post-yield Mechanism'!$E$125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Mechanism'!$E$126:$E$132</c:f>
              <c:numCache>
                <c:formatCode>0.0000</c:formatCode>
                <c:ptCount val="7"/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340-48D5-890A-C34C7397433E}"/>
            </c:ext>
          </c:extLst>
        </c:ser>
        <c:ser>
          <c:idx val="8"/>
          <c:order val="8"/>
          <c:tx>
            <c:strRef>
              <c:f>'Post-yield Mechanism'!$F$125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Mechanism'!$F$126:$F$132</c:f>
              <c:numCache>
                <c:formatCode>0.0000</c:formatCode>
                <c:ptCount val="7"/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F37-4BD8-AD84-556855AC4800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0.19995986072674579</c:v>
                      </c:pt>
                      <c:pt idx="1">
                        <c:v>0.19953581834532494</c:v>
                      </c:pt>
                      <c:pt idx="2">
                        <c:v>0.19887392328964326</c:v>
                      </c:pt>
                      <c:pt idx="3">
                        <c:v>0.19795080648526586</c:v>
                      </c:pt>
                      <c:pt idx="4">
                        <c:v>0.19263209112755733</c:v>
                      </c:pt>
                      <c:pt idx="5">
                        <c:v>6.2315723183639371E-3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2.6599712598064821E-2</c:v>
                      </c:pt>
                      <c:pt idx="1">
                        <c:v>2.4181164346738161E-2</c:v>
                      </c:pt>
                      <c:pt idx="2">
                        <c:v>2.0579229204241066E-2</c:v>
                      </c:pt>
                      <c:pt idx="3">
                        <c:v>1.5870720129237251E-2</c:v>
                      </c:pt>
                      <c:pt idx="4">
                        <c:v>1.0569670019785846E-2</c:v>
                      </c:pt>
                      <c:pt idx="5">
                        <c:v>5.1235294172913221E-3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3.3676562727157675E-2</c:v>
                      </c:pt>
                      <c:pt idx="1">
                        <c:v>3.1090323318891007E-2</c:v>
                      </c:pt>
                      <c:pt idx="2">
                        <c:v>2.7209178775528045E-2</c:v>
                      </c:pt>
                      <c:pt idx="3">
                        <c:v>2.2081161189511256E-2</c:v>
                      </c:pt>
                      <c:pt idx="4">
                        <c:v>1.6240295539493091E-2</c:v>
                      </c:pt>
                      <c:pt idx="5">
                        <c:v>7.6159311327745442E-3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5.0996640018404815E-2</c:v>
                      </c:pt>
                      <c:pt idx="1">
                        <c:v>4.8024671507759603E-2</c:v>
                      </c:pt>
                      <c:pt idx="2">
                        <c:v>4.3520279188268923E-2</c:v>
                      </c:pt>
                      <c:pt idx="3">
                        <c:v>3.7486206297435709E-2</c:v>
                      </c:pt>
                      <c:pt idx="4">
                        <c:v>2.6221171177326977E-2</c:v>
                      </c:pt>
                      <c:pt idx="5">
                        <c:v>1.1891932037471241E-2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5.2991834214731082E-2</c:v>
                      </c:pt>
                      <c:pt idx="1">
                        <c:v>5.0501640426953744E-2</c:v>
                      </c:pt>
                      <c:pt idx="2">
                        <c:v>4.6704772456291468E-2</c:v>
                      </c:pt>
                      <c:pt idx="3">
                        <c:v>4.1576242885286489E-2</c:v>
                      </c:pt>
                      <c:pt idx="4">
                        <c:v>3.1355868102946514E-2</c:v>
                      </c:pt>
                      <c:pt idx="5">
                        <c:v>1.0947834916312937E-2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0.19995986072668318</c:v>
                      </c:pt>
                      <c:pt idx="1">
                        <c:v>0.19953581834526582</c:v>
                      </c:pt>
                      <c:pt idx="2">
                        <c:v>0.19887392328958822</c:v>
                      </c:pt>
                      <c:pt idx="3">
                        <c:v>0.19795080648521443</c:v>
                      </c:pt>
                      <c:pt idx="4">
                        <c:v>0.19263209112750784</c:v>
                      </c:pt>
                      <c:pt idx="5">
                        <c:v>6.2315723183639362E-3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Mechanism'!$C$135:$C$136</c:f>
              <c:strCache>
                <c:ptCount val="2"/>
                <c:pt idx="0">
                  <c:v>LS1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0.99787936248866982</c:v>
                </c:pt>
                <c:pt idx="2">
                  <c:v>0.99456922287728899</c:v>
                </c:pt>
                <c:pt idx="3">
                  <c:v>0.98995271233852855</c:v>
                </c:pt>
                <c:pt idx="4">
                  <c:v>0.96335379724438119</c:v>
                </c:pt>
                <c:pt idx="5">
                  <c:v>3.1164116116692106E-2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0.00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Mechanism'!$E$188:$E$194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104776</xdr:colOff>
      <xdr:row>1</xdr:row>
      <xdr:rowOff>83492</xdr:rowOff>
    </xdr:from>
    <xdr:to>
      <xdr:col>8</xdr:col>
      <xdr:colOff>71438</xdr:colOff>
      <xdr:row>26</xdr:row>
      <xdr:rowOff>53229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11995" y="285898"/>
          <a:ext cx="4229099" cy="5357666"/>
        </a:xfrm>
        <a:prstGeom prst="rect">
          <a:avLst/>
        </a:prstGeom>
      </xdr:spPr>
    </xdr:pic>
    <xdr:clientData/>
  </xdr:twoCellAnchor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 editAs="oneCell">
    <xdr:from>
      <xdr:col>14</xdr:col>
      <xdr:colOff>128588</xdr:colOff>
      <xdr:row>24</xdr:row>
      <xdr:rowOff>61913</xdr:rowOff>
    </xdr:from>
    <xdr:to>
      <xdr:col>16</xdr:col>
      <xdr:colOff>260957</xdr:colOff>
      <xdr:row>27</xdr:row>
      <xdr:rowOff>171954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141494" y="5169694"/>
          <a:ext cx="1369219" cy="715859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238125</xdr:colOff>
      <xdr:row>23</xdr:row>
      <xdr:rowOff>28575</xdr:rowOff>
    </xdr:from>
    <xdr:to>
      <xdr:col>13</xdr:col>
      <xdr:colOff>327069</xdr:colOff>
      <xdr:row>28</xdr:row>
      <xdr:rowOff>109257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114925" y="4552950"/>
          <a:ext cx="2909605" cy="10858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59533</xdr:colOff>
      <xdr:row>46</xdr:row>
      <xdr:rowOff>23810</xdr:rowOff>
    </xdr:from>
    <xdr:to>
      <xdr:col>29</xdr:col>
      <xdr:colOff>595314</xdr:colOff>
      <xdr:row>70</xdr:row>
      <xdr:rowOff>107153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37033" y="9060654"/>
          <a:ext cx="8191500" cy="49410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35716</xdr:colOff>
      <xdr:row>29</xdr:row>
      <xdr:rowOff>23810</xdr:rowOff>
    </xdr:from>
    <xdr:to>
      <xdr:col>17</xdr:col>
      <xdr:colOff>797718</xdr:colOff>
      <xdr:row>55</xdr:row>
      <xdr:rowOff>118578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935" y="5834060"/>
          <a:ext cx="11965783" cy="51906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17859</xdr:colOff>
      <xdr:row>41</xdr:row>
      <xdr:rowOff>205976</xdr:rowOff>
    </xdr:from>
    <xdr:to>
      <xdr:col>24</xdr:col>
      <xdr:colOff>11906</xdr:colOff>
      <xdr:row>68</xdr:row>
      <xdr:rowOff>202406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321469</xdr:colOff>
      <xdr:row>22</xdr:row>
      <xdr:rowOff>197642</xdr:rowOff>
    </xdr:from>
    <xdr:to>
      <xdr:col>15</xdr:col>
      <xdr:colOff>669131</xdr:colOff>
      <xdr:row>49</xdr:row>
      <xdr:rowOff>173832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130967</xdr:colOff>
      <xdr:row>26</xdr:row>
      <xdr:rowOff>119063</xdr:rowOff>
    </xdr:from>
    <xdr:to>
      <xdr:col>8</xdr:col>
      <xdr:colOff>309562</xdr:colOff>
      <xdr:row>49</xdr:row>
      <xdr:rowOff>178595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65</xdr:row>
          <xdr:rowOff>152400</xdr:rowOff>
        </xdr:from>
        <xdr:to>
          <xdr:col>22</xdr:col>
          <xdr:colOff>609600</xdr:colOff>
          <xdr:row>69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666750</xdr:colOff>
          <xdr:row>65</xdr:row>
          <xdr:rowOff>152400</xdr:rowOff>
        </xdr:from>
        <xdr:to>
          <xdr:col>25</xdr:col>
          <xdr:colOff>38100</xdr:colOff>
          <xdr:row>69</xdr:row>
          <xdr:rowOff>9525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323850</xdr:colOff>
          <xdr:row>65</xdr:row>
          <xdr:rowOff>161925</xdr:rowOff>
        </xdr:from>
        <xdr:to>
          <xdr:col>26</xdr:col>
          <xdr:colOff>819150</xdr:colOff>
          <xdr:row>69</xdr:row>
          <xdr:rowOff>9525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69</xdr:row>
          <xdr:rowOff>66675</xdr:rowOff>
        </xdr:from>
        <xdr:to>
          <xdr:col>22</xdr:col>
          <xdr:colOff>609600</xdr:colOff>
          <xdr:row>72</xdr:row>
          <xdr:rowOff>95250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73</xdr:row>
          <xdr:rowOff>114300</xdr:rowOff>
        </xdr:from>
        <xdr:to>
          <xdr:col>22</xdr:col>
          <xdr:colOff>590550</xdr:colOff>
          <xdr:row>76</xdr:row>
          <xdr:rowOff>180975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26" name="ToggleButton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27" name="ToggleButton2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28" name="Toggle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29" name="ToggleButton4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30" name="ToggleButton5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31" name="ToggleButton6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imPush_V22.11_G63_W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6st_3bay/Galli_6st_3bay_Strong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uctural Information"/>
      <sheetName val="Frame Capacities"/>
      <sheetName val="Infill Capacities"/>
      <sheetName val="System Capacities"/>
      <sheetName val="Yield Mechanism"/>
      <sheetName val="Post-yield Mechanism"/>
    </sheetNames>
    <sheetDataSet>
      <sheetData sheetId="0">
        <row r="6">
          <cell r="U6">
            <v>3</v>
          </cell>
        </row>
        <row r="7">
          <cell r="U7">
            <v>3</v>
          </cell>
        </row>
        <row r="8">
          <cell r="U8">
            <v>3</v>
          </cell>
        </row>
        <row r="9">
          <cell r="U9">
            <v>3</v>
          </cell>
        </row>
        <row r="10">
          <cell r="U10">
            <v>3</v>
          </cell>
        </row>
        <row r="11">
          <cell r="T11">
            <v>2.75</v>
          </cell>
          <cell r="U11">
            <v>2.75</v>
          </cell>
        </row>
        <row r="18">
          <cell r="AE18">
            <v>372</v>
          </cell>
        </row>
        <row r="23">
          <cell r="T23">
            <v>250</v>
          </cell>
        </row>
        <row r="24">
          <cell r="W24">
            <v>16</v>
          </cell>
          <cell r="AE24">
            <v>1.8600000000000001E-3</v>
          </cell>
        </row>
        <row r="28">
          <cell r="T28">
            <v>300</v>
          </cell>
        </row>
        <row r="29">
          <cell r="W29">
            <v>16</v>
          </cell>
        </row>
        <row r="33">
          <cell r="T33">
            <v>500</v>
          </cell>
        </row>
        <row r="34">
          <cell r="W34">
            <v>18</v>
          </cell>
          <cell r="AE34">
            <v>1.8600000000000001E-3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H4">
            <v>-1.3137399999999992</v>
          </cell>
        </row>
        <row r="5">
          <cell r="H5">
            <v>-2.6275699999999986</v>
          </cell>
        </row>
        <row r="6">
          <cell r="H6">
            <v>-3.9412100000000017</v>
          </cell>
        </row>
        <row r="7">
          <cell r="H7">
            <v>-5.2550500000000007</v>
          </cell>
        </row>
        <row r="8">
          <cell r="H8">
            <v>-6.5687819999999997</v>
          </cell>
        </row>
        <row r="9">
          <cell r="H9">
            <v>-7.882617999999999</v>
          </cell>
        </row>
        <row r="10">
          <cell r="H10">
            <v>-9.1962544000000008</v>
          </cell>
        </row>
        <row r="11">
          <cell r="H11">
            <v>-10.510092</v>
          </cell>
        </row>
        <row r="12">
          <cell r="H12">
            <v>-11.823831</v>
          </cell>
        </row>
        <row r="13">
          <cell r="H13">
            <v>-13.137599999999999</v>
          </cell>
        </row>
        <row r="14">
          <cell r="H14">
            <v>-14.45135</v>
          </cell>
        </row>
        <row r="15">
          <cell r="H15">
            <v>-15.765090000000001</v>
          </cell>
        </row>
        <row r="16">
          <cell r="H16">
            <v>-17.077390000000001</v>
          </cell>
        </row>
        <row r="17">
          <cell r="H17">
            <v>-18.348289999999999</v>
          </cell>
        </row>
        <row r="18">
          <cell r="H18">
            <v>-19.619299999999999</v>
          </cell>
        </row>
        <row r="19">
          <cell r="H19">
            <v>-20.8903</v>
          </cell>
        </row>
        <row r="20">
          <cell r="H20">
            <v>-22.16132</v>
          </cell>
        </row>
        <row r="21">
          <cell r="H21">
            <v>-23.43224</v>
          </cell>
        </row>
        <row r="22">
          <cell r="H22">
            <v>-24.70327</v>
          </cell>
        </row>
        <row r="23">
          <cell r="H23">
            <v>-25.974209999999999</v>
          </cell>
        </row>
        <row r="24">
          <cell r="H24">
            <v>-27.245229999999999</v>
          </cell>
        </row>
        <row r="25">
          <cell r="H25">
            <v>-28.516179999999999</v>
          </cell>
        </row>
        <row r="26">
          <cell r="H26">
            <v>-29.78725</v>
          </cell>
        </row>
        <row r="27">
          <cell r="H27">
            <v>-31.058219999999999</v>
          </cell>
        </row>
        <row r="28">
          <cell r="H28">
            <v>-32.329099999999997</v>
          </cell>
        </row>
        <row r="29">
          <cell r="H29">
            <v>-33.600189999999998</v>
          </cell>
        </row>
        <row r="30">
          <cell r="H30">
            <v>-34.871169999999999</v>
          </cell>
        </row>
        <row r="31">
          <cell r="H31">
            <v>-36.14217</v>
          </cell>
        </row>
        <row r="32">
          <cell r="H32">
            <v>-37.405370000000005</v>
          </cell>
        </row>
        <row r="33">
          <cell r="H33">
            <v>-38.630290000000002</v>
          </cell>
        </row>
        <row r="34">
          <cell r="H34">
            <v>-39.855119999999999</v>
          </cell>
        </row>
        <row r="35">
          <cell r="H35">
            <v>-41.080069999999999</v>
          </cell>
        </row>
        <row r="36">
          <cell r="H36">
            <v>-42.305019999999999</v>
          </cell>
        </row>
        <row r="37">
          <cell r="H37">
            <v>-43.529910000000001</v>
          </cell>
        </row>
        <row r="38">
          <cell r="H38">
            <v>-44.754779999999997</v>
          </cell>
        </row>
        <row r="39">
          <cell r="H39">
            <v>-45.979750000000003</v>
          </cell>
        </row>
        <row r="40">
          <cell r="H40">
            <v>-47.204630000000002</v>
          </cell>
        </row>
        <row r="41">
          <cell r="H41">
            <v>-48.42962</v>
          </cell>
        </row>
        <row r="42">
          <cell r="H42">
            <v>-49.6389</v>
          </cell>
        </row>
        <row r="43">
          <cell r="H43">
            <v>-50.829949999999997</v>
          </cell>
        </row>
        <row r="44">
          <cell r="H44">
            <v>-52.021000000000001</v>
          </cell>
        </row>
        <row r="45">
          <cell r="H45">
            <v>-53.211963999999995</v>
          </cell>
        </row>
        <row r="46">
          <cell r="H46">
            <v>-54.403033000000001</v>
          </cell>
        </row>
        <row r="47">
          <cell r="H47">
            <v>-55.594008000000002</v>
          </cell>
        </row>
        <row r="48">
          <cell r="H48">
            <v>-56.785089400000004</v>
          </cell>
        </row>
        <row r="49">
          <cell r="H49">
            <v>-57.960629000000012</v>
          </cell>
        </row>
        <row r="50">
          <cell r="H50">
            <v>-59.108257999999999</v>
          </cell>
        </row>
        <row r="51">
          <cell r="H51">
            <v>-60.255994000000001</v>
          </cell>
        </row>
        <row r="52">
          <cell r="H52">
            <v>-61.373722999999998</v>
          </cell>
        </row>
        <row r="53">
          <cell r="H53">
            <v>-62.46555</v>
          </cell>
        </row>
        <row r="54">
          <cell r="H54">
            <v>-63.557279999999992</v>
          </cell>
        </row>
        <row r="55">
          <cell r="H55">
            <v>-64.649010000000004</v>
          </cell>
        </row>
        <row r="56">
          <cell r="H56">
            <v>-65.740759999999995</v>
          </cell>
        </row>
        <row r="57">
          <cell r="H57">
            <v>-66.832610000000003</v>
          </cell>
        </row>
        <row r="58">
          <cell r="H58">
            <v>-67.924270000000007</v>
          </cell>
        </row>
        <row r="59">
          <cell r="H59">
            <v>-69.016040000000004</v>
          </cell>
        </row>
        <row r="60">
          <cell r="H60">
            <v>-70.107820000000004</v>
          </cell>
        </row>
        <row r="61">
          <cell r="H61">
            <v>-71.1995</v>
          </cell>
        </row>
        <row r="62">
          <cell r="H62">
            <v>-72.291290000000004</v>
          </cell>
        </row>
        <row r="63">
          <cell r="H63">
            <v>-73.383189999999999</v>
          </cell>
        </row>
        <row r="64">
          <cell r="H64">
            <v>-74.474890000000002</v>
          </cell>
        </row>
        <row r="65">
          <cell r="H65">
            <v>-75.56671</v>
          </cell>
        </row>
        <row r="66">
          <cell r="H66">
            <v>-76.658429999999996</v>
          </cell>
        </row>
        <row r="67">
          <cell r="H67">
            <v>-77.750160000000008</v>
          </cell>
        </row>
        <row r="68">
          <cell r="H68">
            <v>-78.757220000000004</v>
          </cell>
        </row>
        <row r="69">
          <cell r="H69">
            <v>-79.727139999999991</v>
          </cell>
        </row>
        <row r="70">
          <cell r="H70">
            <v>-80.69735</v>
          </cell>
        </row>
        <row r="71">
          <cell r="H71">
            <v>-81.667280000000005</v>
          </cell>
        </row>
        <row r="72">
          <cell r="H72">
            <v>-82.637299999999996</v>
          </cell>
        </row>
        <row r="73">
          <cell r="H73">
            <v>-83.607339999999994</v>
          </cell>
        </row>
        <row r="74">
          <cell r="H74">
            <v>-84.577380000000005</v>
          </cell>
        </row>
        <row r="75">
          <cell r="H75">
            <v>-85.547420000000002</v>
          </cell>
        </row>
        <row r="76">
          <cell r="H76">
            <v>-86.517570000000006</v>
          </cell>
        </row>
        <row r="77">
          <cell r="H77">
            <v>-87.487619999999993</v>
          </cell>
        </row>
        <row r="78">
          <cell r="H78">
            <v>-88.457680000000011</v>
          </cell>
        </row>
        <row r="79">
          <cell r="H79">
            <v>-89.427639999999997</v>
          </cell>
        </row>
        <row r="80">
          <cell r="H80">
            <v>-90.397710000000004</v>
          </cell>
        </row>
        <row r="81">
          <cell r="H81">
            <v>-91.367789999999999</v>
          </cell>
        </row>
        <row r="82">
          <cell r="H82">
            <v>-92.337870000000009</v>
          </cell>
        </row>
        <row r="83">
          <cell r="H83">
            <v>-93.307950000000005</v>
          </cell>
        </row>
        <row r="84">
          <cell r="H84">
            <v>-94.278040000000004</v>
          </cell>
        </row>
        <row r="85">
          <cell r="H85">
            <v>-95.24803</v>
          </cell>
        </row>
        <row r="86">
          <cell r="H86">
            <v>-96.218130000000002</v>
          </cell>
        </row>
        <row r="87">
          <cell r="H87">
            <v>-97.188240000000008</v>
          </cell>
        </row>
        <row r="88">
          <cell r="H88">
            <v>-98.15825000000001</v>
          </cell>
        </row>
        <row r="89">
          <cell r="H89">
            <v>-99.128460000000004</v>
          </cell>
        </row>
        <row r="90">
          <cell r="H90">
            <v>-100.09848000000001</v>
          </cell>
        </row>
        <row r="91">
          <cell r="H91">
            <v>-101.03546</v>
          </cell>
        </row>
        <row r="92">
          <cell r="H92">
            <v>-101.96451999999999</v>
          </cell>
        </row>
        <row r="93">
          <cell r="H93">
            <v>-102.89368</v>
          </cell>
        </row>
        <row r="94">
          <cell r="H94">
            <v>-103.82274000000001</v>
          </cell>
        </row>
        <row r="95">
          <cell r="H95">
            <v>-104.75191000000001</v>
          </cell>
        </row>
        <row r="96">
          <cell r="H96">
            <v>-105.68107999999999</v>
          </cell>
        </row>
        <row r="97">
          <cell r="H97">
            <v>-106.61016000000001</v>
          </cell>
        </row>
        <row r="98">
          <cell r="H98">
            <v>-107.53925000000001</v>
          </cell>
        </row>
        <row r="99">
          <cell r="H99">
            <v>-108.46843</v>
          </cell>
        </row>
        <row r="100">
          <cell r="H100">
            <v>-109.39752000000001</v>
          </cell>
        </row>
        <row r="101">
          <cell r="H101">
            <v>-110.32672000000001</v>
          </cell>
        </row>
        <row r="102">
          <cell r="H102">
            <v>-111.25582</v>
          </cell>
        </row>
        <row r="103">
          <cell r="H103">
            <v>-112.18492999999999</v>
          </cell>
        </row>
        <row r="104">
          <cell r="H104">
            <v>-113.11404</v>
          </cell>
        </row>
        <row r="105">
          <cell r="H105">
            <v>-114.04325</v>
          </cell>
        </row>
        <row r="106">
          <cell r="H106">
            <v>-114.95454999999998</v>
          </cell>
        </row>
        <row r="107">
          <cell r="H107">
            <v>-115.86331999999999</v>
          </cell>
        </row>
        <row r="108">
          <cell r="H108">
            <v>-116.77198999999999</v>
          </cell>
        </row>
        <row r="109">
          <cell r="H109">
            <v>-117.68066999999999</v>
          </cell>
        </row>
        <row r="110">
          <cell r="H110">
            <v>-118.58935</v>
          </cell>
        </row>
        <row r="111">
          <cell r="H111">
            <v>-119.49813999999999</v>
          </cell>
        </row>
        <row r="112">
          <cell r="H112">
            <v>-120.40683</v>
          </cell>
        </row>
        <row r="113">
          <cell r="H113">
            <v>-121.31553000000001</v>
          </cell>
        </row>
        <row r="114">
          <cell r="H114">
            <v>-122.22423000000001</v>
          </cell>
        </row>
        <row r="115">
          <cell r="H115">
            <v>-123.13293999999999</v>
          </cell>
        </row>
        <row r="116">
          <cell r="H116">
            <v>-124.04166000000001</v>
          </cell>
        </row>
        <row r="117">
          <cell r="H117">
            <v>-124.94298000000001</v>
          </cell>
        </row>
        <row r="118">
          <cell r="H118">
            <v>-125.83015999999999</v>
          </cell>
        </row>
        <row r="119">
          <cell r="H119">
            <v>-126.71764</v>
          </cell>
        </row>
        <row r="120">
          <cell r="H120">
            <v>-127.60244</v>
          </cell>
        </row>
        <row r="121">
          <cell r="H121">
            <v>-128.48508000000001</v>
          </cell>
        </row>
        <row r="122">
          <cell r="H122">
            <v>-129.36780999999999</v>
          </cell>
        </row>
        <row r="123">
          <cell r="H123">
            <v>-130.25036</v>
          </cell>
        </row>
        <row r="124">
          <cell r="H124">
            <v>-131.11144999999999</v>
          </cell>
        </row>
        <row r="125">
          <cell r="H125">
            <v>-131.96656000000002</v>
          </cell>
        </row>
        <row r="126">
          <cell r="H126">
            <v>-132.82177999999999</v>
          </cell>
        </row>
        <row r="127">
          <cell r="H127">
            <v>-133.67701</v>
          </cell>
        </row>
        <row r="128">
          <cell r="H128">
            <v>-134.53214</v>
          </cell>
        </row>
        <row r="129">
          <cell r="H129">
            <v>-135.38727</v>
          </cell>
        </row>
        <row r="130">
          <cell r="H130">
            <v>-136.24250999999998</v>
          </cell>
        </row>
        <row r="131">
          <cell r="H131">
            <v>-137.09764999999999</v>
          </cell>
        </row>
        <row r="132">
          <cell r="H132">
            <v>-137.9529</v>
          </cell>
        </row>
        <row r="133">
          <cell r="H133">
            <v>-138.79557</v>
          </cell>
        </row>
        <row r="134">
          <cell r="H134">
            <v>-139.62567000000001</v>
          </cell>
        </row>
        <row r="135">
          <cell r="H135">
            <v>-140.45578</v>
          </cell>
        </row>
        <row r="136">
          <cell r="H136">
            <v>-141.28587999999999</v>
          </cell>
        </row>
        <row r="137">
          <cell r="H137">
            <v>-142.11590000000001</v>
          </cell>
        </row>
        <row r="138">
          <cell r="H138">
            <v>-142.9425</v>
          </cell>
        </row>
        <row r="139">
          <cell r="H139">
            <v>-143.75835999999998</v>
          </cell>
        </row>
        <row r="140">
          <cell r="H140">
            <v>-144.57401999999999</v>
          </cell>
        </row>
        <row r="141">
          <cell r="H141">
            <v>-145.38989000000001</v>
          </cell>
        </row>
        <row r="142">
          <cell r="H142">
            <v>-146.20565999999999</v>
          </cell>
        </row>
        <row r="143">
          <cell r="H143">
            <v>-147.02134000000001</v>
          </cell>
        </row>
        <row r="144">
          <cell r="H144">
            <v>-147.83712</v>
          </cell>
        </row>
        <row r="145">
          <cell r="H145">
            <v>-148.65289999999999</v>
          </cell>
        </row>
        <row r="146">
          <cell r="H146">
            <v>-149.46859000000001</v>
          </cell>
        </row>
        <row r="147">
          <cell r="H147">
            <v>-150.28439</v>
          </cell>
        </row>
        <row r="148">
          <cell r="H148">
            <v>-151.10017999999999</v>
          </cell>
        </row>
        <row r="149">
          <cell r="H149">
            <v>-151.91597999999999</v>
          </cell>
        </row>
        <row r="150">
          <cell r="H150">
            <v>-152.73178999999999</v>
          </cell>
        </row>
        <row r="151">
          <cell r="H151">
            <v>-153.54138</v>
          </cell>
        </row>
        <row r="152">
          <cell r="H152">
            <v>-154.33699000000001</v>
          </cell>
        </row>
        <row r="153">
          <cell r="H153">
            <v>-155.1327</v>
          </cell>
        </row>
        <row r="154">
          <cell r="H154">
            <v>-155.92841999999999</v>
          </cell>
        </row>
        <row r="155">
          <cell r="H155">
            <v>-156.72404</v>
          </cell>
        </row>
        <row r="156">
          <cell r="H156">
            <v>-157.51966999999999</v>
          </cell>
        </row>
        <row r="157">
          <cell r="H157">
            <v>-158.31539000000001</v>
          </cell>
        </row>
        <row r="158">
          <cell r="H158">
            <v>-159.11103</v>
          </cell>
        </row>
        <row r="159">
          <cell r="H159">
            <v>-159.90675999999999</v>
          </cell>
        </row>
        <row r="160">
          <cell r="H160">
            <v>-160.70240999999999</v>
          </cell>
        </row>
        <row r="161">
          <cell r="H161">
            <v>-161.49825000000001</v>
          </cell>
        </row>
        <row r="162">
          <cell r="H162">
            <v>-162.29390000000001</v>
          </cell>
        </row>
        <row r="163">
          <cell r="H163">
            <v>-163.08965000000001</v>
          </cell>
        </row>
        <row r="164">
          <cell r="H164">
            <v>-163.88531</v>
          </cell>
        </row>
        <row r="165">
          <cell r="H165">
            <v>-164.68107000000001</v>
          </cell>
        </row>
        <row r="166">
          <cell r="H166">
            <v>-165.47663</v>
          </cell>
        </row>
        <row r="167">
          <cell r="H167">
            <v>-166.27239999999998</v>
          </cell>
        </row>
        <row r="168">
          <cell r="H168">
            <v>-167.06817999999998</v>
          </cell>
        </row>
        <row r="169">
          <cell r="H169">
            <v>-167.86394999999999</v>
          </cell>
        </row>
        <row r="170">
          <cell r="H170">
            <v>-168.65962999999999</v>
          </cell>
        </row>
        <row r="171">
          <cell r="H171">
            <v>-169.45532</v>
          </cell>
        </row>
        <row r="172">
          <cell r="H172">
            <v>-170.25101000000001</v>
          </cell>
        </row>
        <row r="173">
          <cell r="H173">
            <v>-171.04680000000002</v>
          </cell>
        </row>
        <row r="174">
          <cell r="H174">
            <v>-171.84249</v>
          </cell>
        </row>
        <row r="175">
          <cell r="H175">
            <v>-172.63830000000002</v>
          </cell>
        </row>
        <row r="176">
          <cell r="H176">
            <v>-173.434</v>
          </cell>
        </row>
        <row r="177">
          <cell r="H177">
            <v>-174.22980999999999</v>
          </cell>
        </row>
        <row r="178">
          <cell r="H178">
            <v>-175.03119000000001</v>
          </cell>
        </row>
        <row r="179">
          <cell r="H179">
            <v>-175.83340000000001</v>
          </cell>
        </row>
        <row r="180">
          <cell r="H180">
            <v>-176.63551000000001</v>
          </cell>
        </row>
        <row r="181">
          <cell r="H181">
            <v>-177.43781999999999</v>
          </cell>
        </row>
        <row r="182">
          <cell r="H182">
            <v>-178.23993999999999</v>
          </cell>
        </row>
        <row r="183">
          <cell r="H183">
            <v>-179.04216</v>
          </cell>
        </row>
        <row r="184">
          <cell r="H184">
            <v>-179.84438999999998</v>
          </cell>
        </row>
        <row r="185">
          <cell r="H185">
            <v>-180.64661999999998</v>
          </cell>
        </row>
        <row r="186">
          <cell r="H186">
            <v>-181.44886000000002</v>
          </cell>
        </row>
        <row r="187">
          <cell r="H187">
            <v>-182.25110000000001</v>
          </cell>
        </row>
        <row r="188">
          <cell r="H188">
            <v>-183.05323999999999</v>
          </cell>
        </row>
        <row r="189">
          <cell r="H189">
            <v>-183.85549</v>
          </cell>
        </row>
        <row r="190">
          <cell r="H190">
            <v>-184.65773999999999</v>
          </cell>
        </row>
        <row r="191">
          <cell r="H191">
            <v>-185.45999999999998</v>
          </cell>
        </row>
        <row r="192">
          <cell r="H192">
            <v>-186.26215999999999</v>
          </cell>
        </row>
        <row r="193">
          <cell r="H193">
            <v>-187.06442000000001</v>
          </cell>
        </row>
        <row r="194">
          <cell r="H194">
            <v>-187.86658999999997</v>
          </cell>
        </row>
        <row r="195">
          <cell r="H195">
            <v>-188.66886</v>
          </cell>
        </row>
        <row r="196">
          <cell r="H196">
            <v>-189.47124000000002</v>
          </cell>
        </row>
        <row r="197">
          <cell r="H197">
            <v>-190.27342000000002</v>
          </cell>
        </row>
        <row r="198">
          <cell r="H198">
            <v>-191.07560000000001</v>
          </cell>
        </row>
        <row r="199">
          <cell r="H199">
            <v>-191.87788999999998</v>
          </cell>
        </row>
        <row r="200">
          <cell r="H200">
            <v>-192.68008000000003</v>
          </cell>
        </row>
        <row r="201">
          <cell r="H201">
            <v>-193.48238000000001</v>
          </cell>
        </row>
        <row r="202">
          <cell r="H202">
            <v>-194.28467999999998</v>
          </cell>
        </row>
        <row r="203">
          <cell r="H203">
            <v>-195.08688999999998</v>
          </cell>
        </row>
        <row r="204">
          <cell r="H204">
            <v>-195.88919000000001</v>
          </cell>
        </row>
        <row r="205">
          <cell r="H205">
            <v>-196.69150999999999</v>
          </cell>
        </row>
        <row r="206">
          <cell r="H206">
            <v>-197.49372</v>
          </cell>
        </row>
        <row r="207">
          <cell r="H207">
            <v>-198.29595</v>
          </cell>
        </row>
        <row r="208">
          <cell r="H208">
            <v>-199.09827000000001</v>
          </cell>
        </row>
        <row r="209">
          <cell r="H209">
            <v>-199.9006</v>
          </cell>
        </row>
        <row r="210">
          <cell r="H210">
            <v>-200.70283000000001</v>
          </cell>
        </row>
        <row r="211">
          <cell r="H211">
            <v>-201.50516999999999</v>
          </cell>
        </row>
        <row r="212">
          <cell r="H212">
            <v>-202.30741</v>
          </cell>
        </row>
        <row r="213">
          <cell r="H213">
            <v>-203.10966000000002</v>
          </cell>
        </row>
        <row r="214">
          <cell r="H214">
            <v>-203.91201000000001</v>
          </cell>
        </row>
        <row r="215">
          <cell r="H215">
            <v>-204.71426</v>
          </cell>
        </row>
        <row r="216">
          <cell r="H216">
            <v>-205.51662000000002</v>
          </cell>
        </row>
        <row r="217">
          <cell r="H217">
            <v>-206.31888000000001</v>
          </cell>
        </row>
        <row r="218">
          <cell r="H218">
            <v>-207.11031</v>
          </cell>
        </row>
        <row r="219">
          <cell r="H219">
            <v>-207.89328999999998</v>
          </cell>
        </row>
        <row r="220">
          <cell r="H220">
            <v>-208.67637999999999</v>
          </cell>
        </row>
        <row r="221">
          <cell r="H221">
            <v>-209.45926000000003</v>
          </cell>
        </row>
        <row r="222">
          <cell r="H222">
            <v>-210.24225999999999</v>
          </cell>
        </row>
        <row r="223">
          <cell r="H223">
            <v>-211.02535</v>
          </cell>
        </row>
        <row r="224">
          <cell r="H224">
            <v>-211.80844999999999</v>
          </cell>
        </row>
        <row r="225">
          <cell r="H225">
            <v>-212.59145999999998</v>
          </cell>
        </row>
        <row r="226">
          <cell r="H226">
            <v>-213.37446</v>
          </cell>
        </row>
        <row r="227">
          <cell r="H227">
            <v>-214.15756999999999</v>
          </cell>
        </row>
        <row r="228">
          <cell r="H228">
            <v>-214.94058999999999</v>
          </cell>
        </row>
        <row r="229">
          <cell r="H229">
            <v>-215.72361000000001</v>
          </cell>
        </row>
        <row r="230">
          <cell r="H230">
            <v>-216.50673</v>
          </cell>
        </row>
        <row r="231">
          <cell r="H231">
            <v>-217.28966000000003</v>
          </cell>
        </row>
        <row r="232">
          <cell r="H232">
            <v>-218.07279</v>
          </cell>
        </row>
        <row r="233">
          <cell r="H233">
            <v>-218.85581999999999</v>
          </cell>
        </row>
        <row r="234">
          <cell r="H234">
            <v>-219.63896</v>
          </cell>
        </row>
        <row r="235">
          <cell r="H235">
            <v>-220.42200000000003</v>
          </cell>
        </row>
        <row r="236">
          <cell r="H236">
            <v>-221.20504</v>
          </cell>
        </row>
        <row r="237">
          <cell r="H237">
            <v>-221.98819000000003</v>
          </cell>
        </row>
        <row r="238">
          <cell r="H238">
            <v>-222.77125000000001</v>
          </cell>
        </row>
        <row r="239">
          <cell r="H239">
            <v>-223.55430000000001</v>
          </cell>
        </row>
        <row r="240">
          <cell r="H240">
            <v>-224.33746000000002</v>
          </cell>
        </row>
        <row r="241">
          <cell r="H241">
            <v>-225.12053</v>
          </cell>
        </row>
        <row r="242">
          <cell r="H242">
            <v>-225.90360000000001</v>
          </cell>
        </row>
        <row r="243">
          <cell r="H243">
            <v>-226.68656999999999</v>
          </cell>
        </row>
        <row r="244">
          <cell r="H244">
            <v>-227.46964</v>
          </cell>
        </row>
        <row r="245">
          <cell r="H245">
            <v>-228.25281999999999</v>
          </cell>
        </row>
        <row r="246">
          <cell r="H246">
            <v>-229.03591</v>
          </cell>
        </row>
        <row r="247">
          <cell r="H247">
            <v>-229.81898999999999</v>
          </cell>
        </row>
        <row r="248">
          <cell r="H248">
            <v>-230.60209</v>
          </cell>
        </row>
        <row r="249">
          <cell r="H249">
            <v>-231.38527999999999</v>
          </cell>
        </row>
        <row r="250">
          <cell r="H250">
            <v>-232.16828000000001</v>
          </cell>
        </row>
        <row r="251">
          <cell r="H251">
            <v>-232.95148</v>
          </cell>
        </row>
        <row r="252">
          <cell r="H252">
            <v>-233.73459</v>
          </cell>
        </row>
        <row r="253">
          <cell r="H253">
            <v>-234.51769999999999</v>
          </cell>
        </row>
        <row r="254">
          <cell r="H254">
            <v>-235.30091000000002</v>
          </cell>
        </row>
        <row r="255">
          <cell r="H255">
            <v>-236.08393000000001</v>
          </cell>
        </row>
        <row r="256">
          <cell r="H256">
            <v>-236.86705000000001</v>
          </cell>
        </row>
        <row r="257">
          <cell r="H257">
            <v>-237.65018000000003</v>
          </cell>
        </row>
        <row r="258">
          <cell r="H258">
            <v>-238.4333</v>
          </cell>
        </row>
        <row r="259">
          <cell r="H259">
            <v>-239.21634</v>
          </cell>
        </row>
        <row r="260">
          <cell r="H260">
            <v>-239.99947</v>
          </cell>
        </row>
        <row r="261">
          <cell r="H261">
            <v>-240.78271000000001</v>
          </cell>
        </row>
        <row r="262">
          <cell r="H262">
            <v>-241.56585999999999</v>
          </cell>
        </row>
        <row r="263">
          <cell r="H263">
            <v>-242.34900999999996</v>
          </cell>
        </row>
        <row r="264">
          <cell r="H264">
            <v>-243.13205999999997</v>
          </cell>
        </row>
        <row r="265">
          <cell r="H265">
            <v>-243.91521</v>
          </cell>
        </row>
        <row r="266">
          <cell r="H266">
            <v>-244.69837000000001</v>
          </cell>
        </row>
        <row r="267">
          <cell r="H267">
            <v>-245.48154</v>
          </cell>
        </row>
        <row r="268">
          <cell r="H268">
            <v>-246.2647</v>
          </cell>
        </row>
        <row r="269">
          <cell r="H269">
            <v>-247.04796999999999</v>
          </cell>
        </row>
        <row r="270">
          <cell r="H270">
            <v>-247.83105000000003</v>
          </cell>
        </row>
        <row r="271">
          <cell r="H271">
            <v>-248.61423000000002</v>
          </cell>
        </row>
        <row r="272">
          <cell r="H272">
            <v>-249.39741000000001</v>
          </cell>
        </row>
        <row r="273">
          <cell r="H273">
            <v>-250.18059999999997</v>
          </cell>
        </row>
        <row r="274">
          <cell r="H274">
            <v>-250.96378999999999</v>
          </cell>
        </row>
        <row r="275">
          <cell r="H275">
            <v>-251.74698000000001</v>
          </cell>
        </row>
        <row r="276">
          <cell r="H276">
            <v>-252.53008</v>
          </cell>
        </row>
        <row r="277">
          <cell r="H277">
            <v>-253.31327999999999</v>
          </cell>
        </row>
        <row r="278">
          <cell r="H278">
            <v>-254.09647999999999</v>
          </cell>
        </row>
        <row r="279">
          <cell r="H279">
            <v>-254.87969000000001</v>
          </cell>
        </row>
        <row r="280">
          <cell r="H280">
            <v>-255.66281000000001</v>
          </cell>
        </row>
        <row r="281">
          <cell r="H281">
            <v>-256.44612000000001</v>
          </cell>
        </row>
        <row r="282">
          <cell r="H282">
            <v>-257.22924</v>
          </cell>
        </row>
        <row r="283">
          <cell r="H283">
            <v>-258.01247000000001</v>
          </cell>
        </row>
        <row r="284">
          <cell r="H284">
            <v>-258.79569000000004</v>
          </cell>
        </row>
        <row r="285">
          <cell r="H285">
            <v>-259.57883000000004</v>
          </cell>
        </row>
        <row r="286">
          <cell r="H286">
            <v>-260.36196000000001</v>
          </cell>
        </row>
        <row r="287">
          <cell r="H287">
            <v>-261.14510000000001</v>
          </cell>
        </row>
        <row r="288">
          <cell r="H288">
            <v>-261.92844000000002</v>
          </cell>
        </row>
        <row r="289">
          <cell r="H289">
            <v>-262.71148999999997</v>
          </cell>
        </row>
        <row r="290">
          <cell r="H290">
            <v>-263.49493999999999</v>
          </cell>
        </row>
        <row r="291">
          <cell r="H291">
            <v>-264.27839999999998</v>
          </cell>
        </row>
        <row r="292">
          <cell r="H292">
            <v>-265.06075999999996</v>
          </cell>
        </row>
        <row r="293">
          <cell r="H293">
            <v>-265.84462000000002</v>
          </cell>
        </row>
        <row r="294">
          <cell r="H294">
            <v>-266.62738000000002</v>
          </cell>
        </row>
        <row r="295">
          <cell r="H295">
            <v>-267.41115000000002</v>
          </cell>
        </row>
        <row r="296">
          <cell r="H296">
            <v>-268.19493</v>
          </cell>
        </row>
        <row r="297">
          <cell r="H297">
            <v>-268.97669999999999</v>
          </cell>
        </row>
        <row r="298">
          <cell r="H298">
            <v>-269.76049</v>
          </cell>
        </row>
        <row r="299">
          <cell r="H299">
            <v>-270.54426999999998</v>
          </cell>
        </row>
        <row r="300">
          <cell r="H300">
            <v>-271.32706000000002</v>
          </cell>
        </row>
        <row r="301">
          <cell r="H301">
            <v>-272.11085000000003</v>
          </cell>
        </row>
        <row r="302">
          <cell r="H302">
            <v>-272.89364999999998</v>
          </cell>
        </row>
        <row r="303">
          <cell r="H303">
            <v>-273.67644999999999</v>
          </cell>
        </row>
        <row r="304">
          <cell r="H304">
            <v>-274.46024999999997</v>
          </cell>
        </row>
        <row r="305">
          <cell r="H305">
            <v>-275.24405999999999</v>
          </cell>
        </row>
        <row r="306">
          <cell r="H306">
            <v>-276.02587</v>
          </cell>
        </row>
        <row r="307">
          <cell r="H307">
            <v>-276.80968999999999</v>
          </cell>
        </row>
        <row r="308">
          <cell r="H308">
            <v>-277.59351000000004</v>
          </cell>
        </row>
        <row r="309">
          <cell r="H309">
            <v>-278.37633</v>
          </cell>
        </row>
        <row r="310">
          <cell r="H310">
            <v>-279.15915999999999</v>
          </cell>
        </row>
        <row r="311">
          <cell r="H311">
            <v>-279.94299000000001</v>
          </cell>
        </row>
        <row r="312">
          <cell r="H312">
            <v>-280.72681999999998</v>
          </cell>
        </row>
        <row r="313">
          <cell r="H313">
            <v>-281.50966</v>
          </cell>
        </row>
        <row r="314">
          <cell r="H314">
            <v>-282.29249999999996</v>
          </cell>
        </row>
        <row r="315">
          <cell r="H315">
            <v>-283.07634999999999</v>
          </cell>
        </row>
        <row r="316">
          <cell r="H316">
            <v>-283.85919999999999</v>
          </cell>
        </row>
        <row r="317">
          <cell r="H317">
            <v>-284.64305000000002</v>
          </cell>
        </row>
        <row r="318">
          <cell r="H318">
            <v>-285.42585000000003</v>
          </cell>
        </row>
        <row r="319">
          <cell r="H319">
            <v>-286.20704000000001</v>
          </cell>
        </row>
        <row r="320">
          <cell r="H320">
            <v>-286.98822999999999</v>
          </cell>
        </row>
        <row r="321">
          <cell r="H321">
            <v>-287.77042</v>
          </cell>
        </row>
        <row r="322">
          <cell r="H322">
            <v>-288.55061999999998</v>
          </cell>
        </row>
        <row r="323">
          <cell r="H323">
            <v>-289.33181999999999</v>
          </cell>
        </row>
        <row r="324">
          <cell r="H324">
            <v>-290.11411999999996</v>
          </cell>
        </row>
        <row r="325">
          <cell r="H325">
            <v>-290.89533</v>
          </cell>
        </row>
        <row r="326">
          <cell r="H326">
            <v>-291.67754000000002</v>
          </cell>
        </row>
        <row r="327">
          <cell r="H327">
            <v>-292.45875999999998</v>
          </cell>
        </row>
        <row r="328">
          <cell r="H328">
            <v>-293.23997000000003</v>
          </cell>
        </row>
        <row r="329">
          <cell r="H329">
            <v>-294.0222</v>
          </cell>
        </row>
        <row r="330">
          <cell r="H330">
            <v>-294.80342999999999</v>
          </cell>
        </row>
        <row r="331">
          <cell r="H331">
            <v>-295.58465999999999</v>
          </cell>
        </row>
        <row r="332">
          <cell r="H332">
            <v>-296.36689000000001</v>
          </cell>
        </row>
        <row r="333">
          <cell r="H333">
            <v>-297.14812999999998</v>
          </cell>
        </row>
        <row r="334">
          <cell r="H334">
            <v>-297.93047000000001</v>
          </cell>
        </row>
        <row r="335">
          <cell r="H335">
            <v>-298.71172000000001</v>
          </cell>
        </row>
        <row r="336">
          <cell r="H336">
            <v>-299.49297000000001</v>
          </cell>
        </row>
        <row r="337">
          <cell r="H337">
            <v>-300.27422000000001</v>
          </cell>
        </row>
        <row r="338">
          <cell r="H338">
            <v>-301.05547999999999</v>
          </cell>
        </row>
        <row r="339">
          <cell r="H339">
            <v>-301.83774000000005</v>
          </cell>
        </row>
        <row r="340">
          <cell r="H340">
            <v>-302.61901</v>
          </cell>
        </row>
        <row r="341">
          <cell r="H341">
            <v>-303.40128000000004</v>
          </cell>
        </row>
        <row r="342">
          <cell r="H342">
            <v>-304.18254999999999</v>
          </cell>
        </row>
        <row r="343">
          <cell r="H343">
            <v>-304.96393</v>
          </cell>
        </row>
        <row r="344">
          <cell r="H344">
            <v>-305.74621000000002</v>
          </cell>
        </row>
        <row r="345">
          <cell r="H345">
            <v>-306.52749</v>
          </cell>
        </row>
        <row r="346">
          <cell r="H346">
            <v>-307.30977999999999</v>
          </cell>
        </row>
        <row r="347">
          <cell r="H347">
            <v>-308.09006999999997</v>
          </cell>
        </row>
        <row r="348">
          <cell r="H348">
            <v>-308.87137000000001</v>
          </cell>
        </row>
        <row r="349">
          <cell r="H349">
            <v>-309.65367000000003</v>
          </cell>
        </row>
        <row r="350">
          <cell r="H350">
            <v>-310.43497000000002</v>
          </cell>
        </row>
        <row r="351">
          <cell r="H351">
            <v>-311.21737999999999</v>
          </cell>
        </row>
        <row r="352">
          <cell r="H352">
            <v>-311.99869000000001</v>
          </cell>
        </row>
        <row r="353">
          <cell r="H353">
            <v>-312.78101000000004</v>
          </cell>
        </row>
        <row r="354">
          <cell r="H354">
            <v>-313.56232999999997</v>
          </cell>
        </row>
        <row r="355">
          <cell r="H355">
            <v>-314.34365000000003</v>
          </cell>
        </row>
        <row r="356">
          <cell r="H356">
            <v>-315.12498000000005</v>
          </cell>
        </row>
        <row r="357">
          <cell r="H357">
            <v>-315.90630999999996</v>
          </cell>
        </row>
        <row r="358">
          <cell r="H358">
            <v>-316.69132000000002</v>
          </cell>
        </row>
        <row r="359">
          <cell r="H359">
            <v>-317.48039</v>
          </cell>
        </row>
        <row r="360">
          <cell r="H360">
            <v>-318.26846</v>
          </cell>
        </row>
        <row r="361">
          <cell r="H361">
            <v>-319.05754000000002</v>
          </cell>
        </row>
        <row r="362">
          <cell r="H362">
            <v>-319.84571999999997</v>
          </cell>
        </row>
        <row r="363">
          <cell r="H363">
            <v>-320.63480000000004</v>
          </cell>
        </row>
        <row r="364">
          <cell r="H364">
            <v>-321.42388000000005</v>
          </cell>
        </row>
        <row r="365">
          <cell r="H365">
            <v>-322.21197000000001</v>
          </cell>
        </row>
        <row r="366">
          <cell r="H366">
            <v>-323.00107000000003</v>
          </cell>
        </row>
        <row r="367">
          <cell r="H367">
            <v>-323.78917000000001</v>
          </cell>
        </row>
        <row r="368">
          <cell r="H368">
            <v>-324.57936999999998</v>
          </cell>
        </row>
        <row r="369">
          <cell r="H369">
            <v>-325.36748</v>
          </cell>
        </row>
        <row r="370">
          <cell r="H370">
            <v>-326.15658999999999</v>
          </cell>
        </row>
        <row r="371">
          <cell r="H371">
            <v>-326.94569999999999</v>
          </cell>
        </row>
        <row r="372">
          <cell r="H372">
            <v>-327.73381999999998</v>
          </cell>
        </row>
        <row r="373">
          <cell r="H373">
            <v>-328.52303999999998</v>
          </cell>
        </row>
        <row r="374">
          <cell r="H374">
            <v>-329.31117</v>
          </cell>
        </row>
        <row r="375">
          <cell r="H375">
            <v>-330.1003</v>
          </cell>
        </row>
        <row r="376">
          <cell r="H376">
            <v>-330.88842999999997</v>
          </cell>
        </row>
        <row r="377">
          <cell r="H377">
            <v>-331.67756999999995</v>
          </cell>
        </row>
        <row r="378">
          <cell r="H378">
            <v>-332.46671000000003</v>
          </cell>
        </row>
        <row r="379">
          <cell r="H379">
            <v>-333.25594999999998</v>
          </cell>
        </row>
        <row r="380">
          <cell r="H380">
            <v>-334.04509999999999</v>
          </cell>
        </row>
        <row r="381">
          <cell r="H381">
            <v>-334.83326</v>
          </cell>
        </row>
        <row r="382">
          <cell r="H382">
            <v>-335.62241</v>
          </cell>
        </row>
        <row r="383">
          <cell r="H383">
            <v>-336.41057999999998</v>
          </cell>
        </row>
        <row r="384">
          <cell r="H384">
            <v>-337.19983999999999</v>
          </cell>
        </row>
        <row r="385">
          <cell r="H385">
            <v>-337.98800999999997</v>
          </cell>
        </row>
        <row r="386">
          <cell r="H386">
            <v>-338.77718000000004</v>
          </cell>
        </row>
        <row r="387">
          <cell r="H387">
            <v>-339.56636000000003</v>
          </cell>
        </row>
        <row r="388">
          <cell r="H388">
            <v>-340.35553999999996</v>
          </cell>
        </row>
        <row r="389">
          <cell r="H389">
            <v>-341.14382999999998</v>
          </cell>
        </row>
        <row r="390">
          <cell r="H390">
            <v>-341.93300999999997</v>
          </cell>
        </row>
        <row r="391">
          <cell r="H391">
            <v>-342.72120999999999</v>
          </cell>
        </row>
        <row r="392">
          <cell r="H392">
            <v>-343.5104</v>
          </cell>
        </row>
        <row r="393">
          <cell r="H393">
            <v>-344.29860000000002</v>
          </cell>
        </row>
        <row r="394">
          <cell r="H394">
            <v>-345.08790999999997</v>
          </cell>
        </row>
        <row r="395">
          <cell r="H395">
            <v>-345.87711999999999</v>
          </cell>
        </row>
        <row r="396">
          <cell r="H396">
            <v>-346.66633000000002</v>
          </cell>
        </row>
        <row r="397">
          <cell r="H397">
            <v>-347.45454999999998</v>
          </cell>
        </row>
        <row r="398">
          <cell r="H398">
            <v>-348.24376999999998</v>
          </cell>
        </row>
        <row r="399">
          <cell r="H399">
            <v>-349.03209000000004</v>
          </cell>
        </row>
        <row r="400">
          <cell r="H400">
            <v>-349.82132000000001</v>
          </cell>
        </row>
        <row r="401">
          <cell r="H401">
            <v>-350.6096</v>
          </cell>
        </row>
        <row r="402">
          <cell r="H402">
            <v>-351.39980000000003</v>
          </cell>
        </row>
        <row r="403">
          <cell r="H403">
            <v>-352.18809999999996</v>
          </cell>
        </row>
        <row r="404">
          <cell r="H404">
            <v>-352.97739999999999</v>
          </cell>
        </row>
        <row r="405">
          <cell r="H405">
            <v>-353.76560000000001</v>
          </cell>
        </row>
        <row r="406">
          <cell r="H406">
            <v>-354.55489999999998</v>
          </cell>
        </row>
        <row r="407">
          <cell r="H407">
            <v>-355.34309999999999</v>
          </cell>
        </row>
        <row r="408">
          <cell r="H408">
            <v>-356.13250000000005</v>
          </cell>
        </row>
        <row r="409">
          <cell r="H409">
            <v>-356.92169999999999</v>
          </cell>
        </row>
        <row r="410">
          <cell r="H410">
            <v>-357.71000000000004</v>
          </cell>
        </row>
        <row r="411">
          <cell r="H411">
            <v>-358.49929999999995</v>
          </cell>
        </row>
        <row r="412">
          <cell r="H412">
            <v>-359.28770000000003</v>
          </cell>
        </row>
        <row r="413">
          <cell r="H413">
            <v>-360.07690000000002</v>
          </cell>
        </row>
        <row r="414">
          <cell r="H414">
            <v>-360.86619999999999</v>
          </cell>
        </row>
        <row r="415">
          <cell r="H415">
            <v>-361.65550000000002</v>
          </cell>
        </row>
        <row r="416">
          <cell r="H416">
            <v>-362.44389999999999</v>
          </cell>
        </row>
        <row r="417">
          <cell r="H417">
            <v>-363.23219999999998</v>
          </cell>
        </row>
        <row r="418">
          <cell r="H418">
            <v>-364.0215</v>
          </cell>
        </row>
        <row r="419">
          <cell r="H419">
            <v>-364.8098</v>
          </cell>
        </row>
        <row r="420">
          <cell r="H420">
            <v>-365.60019999999997</v>
          </cell>
        </row>
        <row r="421">
          <cell r="H421">
            <v>-366.38850000000002</v>
          </cell>
        </row>
        <row r="422">
          <cell r="H422">
            <v>-367.17679999999996</v>
          </cell>
        </row>
        <row r="423">
          <cell r="H423">
            <v>-367.96620000000001</v>
          </cell>
        </row>
        <row r="424">
          <cell r="H424">
            <v>-368.75459999999998</v>
          </cell>
        </row>
        <row r="425">
          <cell r="H425">
            <v>-369.54489999999998</v>
          </cell>
        </row>
        <row r="426">
          <cell r="H426">
            <v>-370.33320000000003</v>
          </cell>
        </row>
        <row r="427">
          <cell r="H427">
            <v>-371.12159999999994</v>
          </cell>
        </row>
        <row r="428">
          <cell r="H428">
            <v>-371.911</v>
          </cell>
        </row>
        <row r="429">
          <cell r="H429">
            <v>-372.69849999999997</v>
          </cell>
        </row>
        <row r="430">
          <cell r="H430">
            <v>-373.48500000000001</v>
          </cell>
        </row>
        <row r="431">
          <cell r="H431">
            <v>-374.27060000000006</v>
          </cell>
        </row>
        <row r="432">
          <cell r="H432">
            <v>-375.05720000000002</v>
          </cell>
        </row>
        <row r="433">
          <cell r="H433">
            <v>-375.84390000000002</v>
          </cell>
        </row>
        <row r="434">
          <cell r="H434">
            <v>-376.63049999999998</v>
          </cell>
        </row>
        <row r="435">
          <cell r="H435">
            <v>-377.416</v>
          </cell>
        </row>
        <row r="436">
          <cell r="H436">
            <v>-378.20260000000002</v>
          </cell>
        </row>
        <row r="437">
          <cell r="H437">
            <v>-378.98919999999998</v>
          </cell>
        </row>
        <row r="438">
          <cell r="H438">
            <v>-379.7758</v>
          </cell>
        </row>
        <row r="439">
          <cell r="H439">
            <v>-380.56150000000002</v>
          </cell>
        </row>
        <row r="440">
          <cell r="H440">
            <v>-381.34820000000002</v>
          </cell>
        </row>
        <row r="441">
          <cell r="H441">
            <v>-382.13480000000004</v>
          </cell>
        </row>
        <row r="442">
          <cell r="H442">
            <v>-382.92139999999995</v>
          </cell>
        </row>
        <row r="443">
          <cell r="H443">
            <v>-383.70699999999999</v>
          </cell>
        </row>
        <row r="444">
          <cell r="H444">
            <v>-384.49459999999999</v>
          </cell>
        </row>
        <row r="445">
          <cell r="H445">
            <v>-385.28140000000002</v>
          </cell>
        </row>
        <row r="446">
          <cell r="H446">
            <v>-386.06700000000001</v>
          </cell>
        </row>
        <row r="447">
          <cell r="H447">
            <v>-386.8537</v>
          </cell>
        </row>
        <row r="448">
          <cell r="H448">
            <v>-387.64030000000002</v>
          </cell>
        </row>
        <row r="449">
          <cell r="H449">
            <v>-388.42689999999999</v>
          </cell>
        </row>
        <row r="450">
          <cell r="H450">
            <v>-389.21260000000001</v>
          </cell>
        </row>
        <row r="451">
          <cell r="H451">
            <v>-389.99930000000006</v>
          </cell>
        </row>
        <row r="452">
          <cell r="H452">
            <v>-390.78600000000006</v>
          </cell>
        </row>
        <row r="453">
          <cell r="H453">
            <v>-391.57169999999996</v>
          </cell>
        </row>
        <row r="454">
          <cell r="H454">
            <v>-392.35829999999999</v>
          </cell>
        </row>
        <row r="455">
          <cell r="H455">
            <v>-393.14499999999998</v>
          </cell>
        </row>
        <row r="456">
          <cell r="H456">
            <v>-393.9307</v>
          </cell>
        </row>
        <row r="457">
          <cell r="H457">
            <v>-394.71750000000003</v>
          </cell>
        </row>
        <row r="458">
          <cell r="H458">
            <v>-395.50409999999999</v>
          </cell>
        </row>
        <row r="459">
          <cell r="H459">
            <v>-396.28980000000001</v>
          </cell>
        </row>
        <row r="460">
          <cell r="H460">
            <v>-397.07650000000001</v>
          </cell>
        </row>
        <row r="461">
          <cell r="H461">
            <v>-397.86320000000001</v>
          </cell>
        </row>
        <row r="462">
          <cell r="H462">
            <v>-398.649</v>
          </cell>
        </row>
        <row r="463">
          <cell r="H463">
            <v>-399.4357</v>
          </cell>
        </row>
        <row r="464">
          <cell r="H464">
            <v>-400.22339999999997</v>
          </cell>
        </row>
        <row r="465">
          <cell r="H465">
            <v>-401.00909999999999</v>
          </cell>
        </row>
        <row r="466">
          <cell r="H466">
            <v>-401.79589999999996</v>
          </cell>
        </row>
        <row r="467">
          <cell r="H467">
            <v>-402.58270000000005</v>
          </cell>
        </row>
        <row r="468">
          <cell r="H468">
            <v>-403.36839999999995</v>
          </cell>
        </row>
        <row r="469">
          <cell r="H469">
            <v>-404.1551</v>
          </cell>
        </row>
        <row r="470">
          <cell r="H470">
            <v>-404.94079999999997</v>
          </cell>
        </row>
        <row r="471">
          <cell r="H471">
            <v>-405.7269</v>
          </cell>
        </row>
        <row r="472">
          <cell r="H472">
            <v>-406.51179999999999</v>
          </cell>
        </row>
        <row r="473">
          <cell r="H473">
            <v>-407.29780000000005</v>
          </cell>
        </row>
        <row r="474">
          <cell r="H474">
            <v>-408.08370000000002</v>
          </cell>
        </row>
        <row r="475">
          <cell r="H475">
            <v>-408.86880000000002</v>
          </cell>
        </row>
        <row r="476">
          <cell r="H476">
            <v>-409.65469999999999</v>
          </cell>
        </row>
        <row r="477">
          <cell r="H477">
            <v>-410.44069999999999</v>
          </cell>
        </row>
        <row r="478">
          <cell r="H478">
            <v>-411.22469999999998</v>
          </cell>
        </row>
        <row r="479">
          <cell r="H479">
            <v>-412.01070000000004</v>
          </cell>
        </row>
        <row r="480">
          <cell r="H480">
            <v>-412.79669999999999</v>
          </cell>
        </row>
        <row r="481">
          <cell r="H481">
            <v>-413.58170000000001</v>
          </cell>
        </row>
        <row r="482">
          <cell r="H482">
            <v>-414.36770000000001</v>
          </cell>
        </row>
        <row r="483">
          <cell r="H483">
            <v>-415.15369999999996</v>
          </cell>
        </row>
        <row r="484">
          <cell r="H484">
            <v>-415.93870000000004</v>
          </cell>
        </row>
        <row r="485">
          <cell r="H485">
            <v>-416.72379999999998</v>
          </cell>
        </row>
        <row r="486">
          <cell r="H486">
            <v>-417.50970000000001</v>
          </cell>
        </row>
        <row r="487">
          <cell r="H487">
            <v>-418.29579999999999</v>
          </cell>
        </row>
        <row r="488">
          <cell r="H488">
            <v>-419.08089999999993</v>
          </cell>
        </row>
        <row r="489">
          <cell r="H489">
            <v>-419.86689999999999</v>
          </cell>
        </row>
        <row r="490">
          <cell r="H490">
            <v>-420.65199999999999</v>
          </cell>
        </row>
        <row r="491">
          <cell r="H491">
            <v>-421.43689999999992</v>
          </cell>
        </row>
        <row r="492">
          <cell r="H492">
            <v>-422.22300000000001</v>
          </cell>
        </row>
        <row r="493">
          <cell r="H493">
            <v>-423.00900000000001</v>
          </cell>
        </row>
        <row r="494">
          <cell r="H494">
            <v>-423.79509999999999</v>
          </cell>
        </row>
        <row r="495">
          <cell r="H495">
            <v>-424.57919999999996</v>
          </cell>
        </row>
        <row r="496">
          <cell r="H496">
            <v>-425.36530000000005</v>
          </cell>
        </row>
        <row r="497">
          <cell r="H497">
            <v>-426.15129999999999</v>
          </cell>
        </row>
        <row r="498">
          <cell r="H498">
            <v>-426.93640000000005</v>
          </cell>
        </row>
        <row r="499">
          <cell r="H499">
            <v>-427.72239999999999</v>
          </cell>
        </row>
        <row r="500">
          <cell r="H500">
            <v>-428.50760000000002</v>
          </cell>
        </row>
        <row r="501">
          <cell r="H501">
            <v>-429.29359999999997</v>
          </cell>
        </row>
        <row r="502">
          <cell r="H502">
            <v>-430.07870000000003</v>
          </cell>
        </row>
        <row r="503">
          <cell r="H503">
            <v>-430.86490000000003</v>
          </cell>
        </row>
        <row r="504">
          <cell r="H504">
            <v>-431.65090000000004</v>
          </cell>
        </row>
        <row r="505">
          <cell r="H505">
            <v>-432.43610000000001</v>
          </cell>
        </row>
        <row r="506">
          <cell r="H506">
            <v>-433.22109999999998</v>
          </cell>
        </row>
        <row r="507">
          <cell r="H507">
            <v>-434.00730000000004</v>
          </cell>
        </row>
        <row r="508">
          <cell r="H508">
            <v>-434.79330000000004</v>
          </cell>
        </row>
        <row r="509">
          <cell r="H509">
            <v>-435.57749999999999</v>
          </cell>
        </row>
        <row r="510">
          <cell r="H510">
            <v>-436.36369999999999</v>
          </cell>
        </row>
        <row r="511">
          <cell r="H511">
            <v>-437.14970000000005</v>
          </cell>
        </row>
        <row r="512">
          <cell r="H512">
            <v>-437.9359</v>
          </cell>
        </row>
        <row r="513">
          <cell r="H513">
            <v>-438.72</v>
          </cell>
        </row>
        <row r="514">
          <cell r="H514">
            <v>-439.50620000000004</v>
          </cell>
        </row>
        <row r="515">
          <cell r="H515">
            <v>-440.29230000000001</v>
          </cell>
        </row>
        <row r="516">
          <cell r="H516">
            <v>-441.07839999999999</v>
          </cell>
        </row>
        <row r="517">
          <cell r="H517">
            <v>-441.86260000000004</v>
          </cell>
        </row>
        <row r="518">
          <cell r="H518">
            <v>-442.64869999999996</v>
          </cell>
        </row>
        <row r="519">
          <cell r="H519">
            <v>-443.43489999999997</v>
          </cell>
        </row>
        <row r="520">
          <cell r="H520">
            <v>-444.21999999999997</v>
          </cell>
        </row>
        <row r="521">
          <cell r="H521">
            <v>-445.00530000000003</v>
          </cell>
        </row>
        <row r="522">
          <cell r="H522">
            <v>-445.79139999999995</v>
          </cell>
        </row>
        <row r="523">
          <cell r="H523">
            <v>-446.57759999999996</v>
          </cell>
        </row>
        <row r="524">
          <cell r="H524">
            <v>-447.36279999999999</v>
          </cell>
        </row>
        <row r="525">
          <cell r="H525">
            <v>-448.14889999999997</v>
          </cell>
        </row>
        <row r="526">
          <cell r="H526">
            <v>-448.93420000000003</v>
          </cell>
        </row>
        <row r="527">
          <cell r="H527">
            <v>-449.71929999999998</v>
          </cell>
        </row>
        <row r="528">
          <cell r="H528">
            <v>-450.50560000000002</v>
          </cell>
        </row>
        <row r="529">
          <cell r="H529">
            <v>-451.29179999999997</v>
          </cell>
        </row>
        <row r="530">
          <cell r="H530">
            <v>-452.07589999999993</v>
          </cell>
        </row>
        <row r="531">
          <cell r="H531">
            <v>-452.86219999999997</v>
          </cell>
        </row>
        <row r="532">
          <cell r="H532">
            <v>-453.64840000000004</v>
          </cell>
        </row>
        <row r="533">
          <cell r="H533">
            <v>-454.43359999999996</v>
          </cell>
        </row>
        <row r="534">
          <cell r="H534">
            <v>-455.2199</v>
          </cell>
        </row>
        <row r="535">
          <cell r="H535">
            <v>-456.005</v>
          </cell>
        </row>
        <row r="536">
          <cell r="H536">
            <v>-456.7903</v>
          </cell>
        </row>
        <row r="537">
          <cell r="H537">
            <v>-457.57659999999998</v>
          </cell>
        </row>
        <row r="538">
          <cell r="H538">
            <v>-458.36279999999999</v>
          </cell>
        </row>
        <row r="539">
          <cell r="H539">
            <v>-459.14710000000002</v>
          </cell>
        </row>
        <row r="540">
          <cell r="H540">
            <v>-459.9332</v>
          </cell>
        </row>
        <row r="541">
          <cell r="H541">
            <v>-460.71950000000004</v>
          </cell>
        </row>
        <row r="542">
          <cell r="H542">
            <v>-461.50479999999993</v>
          </cell>
        </row>
        <row r="543">
          <cell r="H543">
            <v>-462.291</v>
          </cell>
        </row>
        <row r="544">
          <cell r="H544">
            <v>-463.07630000000006</v>
          </cell>
        </row>
        <row r="545">
          <cell r="H545">
            <v>-463.86160000000007</v>
          </cell>
        </row>
        <row r="546">
          <cell r="H546">
            <v>-464.64779999999996</v>
          </cell>
        </row>
        <row r="547">
          <cell r="H547">
            <v>-465.43420000000003</v>
          </cell>
        </row>
        <row r="548">
          <cell r="H548">
            <v>-466.21939999999995</v>
          </cell>
        </row>
        <row r="549">
          <cell r="H549">
            <v>-467.00569999999999</v>
          </cell>
        </row>
        <row r="550">
          <cell r="H550">
            <v>-467.79</v>
          </cell>
        </row>
        <row r="551">
          <cell r="H551">
            <v>-468.57630000000006</v>
          </cell>
        </row>
        <row r="552">
          <cell r="H552">
            <v>-469.36259999999999</v>
          </cell>
        </row>
        <row r="553">
          <cell r="H553">
            <v>-470.14790000000005</v>
          </cell>
        </row>
        <row r="554">
          <cell r="H554">
            <v>-470.93420000000003</v>
          </cell>
        </row>
        <row r="555">
          <cell r="H555">
            <v>-471.71849999999995</v>
          </cell>
        </row>
        <row r="556">
          <cell r="H556">
            <v>-472.50489999999996</v>
          </cell>
        </row>
        <row r="557">
          <cell r="H557">
            <v>-473.29110000000003</v>
          </cell>
        </row>
        <row r="558">
          <cell r="H558">
            <v>-474.07650000000001</v>
          </cell>
        </row>
        <row r="559">
          <cell r="H559">
            <v>-474.86289999999997</v>
          </cell>
        </row>
        <row r="560">
          <cell r="H560">
            <v>-475.6481</v>
          </cell>
        </row>
        <row r="561">
          <cell r="H561">
            <v>-476.43349999999998</v>
          </cell>
        </row>
        <row r="562">
          <cell r="H562">
            <v>-477.2199</v>
          </cell>
        </row>
        <row r="563">
          <cell r="H563">
            <v>-478.0052</v>
          </cell>
        </row>
        <row r="564">
          <cell r="H564">
            <v>-478.79150000000004</v>
          </cell>
        </row>
        <row r="565">
          <cell r="H565">
            <v>-479.57690000000002</v>
          </cell>
        </row>
        <row r="566">
          <cell r="H566">
            <v>-480.36320000000001</v>
          </cell>
        </row>
        <row r="567">
          <cell r="H567">
            <v>-481.14859999999999</v>
          </cell>
        </row>
        <row r="568">
          <cell r="H568">
            <v>-481.93399999999997</v>
          </cell>
        </row>
        <row r="569">
          <cell r="H569">
            <v>-482.72030000000001</v>
          </cell>
        </row>
        <row r="570">
          <cell r="H570">
            <v>-483.50569999999999</v>
          </cell>
        </row>
        <row r="571">
          <cell r="H571">
            <v>-484.2921</v>
          </cell>
        </row>
        <row r="572">
          <cell r="H572">
            <v>-485.07740000000001</v>
          </cell>
        </row>
        <row r="573">
          <cell r="H573">
            <v>-485.8639</v>
          </cell>
        </row>
        <row r="574">
          <cell r="H574">
            <v>-486.64839999999998</v>
          </cell>
        </row>
        <row r="575">
          <cell r="H575">
            <v>-487.43489999999997</v>
          </cell>
        </row>
        <row r="576">
          <cell r="H576">
            <v>-488.22039999999993</v>
          </cell>
        </row>
        <row r="577">
          <cell r="H577">
            <v>-489.00600000000003</v>
          </cell>
        </row>
        <row r="578">
          <cell r="H578">
            <v>-489.79149999999998</v>
          </cell>
        </row>
        <row r="579">
          <cell r="H579">
            <v>-490.57809999999995</v>
          </cell>
        </row>
        <row r="580">
          <cell r="H580">
            <v>-491.36360000000002</v>
          </cell>
        </row>
        <row r="581">
          <cell r="H581">
            <v>-492.15019999999998</v>
          </cell>
        </row>
        <row r="582">
          <cell r="H582">
            <v>-492.93470000000002</v>
          </cell>
        </row>
        <row r="583">
          <cell r="H583">
            <v>-493.72129999999993</v>
          </cell>
        </row>
        <row r="584">
          <cell r="H584">
            <v>-494.5068</v>
          </cell>
        </row>
        <row r="585">
          <cell r="H585">
            <v>-495.29239999999999</v>
          </cell>
        </row>
        <row r="586">
          <cell r="H586">
            <v>-496.07800000000003</v>
          </cell>
        </row>
        <row r="587">
          <cell r="H587">
            <v>-496.86450000000002</v>
          </cell>
        </row>
        <row r="588">
          <cell r="H588">
            <v>-497.65010000000007</v>
          </cell>
        </row>
        <row r="589">
          <cell r="H589">
            <v>-498.43669999999997</v>
          </cell>
        </row>
        <row r="590">
          <cell r="H590">
            <v>-499.22230000000002</v>
          </cell>
        </row>
        <row r="591">
          <cell r="H591">
            <v>-500.00789999999995</v>
          </cell>
        </row>
        <row r="592">
          <cell r="H592">
            <v>-500.79349999999999</v>
          </cell>
        </row>
        <row r="593">
          <cell r="H593">
            <v>-501.57909999999998</v>
          </cell>
        </row>
        <row r="594">
          <cell r="H594">
            <v>-502.36470000000003</v>
          </cell>
        </row>
        <row r="595">
          <cell r="H595">
            <v>-503.15129999999999</v>
          </cell>
        </row>
        <row r="596">
          <cell r="H596">
            <v>-503.93690000000004</v>
          </cell>
        </row>
        <row r="597">
          <cell r="H597">
            <v>-504.7235</v>
          </cell>
        </row>
        <row r="598">
          <cell r="H598">
            <v>-505.50909999999999</v>
          </cell>
        </row>
        <row r="599">
          <cell r="H599">
            <v>-506.29579999999999</v>
          </cell>
        </row>
        <row r="600">
          <cell r="H600">
            <v>-507.08140000000003</v>
          </cell>
        </row>
        <row r="601">
          <cell r="H601">
            <v>-507.86500000000001</v>
          </cell>
        </row>
        <row r="602">
          <cell r="H602">
            <v>-508.65170000000001</v>
          </cell>
        </row>
        <row r="603">
          <cell r="H603">
            <v>-509.43729999999999</v>
          </cell>
        </row>
        <row r="604">
          <cell r="H604">
            <v>-510.22389999999996</v>
          </cell>
        </row>
        <row r="605">
          <cell r="H605">
            <v>-510.99869999999999</v>
          </cell>
        </row>
        <row r="606">
          <cell r="H606">
            <v>-511.75849999999997</v>
          </cell>
        </row>
        <row r="607">
          <cell r="H607">
            <v>-512.51930000000004</v>
          </cell>
        </row>
        <row r="608">
          <cell r="H608">
            <v>-513.27940000000001</v>
          </cell>
        </row>
        <row r="609">
          <cell r="H609">
            <v>-514.03920000000005</v>
          </cell>
        </row>
        <row r="610">
          <cell r="H610">
            <v>-514.798</v>
          </cell>
        </row>
        <row r="611">
          <cell r="H611">
            <v>-515.55770000000007</v>
          </cell>
        </row>
        <row r="612">
          <cell r="H612">
            <v>-516.31629999999996</v>
          </cell>
        </row>
        <row r="613">
          <cell r="H613">
            <v>-517.07399999999996</v>
          </cell>
        </row>
        <row r="614">
          <cell r="H614">
            <v>-517.83259999999996</v>
          </cell>
        </row>
        <row r="615">
          <cell r="H615">
            <v>-518.59120000000007</v>
          </cell>
        </row>
        <row r="616">
          <cell r="H616">
            <v>-519.34889999999996</v>
          </cell>
        </row>
        <row r="617">
          <cell r="H617">
            <v>-520.10860000000002</v>
          </cell>
        </row>
        <row r="618">
          <cell r="H618">
            <v>-520.86720000000003</v>
          </cell>
        </row>
        <row r="619">
          <cell r="H619">
            <v>-521.6259</v>
          </cell>
        </row>
        <row r="620">
          <cell r="H620">
            <v>-522.3845</v>
          </cell>
        </row>
        <row r="621">
          <cell r="H621">
            <v>-523.14319999999998</v>
          </cell>
        </row>
        <row r="622">
          <cell r="H622">
            <v>-523.90089999999998</v>
          </cell>
        </row>
        <row r="623">
          <cell r="H623">
            <v>-524.65959999999995</v>
          </cell>
        </row>
        <row r="624">
          <cell r="H624">
            <v>-525.41819999999996</v>
          </cell>
        </row>
        <row r="625">
          <cell r="H625">
            <v>-526.17589999999996</v>
          </cell>
        </row>
        <row r="626">
          <cell r="H626">
            <v>-526.93460000000005</v>
          </cell>
        </row>
        <row r="627">
          <cell r="H627">
            <v>-527.6943</v>
          </cell>
        </row>
        <row r="628">
          <cell r="H628">
            <v>-528.452</v>
          </cell>
        </row>
        <row r="629">
          <cell r="H629">
            <v>-529.21069999999997</v>
          </cell>
        </row>
        <row r="630">
          <cell r="H630">
            <v>-529.97040000000004</v>
          </cell>
        </row>
        <row r="631">
          <cell r="H631">
            <v>-530.72810000000004</v>
          </cell>
        </row>
        <row r="632">
          <cell r="H632">
            <v>-531.48680000000002</v>
          </cell>
        </row>
        <row r="633">
          <cell r="H633">
            <v>-532.24559999999997</v>
          </cell>
        </row>
        <row r="634">
          <cell r="H634">
            <v>-533.00429999999994</v>
          </cell>
        </row>
        <row r="635">
          <cell r="H635">
            <v>-533.76299999999992</v>
          </cell>
        </row>
        <row r="636">
          <cell r="H636">
            <v>-534.52170000000001</v>
          </cell>
        </row>
        <row r="637">
          <cell r="H637">
            <v>-535.27949999999998</v>
          </cell>
        </row>
        <row r="638">
          <cell r="H638">
            <v>-536.03819999999996</v>
          </cell>
        </row>
        <row r="639">
          <cell r="H639">
            <v>-536.79700000000003</v>
          </cell>
        </row>
        <row r="640">
          <cell r="H640">
            <v>-537.55470000000003</v>
          </cell>
        </row>
        <row r="641">
          <cell r="H641">
            <v>-538.31439999999998</v>
          </cell>
        </row>
        <row r="642">
          <cell r="H642">
            <v>-539.07320000000004</v>
          </cell>
        </row>
        <row r="643">
          <cell r="H643">
            <v>-539.83100000000002</v>
          </cell>
        </row>
        <row r="644">
          <cell r="H644">
            <v>-540.58969999999999</v>
          </cell>
        </row>
        <row r="645">
          <cell r="H645">
            <v>-541.34649999999999</v>
          </cell>
        </row>
        <row r="646">
          <cell r="H646">
            <v>-542.10419999999999</v>
          </cell>
        </row>
        <row r="647">
          <cell r="H647">
            <v>-542.86200000000008</v>
          </cell>
        </row>
        <row r="648">
          <cell r="H648">
            <v>-543.62079999999992</v>
          </cell>
        </row>
        <row r="649">
          <cell r="H649">
            <v>-544.3605</v>
          </cell>
        </row>
        <row r="650">
          <cell r="H650">
            <v>-545.02809999999999</v>
          </cell>
        </row>
        <row r="651">
          <cell r="H651">
            <v>-545.69470000000001</v>
          </cell>
        </row>
        <row r="652">
          <cell r="H652">
            <v>-546.3623</v>
          </cell>
        </row>
        <row r="653">
          <cell r="H653">
            <v>-547.02890000000002</v>
          </cell>
        </row>
        <row r="654">
          <cell r="H654">
            <v>-547.69549999999992</v>
          </cell>
        </row>
        <row r="655">
          <cell r="H655">
            <v>-548.36320000000001</v>
          </cell>
        </row>
        <row r="656">
          <cell r="H656">
            <v>-549.0308</v>
          </cell>
        </row>
        <row r="657">
          <cell r="H657">
            <v>-549.69740000000002</v>
          </cell>
        </row>
        <row r="658">
          <cell r="H658">
            <v>-550.36400000000003</v>
          </cell>
        </row>
        <row r="659">
          <cell r="H659">
            <v>-551.03060000000005</v>
          </cell>
        </row>
        <row r="660">
          <cell r="H660">
            <v>-551.69830000000002</v>
          </cell>
        </row>
        <row r="661">
          <cell r="H661">
            <v>-552.36590000000001</v>
          </cell>
        </row>
        <row r="662">
          <cell r="H662">
            <v>-553.03250000000003</v>
          </cell>
        </row>
        <row r="663">
          <cell r="H663">
            <v>-553.69920000000002</v>
          </cell>
        </row>
        <row r="664">
          <cell r="H664">
            <v>-554.36479999999995</v>
          </cell>
        </row>
        <row r="665">
          <cell r="H665">
            <v>-555.0335</v>
          </cell>
        </row>
        <row r="666">
          <cell r="H666">
            <v>-555.70010000000002</v>
          </cell>
        </row>
        <row r="667">
          <cell r="H667">
            <v>-556.36680000000001</v>
          </cell>
        </row>
        <row r="668">
          <cell r="H668">
            <v>-557.03340000000003</v>
          </cell>
        </row>
        <row r="669">
          <cell r="H669">
            <v>-557.7011</v>
          </cell>
        </row>
        <row r="670">
          <cell r="H670">
            <v>-558.36880000000008</v>
          </cell>
        </row>
        <row r="671">
          <cell r="H671">
            <v>-559.03539999999998</v>
          </cell>
        </row>
        <row r="672">
          <cell r="H672">
            <v>-559.69359999999995</v>
          </cell>
        </row>
        <row r="673">
          <cell r="H673">
            <v>-560.34570000000008</v>
          </cell>
        </row>
        <row r="674">
          <cell r="H674">
            <v>-560.99890000000005</v>
          </cell>
        </row>
        <row r="675">
          <cell r="H675">
            <v>-561.65010000000007</v>
          </cell>
        </row>
        <row r="676">
          <cell r="H676">
            <v>-562.30219999999997</v>
          </cell>
        </row>
        <row r="677">
          <cell r="H677">
            <v>-562.95439999999996</v>
          </cell>
        </row>
        <row r="678">
          <cell r="H678">
            <v>-563.60760000000005</v>
          </cell>
        </row>
        <row r="679">
          <cell r="H679">
            <v>-564.25969999999995</v>
          </cell>
        </row>
        <row r="680">
          <cell r="H680">
            <v>-564.91190000000006</v>
          </cell>
        </row>
        <row r="681">
          <cell r="H681">
            <v>-565.56510000000003</v>
          </cell>
        </row>
        <row r="682">
          <cell r="H682">
            <v>-566.21730000000002</v>
          </cell>
        </row>
        <row r="683">
          <cell r="H683">
            <v>-566.86950000000002</v>
          </cell>
        </row>
        <row r="684">
          <cell r="H684">
            <v>-567.52170000000001</v>
          </cell>
        </row>
        <row r="685">
          <cell r="H685">
            <v>-568.17489999999998</v>
          </cell>
        </row>
        <row r="686">
          <cell r="H686">
            <v>-568.82709999999997</v>
          </cell>
        </row>
        <row r="687">
          <cell r="H687">
            <v>-569.47829999999999</v>
          </cell>
        </row>
        <row r="688">
          <cell r="H688">
            <v>-570.13149999999996</v>
          </cell>
        </row>
        <row r="689">
          <cell r="H689">
            <v>-570.78369999999995</v>
          </cell>
        </row>
        <row r="690">
          <cell r="H690">
            <v>-571.43600000000004</v>
          </cell>
        </row>
        <row r="691">
          <cell r="H691">
            <v>-572.08819999999992</v>
          </cell>
        </row>
        <row r="692">
          <cell r="H692">
            <v>-572.68489999999997</v>
          </cell>
        </row>
        <row r="693">
          <cell r="H693">
            <v>-573.28060000000005</v>
          </cell>
        </row>
        <row r="694">
          <cell r="H694">
            <v>-573.87750000000005</v>
          </cell>
        </row>
        <row r="695">
          <cell r="H695">
            <v>-574.47429999999997</v>
          </cell>
        </row>
        <row r="696">
          <cell r="H696">
            <v>-575.07010000000002</v>
          </cell>
        </row>
        <row r="697">
          <cell r="H697">
            <v>-575.66060000000004</v>
          </cell>
        </row>
        <row r="698">
          <cell r="H698">
            <v>-576.24189999999999</v>
          </cell>
        </row>
        <row r="699">
          <cell r="H699">
            <v>-576.82420000000002</v>
          </cell>
        </row>
        <row r="700">
          <cell r="H700">
            <v>-577.40549999999996</v>
          </cell>
        </row>
        <row r="701">
          <cell r="H701">
            <v>-577.9867999999999</v>
          </cell>
        </row>
        <row r="702">
          <cell r="H702">
            <v>-578.57009999999991</v>
          </cell>
        </row>
        <row r="703">
          <cell r="H703">
            <v>-579.15039999999999</v>
          </cell>
        </row>
        <row r="704">
          <cell r="H704">
            <v>-579.73270000000002</v>
          </cell>
        </row>
        <row r="705">
          <cell r="H705">
            <v>-580.2577</v>
          </cell>
        </row>
        <row r="706">
          <cell r="H706">
            <v>-580.69809999999995</v>
          </cell>
        </row>
        <row r="707">
          <cell r="H707">
            <v>-581.13940000000002</v>
          </cell>
        </row>
        <row r="708">
          <cell r="H708">
            <v>-581.5797</v>
          </cell>
        </row>
        <row r="709">
          <cell r="H709">
            <v>-582.02099999999996</v>
          </cell>
        </row>
        <row r="710">
          <cell r="H710">
            <v>-582.46140000000003</v>
          </cell>
        </row>
        <row r="711">
          <cell r="H711">
            <v>-582.9027000000001</v>
          </cell>
        </row>
        <row r="712">
          <cell r="H712">
            <v>-583.34310000000005</v>
          </cell>
        </row>
        <row r="713">
          <cell r="H713">
            <v>-583.78440000000001</v>
          </cell>
        </row>
        <row r="714">
          <cell r="H714">
            <v>-584.22479999999996</v>
          </cell>
        </row>
        <row r="715">
          <cell r="H715">
            <v>-584.66610000000003</v>
          </cell>
        </row>
        <row r="716">
          <cell r="H716">
            <v>-585.1065000000001</v>
          </cell>
        </row>
        <row r="717">
          <cell r="H717">
            <v>-585.54779999999994</v>
          </cell>
        </row>
        <row r="718">
          <cell r="H718">
            <v>-585.98820000000001</v>
          </cell>
        </row>
        <row r="719">
          <cell r="H719">
            <v>-586.42949999999996</v>
          </cell>
        </row>
        <row r="720">
          <cell r="H720">
            <v>-586.87090000000001</v>
          </cell>
        </row>
        <row r="721">
          <cell r="H721">
            <v>-587.31129999999996</v>
          </cell>
        </row>
        <row r="722">
          <cell r="H722">
            <v>-587.75159999999994</v>
          </cell>
        </row>
        <row r="723">
          <cell r="H723">
            <v>-588.19299999999998</v>
          </cell>
        </row>
        <row r="724">
          <cell r="H724">
            <v>-588.63440000000003</v>
          </cell>
        </row>
        <row r="725">
          <cell r="H725">
            <v>-589.07470000000001</v>
          </cell>
        </row>
        <row r="726">
          <cell r="H726">
            <v>-589.51510000000007</v>
          </cell>
        </row>
        <row r="727">
          <cell r="H727">
            <v>-589.95650000000001</v>
          </cell>
        </row>
        <row r="728">
          <cell r="H728">
            <v>-590.39689999999996</v>
          </cell>
        </row>
        <row r="729">
          <cell r="H729">
            <v>-590.8383</v>
          </cell>
        </row>
        <row r="730">
          <cell r="H730">
            <v>-591.27870000000007</v>
          </cell>
        </row>
        <row r="731">
          <cell r="H731">
            <v>-591.7201</v>
          </cell>
        </row>
        <row r="732">
          <cell r="H732">
            <v>-592.16049999999996</v>
          </cell>
        </row>
        <row r="733">
          <cell r="H733">
            <v>-592.6019</v>
          </cell>
        </row>
        <row r="734">
          <cell r="H734">
            <v>-593.04230000000007</v>
          </cell>
        </row>
        <row r="735">
          <cell r="H735">
            <v>-593.4837</v>
          </cell>
        </row>
        <row r="736">
          <cell r="H736">
            <v>-593.91840000000002</v>
          </cell>
        </row>
        <row r="737">
          <cell r="H737">
            <v>-594.35400000000004</v>
          </cell>
        </row>
        <row r="738">
          <cell r="H738">
            <v>-594.7876</v>
          </cell>
        </row>
        <row r="739">
          <cell r="H739">
            <v>-595.22320000000002</v>
          </cell>
        </row>
        <row r="740">
          <cell r="H740">
            <v>-595.65779999999995</v>
          </cell>
        </row>
        <row r="741">
          <cell r="H741">
            <v>-596.09339999999997</v>
          </cell>
        </row>
        <row r="742">
          <cell r="H742">
            <v>-596.52700000000004</v>
          </cell>
        </row>
        <row r="743">
          <cell r="H743">
            <v>-596.96260000000007</v>
          </cell>
        </row>
        <row r="744">
          <cell r="H744">
            <v>-597.3972</v>
          </cell>
        </row>
        <row r="745">
          <cell r="H745">
            <v>-597.83179999999993</v>
          </cell>
        </row>
        <row r="746">
          <cell r="H746">
            <v>-598.26649999999995</v>
          </cell>
        </row>
        <row r="747">
          <cell r="H747">
            <v>-598.70209999999997</v>
          </cell>
        </row>
        <row r="748">
          <cell r="H748">
            <v>-599.13670000000002</v>
          </cell>
        </row>
        <row r="749">
          <cell r="H749">
            <v>-599.57130000000006</v>
          </cell>
        </row>
        <row r="750">
          <cell r="H750">
            <v>-600.00599999999997</v>
          </cell>
        </row>
        <row r="751">
          <cell r="H751">
            <v>-600.44159999999999</v>
          </cell>
        </row>
        <row r="752">
          <cell r="H752">
            <v>-600.87619999999993</v>
          </cell>
        </row>
        <row r="753">
          <cell r="H753">
            <v>-601.31089999999995</v>
          </cell>
        </row>
        <row r="754">
          <cell r="H754">
            <v>-601.74160000000006</v>
          </cell>
        </row>
        <row r="755">
          <cell r="H755">
            <v>-602.1721</v>
          </cell>
        </row>
        <row r="756">
          <cell r="H756">
            <v>-602.60159999999996</v>
          </cell>
        </row>
        <row r="757">
          <cell r="H757">
            <v>-603.03109999999992</v>
          </cell>
        </row>
        <row r="758">
          <cell r="H758">
            <v>-603.46249999999998</v>
          </cell>
        </row>
        <row r="759">
          <cell r="H759">
            <v>-603.89099999999996</v>
          </cell>
        </row>
        <row r="760">
          <cell r="H760">
            <v>-604.32150000000001</v>
          </cell>
        </row>
        <row r="761">
          <cell r="H761">
            <v>-604.75</v>
          </cell>
        </row>
        <row r="762">
          <cell r="H762">
            <v>-605.18150000000003</v>
          </cell>
        </row>
        <row r="763">
          <cell r="H763">
            <v>-605.61099999999999</v>
          </cell>
        </row>
        <row r="764">
          <cell r="H764">
            <v>-606.03949999999998</v>
          </cell>
        </row>
        <row r="765">
          <cell r="H765">
            <v>-606.471</v>
          </cell>
        </row>
        <row r="766">
          <cell r="H766">
            <v>-606.90049999999997</v>
          </cell>
        </row>
        <row r="767">
          <cell r="H767">
            <v>-607.33000000000004</v>
          </cell>
        </row>
        <row r="768">
          <cell r="H768">
            <v>-607.76050000000009</v>
          </cell>
        </row>
        <row r="769">
          <cell r="H769">
            <v>-608.19100000000003</v>
          </cell>
        </row>
        <row r="770">
          <cell r="H770">
            <v>-608.61950000000002</v>
          </cell>
        </row>
        <row r="771">
          <cell r="H771">
            <v>-609.05100000000004</v>
          </cell>
        </row>
        <row r="772">
          <cell r="H772">
            <v>-609.48050000000001</v>
          </cell>
        </row>
        <row r="773">
          <cell r="H773">
            <v>-609.91</v>
          </cell>
        </row>
        <row r="774">
          <cell r="H774">
            <v>-610.34050000000002</v>
          </cell>
        </row>
        <row r="775">
          <cell r="H775">
            <v>-610.76909999999998</v>
          </cell>
        </row>
        <row r="776">
          <cell r="H776">
            <v>-611.19960000000003</v>
          </cell>
        </row>
        <row r="777">
          <cell r="H777">
            <v>-611.62909999999999</v>
          </cell>
        </row>
        <row r="778">
          <cell r="H778">
            <v>-612.05959999999993</v>
          </cell>
        </row>
        <row r="779">
          <cell r="H779">
            <v>-612.48919999999998</v>
          </cell>
        </row>
        <row r="780">
          <cell r="H780">
            <v>-612.91970000000003</v>
          </cell>
        </row>
        <row r="781">
          <cell r="H781">
            <v>-613.33810000000005</v>
          </cell>
        </row>
        <row r="782">
          <cell r="H782">
            <v>-613.73620000000005</v>
          </cell>
        </row>
        <row r="783">
          <cell r="H783">
            <v>-614.13640000000009</v>
          </cell>
        </row>
        <row r="784">
          <cell r="H784">
            <v>-614.53549999999996</v>
          </cell>
        </row>
        <row r="785">
          <cell r="H785">
            <v>-614.9357</v>
          </cell>
        </row>
        <row r="786">
          <cell r="H786">
            <v>-615.3338</v>
          </cell>
        </row>
        <row r="787">
          <cell r="H787">
            <v>-615.73149999999998</v>
          </cell>
        </row>
        <row r="788">
          <cell r="H788">
            <v>-616.0761</v>
          </cell>
        </row>
        <row r="789">
          <cell r="H789">
            <v>-616.42070000000001</v>
          </cell>
        </row>
        <row r="790">
          <cell r="H790">
            <v>-616.76530000000002</v>
          </cell>
        </row>
        <row r="791">
          <cell r="H791">
            <v>-617.10900000000004</v>
          </cell>
        </row>
        <row r="792">
          <cell r="H792">
            <v>-617.45460000000003</v>
          </cell>
        </row>
        <row r="793">
          <cell r="H793">
            <v>-617.79920000000004</v>
          </cell>
        </row>
        <row r="794">
          <cell r="H794">
            <v>-618.14390000000003</v>
          </cell>
        </row>
        <row r="795">
          <cell r="H795">
            <v>-618.48849999999993</v>
          </cell>
        </row>
        <row r="796">
          <cell r="H796">
            <v>-618.83310000000006</v>
          </cell>
        </row>
        <row r="797">
          <cell r="H797">
            <v>-619.17779999999993</v>
          </cell>
        </row>
        <row r="798">
          <cell r="H798">
            <v>-619.52240000000006</v>
          </cell>
        </row>
        <row r="799">
          <cell r="H799">
            <v>-619.86709999999994</v>
          </cell>
        </row>
        <row r="800">
          <cell r="H800">
            <v>-620.21170000000006</v>
          </cell>
        </row>
        <row r="801">
          <cell r="H801">
            <v>-620.55539999999996</v>
          </cell>
        </row>
        <row r="802">
          <cell r="H802">
            <v>-620.90000000000009</v>
          </cell>
        </row>
        <row r="803">
          <cell r="H803">
            <v>-621.24469999999997</v>
          </cell>
        </row>
        <row r="804">
          <cell r="H804">
            <v>-621.58939999999996</v>
          </cell>
        </row>
        <row r="805">
          <cell r="H805">
            <v>-621.93399999999997</v>
          </cell>
        </row>
        <row r="806">
          <cell r="H806">
            <v>-622.27870000000007</v>
          </cell>
        </row>
        <row r="807">
          <cell r="H807">
            <v>-622.62339999999995</v>
          </cell>
        </row>
        <row r="808">
          <cell r="H808">
            <v>-622.96810000000005</v>
          </cell>
        </row>
        <row r="809">
          <cell r="H809">
            <v>-623.31370000000004</v>
          </cell>
        </row>
        <row r="810">
          <cell r="H810">
            <v>-623.65740000000005</v>
          </cell>
        </row>
        <row r="811">
          <cell r="H811">
            <v>-624.00310000000002</v>
          </cell>
        </row>
        <row r="812">
          <cell r="H812">
            <v>-624.34580000000005</v>
          </cell>
        </row>
        <row r="813">
          <cell r="H813">
            <v>-624.69150000000002</v>
          </cell>
        </row>
        <row r="814">
          <cell r="H814">
            <v>-625.03520000000003</v>
          </cell>
        </row>
        <row r="815">
          <cell r="H815">
            <v>-625.3809</v>
          </cell>
        </row>
        <row r="816">
          <cell r="H816">
            <v>-625.72460000000001</v>
          </cell>
        </row>
        <row r="817">
          <cell r="H817">
            <v>-626.0693</v>
          </cell>
        </row>
        <row r="818">
          <cell r="H818">
            <v>-626.41399999999999</v>
          </cell>
        </row>
        <row r="819">
          <cell r="H819">
            <v>-626.75869999999998</v>
          </cell>
        </row>
        <row r="820">
          <cell r="H820">
            <v>-627.10439999999994</v>
          </cell>
        </row>
        <row r="821">
          <cell r="H821">
            <v>-627.44709999999998</v>
          </cell>
        </row>
        <row r="822">
          <cell r="H822">
            <v>-627.79290000000003</v>
          </cell>
        </row>
        <row r="823">
          <cell r="H823">
            <v>-628.13660000000004</v>
          </cell>
        </row>
        <row r="824">
          <cell r="H824">
            <v>-628.48230000000001</v>
          </cell>
        </row>
        <row r="825">
          <cell r="H825">
            <v>-628.82600000000002</v>
          </cell>
        </row>
        <row r="826">
          <cell r="H826">
            <v>-629.17179999999996</v>
          </cell>
        </row>
        <row r="827">
          <cell r="H827">
            <v>-629.51549999999997</v>
          </cell>
        </row>
        <row r="828">
          <cell r="H828">
            <v>-629.86130000000003</v>
          </cell>
        </row>
        <row r="829">
          <cell r="H829">
            <v>-630.20399999999995</v>
          </cell>
        </row>
        <row r="830">
          <cell r="H830">
            <v>-630.54970000000003</v>
          </cell>
        </row>
        <row r="831">
          <cell r="H831">
            <v>-630.89449999999999</v>
          </cell>
        </row>
        <row r="832">
          <cell r="H832">
            <v>-631.23919999999998</v>
          </cell>
        </row>
        <row r="833">
          <cell r="H833">
            <v>-631.58400000000006</v>
          </cell>
        </row>
        <row r="834">
          <cell r="H834">
            <v>-631.92880000000002</v>
          </cell>
        </row>
        <row r="835">
          <cell r="H835">
            <v>-632.27350000000001</v>
          </cell>
        </row>
        <row r="836">
          <cell r="H836">
            <v>-632.61630000000002</v>
          </cell>
        </row>
        <row r="837">
          <cell r="H837">
            <v>-632.96209999999996</v>
          </cell>
        </row>
        <row r="838">
          <cell r="H838">
            <v>-633.30579999999998</v>
          </cell>
        </row>
        <row r="839">
          <cell r="H839">
            <v>-633.64959999999996</v>
          </cell>
        </row>
        <row r="840">
          <cell r="H840">
            <v>-633.99339999999995</v>
          </cell>
        </row>
        <row r="841">
          <cell r="H841">
            <v>-634.33719999999994</v>
          </cell>
        </row>
        <row r="842">
          <cell r="H842">
            <v>-634.68200000000002</v>
          </cell>
        </row>
        <row r="843">
          <cell r="H843">
            <v>-635.02569999999992</v>
          </cell>
        </row>
        <row r="844">
          <cell r="H844">
            <v>-635.37049999999999</v>
          </cell>
        </row>
        <row r="845">
          <cell r="H845">
            <v>-635.71429999999998</v>
          </cell>
        </row>
        <row r="846">
          <cell r="H846">
            <v>-636.05809999999997</v>
          </cell>
        </row>
        <row r="847">
          <cell r="H847">
            <v>-636.40290000000005</v>
          </cell>
        </row>
        <row r="848">
          <cell r="H848">
            <v>-636.74770000000001</v>
          </cell>
        </row>
        <row r="849">
          <cell r="H849">
            <v>-637.09050000000002</v>
          </cell>
        </row>
        <row r="850">
          <cell r="H850">
            <v>-637.43529999999998</v>
          </cell>
        </row>
        <row r="851">
          <cell r="H851">
            <v>-637.77919999999995</v>
          </cell>
        </row>
        <row r="852">
          <cell r="H852">
            <v>-638.12300000000005</v>
          </cell>
        </row>
        <row r="853">
          <cell r="H853">
            <v>-638.46780000000001</v>
          </cell>
        </row>
        <row r="854">
          <cell r="H854">
            <v>-638.8116</v>
          </cell>
        </row>
        <row r="855">
          <cell r="H855">
            <v>-639.15539999999999</v>
          </cell>
        </row>
        <row r="856">
          <cell r="H856">
            <v>-639.49929999999995</v>
          </cell>
        </row>
        <row r="857">
          <cell r="H857">
            <v>-639.8451</v>
          </cell>
        </row>
        <row r="858">
          <cell r="H858">
            <v>-640.18790000000001</v>
          </cell>
        </row>
        <row r="859">
          <cell r="H859">
            <v>-640.53279999999995</v>
          </cell>
        </row>
        <row r="860">
          <cell r="H860">
            <v>-640.87559999999996</v>
          </cell>
        </row>
        <row r="861">
          <cell r="H861">
            <v>-641.21949999999993</v>
          </cell>
        </row>
        <row r="862">
          <cell r="H862">
            <v>-641.56529999999998</v>
          </cell>
        </row>
        <row r="863">
          <cell r="H863">
            <v>-641.90819999999997</v>
          </cell>
        </row>
        <row r="864">
          <cell r="H864">
            <v>-642.25300000000004</v>
          </cell>
        </row>
        <row r="865">
          <cell r="H865">
            <v>-642.59690000000012</v>
          </cell>
        </row>
        <row r="866">
          <cell r="H866">
            <v>-642.93979999999999</v>
          </cell>
        </row>
        <row r="867">
          <cell r="H867">
            <v>-643.28480000000002</v>
          </cell>
        </row>
        <row r="868">
          <cell r="H868">
            <v>-643.62779999999998</v>
          </cell>
        </row>
        <row r="869">
          <cell r="H869">
            <v>-643.97280000000001</v>
          </cell>
        </row>
        <row r="870">
          <cell r="H870">
            <v>-644.31579999999997</v>
          </cell>
        </row>
        <row r="871">
          <cell r="H871">
            <v>-644.65879999999993</v>
          </cell>
        </row>
        <row r="872">
          <cell r="H872">
            <v>-645.00279999999998</v>
          </cell>
        </row>
        <row r="873">
          <cell r="H873">
            <v>-645.34580000000005</v>
          </cell>
        </row>
        <row r="874">
          <cell r="H874">
            <v>-645.6898000000001</v>
          </cell>
        </row>
        <row r="875">
          <cell r="H875">
            <v>-646.03379999999993</v>
          </cell>
        </row>
        <row r="876">
          <cell r="H876">
            <v>-646.37790000000007</v>
          </cell>
        </row>
        <row r="877">
          <cell r="H877">
            <v>-646.72089999999992</v>
          </cell>
        </row>
        <row r="878">
          <cell r="H878">
            <v>-647.06490000000008</v>
          </cell>
        </row>
        <row r="879">
          <cell r="H879">
            <v>-647.40790000000004</v>
          </cell>
        </row>
        <row r="880">
          <cell r="H880">
            <v>-647.75099999999998</v>
          </cell>
        </row>
        <row r="881">
          <cell r="H881">
            <v>-648.09500000000003</v>
          </cell>
        </row>
        <row r="882">
          <cell r="H882">
            <v>-648.43900000000008</v>
          </cell>
        </row>
        <row r="883">
          <cell r="H883">
            <v>-648.78309999999999</v>
          </cell>
        </row>
        <row r="884">
          <cell r="H884">
            <v>-649.1164</v>
          </cell>
        </row>
        <row r="885">
          <cell r="H885">
            <v>-649.40539999999999</v>
          </cell>
        </row>
        <row r="886">
          <cell r="H886">
            <v>-649.6925</v>
          </cell>
        </row>
        <row r="887">
          <cell r="H887">
            <v>-649.97950000000003</v>
          </cell>
        </row>
        <row r="888">
          <cell r="H888">
            <v>-650.26749999999993</v>
          </cell>
        </row>
        <row r="889">
          <cell r="H889">
            <v>-650.55549999999994</v>
          </cell>
        </row>
        <row r="890">
          <cell r="H890">
            <v>-650.84259999999995</v>
          </cell>
        </row>
        <row r="891">
          <cell r="H891">
            <v>-651.13059999999996</v>
          </cell>
        </row>
        <row r="892">
          <cell r="H892">
            <v>-651.41759999999999</v>
          </cell>
        </row>
        <row r="893">
          <cell r="H893">
            <v>-651.70460000000003</v>
          </cell>
        </row>
        <row r="894">
          <cell r="H894">
            <v>-651.99270000000001</v>
          </cell>
        </row>
        <row r="895">
          <cell r="H895">
            <v>-652.28070000000002</v>
          </cell>
        </row>
        <row r="896">
          <cell r="H896">
            <v>-652.56780000000003</v>
          </cell>
        </row>
        <row r="897">
          <cell r="H897">
            <v>-652.85580000000004</v>
          </cell>
        </row>
        <row r="898">
          <cell r="H898">
            <v>-653.14280000000008</v>
          </cell>
        </row>
        <row r="899">
          <cell r="H899">
            <v>-653.42989999999998</v>
          </cell>
        </row>
        <row r="900">
          <cell r="H900">
            <v>-653.71789999999999</v>
          </cell>
        </row>
        <row r="901">
          <cell r="H901">
            <v>-654.00599999999997</v>
          </cell>
        </row>
        <row r="902">
          <cell r="H902">
            <v>-654.29300000000001</v>
          </cell>
        </row>
        <row r="903">
          <cell r="H903">
            <v>-654.58010000000002</v>
          </cell>
        </row>
        <row r="904">
          <cell r="H904">
            <v>-654.86419999999998</v>
          </cell>
        </row>
        <row r="905">
          <cell r="H905">
            <v>-655.15129999999999</v>
          </cell>
        </row>
        <row r="906">
          <cell r="H906">
            <v>-655.43640000000005</v>
          </cell>
        </row>
        <row r="907">
          <cell r="H907">
            <v>-655.72350000000006</v>
          </cell>
        </row>
        <row r="908">
          <cell r="H908">
            <v>-656.0086</v>
          </cell>
        </row>
        <row r="909">
          <cell r="H909">
            <v>-656.29469999999992</v>
          </cell>
        </row>
        <row r="910">
          <cell r="H910">
            <v>-656.57980000000009</v>
          </cell>
        </row>
        <row r="911">
          <cell r="H911">
            <v>-656.86689999999999</v>
          </cell>
        </row>
        <row r="912">
          <cell r="H912">
            <v>-657.15210000000002</v>
          </cell>
        </row>
        <row r="913">
          <cell r="H913">
            <v>-657.43820000000005</v>
          </cell>
        </row>
        <row r="914">
          <cell r="H914">
            <v>-657.72429999999997</v>
          </cell>
        </row>
        <row r="915">
          <cell r="H915">
            <v>-658.00939999999991</v>
          </cell>
        </row>
        <row r="916">
          <cell r="H916">
            <v>-658.29549999999995</v>
          </cell>
        </row>
        <row r="917">
          <cell r="H917">
            <v>-658.58159999999998</v>
          </cell>
        </row>
        <row r="918">
          <cell r="H918">
            <v>-658.86779999999999</v>
          </cell>
        </row>
        <row r="919">
          <cell r="H919">
            <v>-659.15390000000002</v>
          </cell>
        </row>
        <row r="920">
          <cell r="H920">
            <v>-659.44</v>
          </cell>
        </row>
        <row r="921">
          <cell r="H921">
            <v>-659.72510000000011</v>
          </cell>
        </row>
        <row r="922">
          <cell r="H922">
            <v>-660.01130000000001</v>
          </cell>
        </row>
        <row r="923">
          <cell r="H923">
            <v>-660.29739999999993</v>
          </cell>
        </row>
        <row r="924">
          <cell r="H924">
            <v>-660.58249999999998</v>
          </cell>
        </row>
        <row r="925">
          <cell r="H925">
            <v>-660.86970000000008</v>
          </cell>
        </row>
        <row r="926">
          <cell r="H926">
            <v>-661.15480000000002</v>
          </cell>
        </row>
        <row r="927">
          <cell r="H927">
            <v>-661.44190000000003</v>
          </cell>
        </row>
        <row r="928">
          <cell r="H928">
            <v>-661.72610000000009</v>
          </cell>
        </row>
        <row r="929">
          <cell r="H929">
            <v>-662.01319999999998</v>
          </cell>
        </row>
        <row r="930">
          <cell r="H930">
            <v>-662.29840000000002</v>
          </cell>
        </row>
        <row r="931">
          <cell r="H931">
            <v>-662.58550000000002</v>
          </cell>
        </row>
        <row r="932">
          <cell r="H932">
            <v>-662.87069999999994</v>
          </cell>
        </row>
        <row r="933">
          <cell r="H933">
            <v>-663.15779999999995</v>
          </cell>
        </row>
        <row r="934">
          <cell r="H934">
            <v>-663.44200000000001</v>
          </cell>
        </row>
        <row r="935">
          <cell r="H935">
            <v>-663.72810000000004</v>
          </cell>
        </row>
        <row r="936">
          <cell r="H936">
            <v>-664.01429999999993</v>
          </cell>
        </row>
        <row r="937">
          <cell r="H937">
            <v>-664.29939999999999</v>
          </cell>
        </row>
        <row r="938">
          <cell r="H938">
            <v>-664.58659999999998</v>
          </cell>
        </row>
        <row r="939">
          <cell r="H939">
            <v>-664.87180000000001</v>
          </cell>
        </row>
        <row r="940">
          <cell r="H940">
            <v>-665.15890000000002</v>
          </cell>
        </row>
        <row r="941">
          <cell r="H941">
            <v>-665.44309999999996</v>
          </cell>
        </row>
        <row r="942">
          <cell r="H942">
            <v>-665.73030000000006</v>
          </cell>
        </row>
        <row r="943">
          <cell r="H943">
            <v>-666.0154</v>
          </cell>
        </row>
        <row r="944">
          <cell r="H944">
            <v>-666.30160000000001</v>
          </cell>
        </row>
        <row r="945">
          <cell r="H945">
            <v>-666.58780000000002</v>
          </cell>
        </row>
        <row r="946">
          <cell r="H946">
            <v>-666.87390000000005</v>
          </cell>
        </row>
        <row r="947">
          <cell r="H947">
            <v>-667.16009999999994</v>
          </cell>
        </row>
        <row r="948">
          <cell r="H948">
            <v>-667.44530000000009</v>
          </cell>
        </row>
        <row r="949">
          <cell r="H949">
            <v>-667.7315000000001</v>
          </cell>
        </row>
        <row r="950">
          <cell r="H950">
            <v>-668.01670000000001</v>
          </cell>
        </row>
        <row r="951">
          <cell r="H951">
            <v>-668.30379999999991</v>
          </cell>
        </row>
        <row r="952">
          <cell r="H952">
            <v>-668.58899999999994</v>
          </cell>
        </row>
        <row r="953">
          <cell r="H953">
            <v>-668.87519999999995</v>
          </cell>
        </row>
        <row r="954">
          <cell r="H954">
            <v>-669.16139999999996</v>
          </cell>
        </row>
        <row r="955">
          <cell r="H955">
            <v>-669.44759999999997</v>
          </cell>
        </row>
        <row r="956">
          <cell r="H956">
            <v>-669.73380000000009</v>
          </cell>
        </row>
        <row r="957">
          <cell r="H957">
            <v>-670.01800000000003</v>
          </cell>
        </row>
        <row r="958">
          <cell r="H958">
            <v>-670.30520000000001</v>
          </cell>
        </row>
        <row r="959">
          <cell r="H959">
            <v>-670.59040000000005</v>
          </cell>
        </row>
        <row r="960">
          <cell r="H960">
            <v>-670.87760000000003</v>
          </cell>
        </row>
        <row r="961">
          <cell r="H961">
            <v>-671.16279999999995</v>
          </cell>
        </row>
        <row r="962">
          <cell r="H962">
            <v>-671.44900000000007</v>
          </cell>
        </row>
        <row r="963">
          <cell r="H963">
            <v>-671.73520000000008</v>
          </cell>
        </row>
        <row r="964">
          <cell r="H964">
            <v>-672.02139999999997</v>
          </cell>
        </row>
        <row r="965">
          <cell r="H965">
            <v>-672.3066</v>
          </cell>
        </row>
        <row r="966">
          <cell r="H966">
            <v>-672.59059999999999</v>
          </cell>
        </row>
        <row r="967">
          <cell r="H967">
            <v>-672.87360000000001</v>
          </cell>
        </row>
        <row r="968">
          <cell r="H968">
            <v>-673.15660000000003</v>
          </cell>
        </row>
        <row r="969">
          <cell r="H969">
            <v>-673.43949999999995</v>
          </cell>
        </row>
        <row r="970">
          <cell r="H970">
            <v>-673.72349999999994</v>
          </cell>
        </row>
        <row r="971">
          <cell r="H971">
            <v>-674.00549999999998</v>
          </cell>
        </row>
        <row r="972">
          <cell r="H972">
            <v>-674.28949999999998</v>
          </cell>
        </row>
        <row r="973">
          <cell r="H973">
            <v>-674.57249999999999</v>
          </cell>
        </row>
        <row r="974">
          <cell r="H974">
            <v>-674.85640000000001</v>
          </cell>
        </row>
        <row r="975">
          <cell r="H975">
            <v>-675.13940000000002</v>
          </cell>
        </row>
        <row r="976">
          <cell r="H976">
            <v>-675.42139999999995</v>
          </cell>
        </row>
        <row r="977">
          <cell r="H977">
            <v>-675.70440000000008</v>
          </cell>
        </row>
        <row r="978">
          <cell r="H978">
            <v>-675.98839999999996</v>
          </cell>
        </row>
        <row r="979">
          <cell r="H979">
            <v>-676.27139999999997</v>
          </cell>
        </row>
        <row r="980">
          <cell r="H980">
            <v>-676.55539999999996</v>
          </cell>
        </row>
        <row r="981">
          <cell r="H981">
            <v>-676.83839999999998</v>
          </cell>
        </row>
        <row r="982">
          <cell r="H982">
            <v>-677.12140000000011</v>
          </cell>
        </row>
        <row r="983">
          <cell r="H983">
            <v>-677.40440000000001</v>
          </cell>
        </row>
        <row r="984">
          <cell r="H984">
            <v>-677.68740000000003</v>
          </cell>
        </row>
        <row r="985">
          <cell r="H985">
            <v>-677.97040000000004</v>
          </cell>
        </row>
        <row r="986">
          <cell r="H986">
            <v>-678.25439999999992</v>
          </cell>
        </row>
        <row r="987">
          <cell r="H987">
            <v>-678.53639999999996</v>
          </cell>
        </row>
        <row r="988">
          <cell r="H988">
            <v>-678.82040000000006</v>
          </cell>
        </row>
        <row r="989">
          <cell r="H989">
            <v>-679.10360000000003</v>
          </cell>
        </row>
        <row r="990">
          <cell r="H990">
            <v>-679.38510000000008</v>
          </cell>
        </row>
        <row r="991">
          <cell r="H991">
            <v>-679.66859999999997</v>
          </cell>
        </row>
        <row r="992">
          <cell r="H992">
            <v>-679.95100000000002</v>
          </cell>
        </row>
        <row r="993">
          <cell r="H993">
            <v>-680.23349999999994</v>
          </cell>
        </row>
        <row r="994">
          <cell r="H994">
            <v>-680.51700000000005</v>
          </cell>
        </row>
        <row r="995">
          <cell r="H995">
            <v>-680.79949999999997</v>
          </cell>
        </row>
        <row r="996">
          <cell r="H996">
            <v>-681.08090000000004</v>
          </cell>
        </row>
        <row r="997">
          <cell r="H997">
            <v>-681.36439999999993</v>
          </cell>
        </row>
        <row r="998">
          <cell r="H998">
            <v>-681.64689999999996</v>
          </cell>
        </row>
        <row r="999">
          <cell r="H999">
            <v>-681.92840000000001</v>
          </cell>
        </row>
        <row r="1000">
          <cell r="H1000">
            <v>-682.21090000000004</v>
          </cell>
        </row>
        <row r="1001">
          <cell r="H1001">
            <v>-682.49340000000007</v>
          </cell>
        </row>
        <row r="1002">
          <cell r="H1002">
            <v>-682.7758</v>
          </cell>
        </row>
        <row r="1003">
          <cell r="H1003">
            <v>-683.05830000000003</v>
          </cell>
        </row>
        <row r="1004">
          <cell r="H1004">
            <v>-683.34179999999992</v>
          </cell>
        </row>
        <row r="1005">
          <cell r="H1005">
            <v>-683.62429999999995</v>
          </cell>
        </row>
        <row r="1006">
          <cell r="H1006">
            <v>-683.9058</v>
          </cell>
        </row>
        <row r="1007">
          <cell r="H1007">
            <v>-684.1893</v>
          </cell>
        </row>
        <row r="1008">
          <cell r="H1008">
            <v>-684.47180000000003</v>
          </cell>
        </row>
        <row r="1009">
          <cell r="H1009">
            <v>-684.75430000000006</v>
          </cell>
        </row>
        <row r="1010">
          <cell r="H1010">
            <v>-685.03679999999997</v>
          </cell>
        </row>
        <row r="1011">
          <cell r="H1011">
            <v>-685.31929999999988</v>
          </cell>
        </row>
        <row r="1012">
          <cell r="H1012">
            <v>-685.60180000000003</v>
          </cell>
        </row>
        <row r="1013">
          <cell r="H1013">
            <v>-685.88440000000003</v>
          </cell>
        </row>
        <row r="1014">
          <cell r="H1014">
            <v>-686.16790000000003</v>
          </cell>
        </row>
        <row r="1015">
          <cell r="H1015">
            <v>-686.45040000000006</v>
          </cell>
        </row>
        <row r="1016">
          <cell r="H1016">
            <v>-686.73149999999998</v>
          </cell>
        </row>
        <row r="1017">
          <cell r="H1017">
            <v>-687.0145</v>
          </cell>
        </row>
        <row r="1018">
          <cell r="H1018">
            <v>-687.29560000000004</v>
          </cell>
        </row>
        <row r="1019">
          <cell r="H1019">
            <v>-687.57870000000003</v>
          </cell>
        </row>
        <row r="1020">
          <cell r="H1020">
            <v>-687.86079999999993</v>
          </cell>
        </row>
        <row r="1021">
          <cell r="H1021">
            <v>-688.14290000000005</v>
          </cell>
        </row>
        <row r="1022">
          <cell r="H1022">
            <v>-688.42499999999995</v>
          </cell>
        </row>
        <row r="1023">
          <cell r="H1023">
            <v>-688.70710000000008</v>
          </cell>
        </row>
        <row r="1024">
          <cell r="H1024">
            <v>-688.99019999999996</v>
          </cell>
        </row>
        <row r="1025">
          <cell r="H1025">
            <v>-689.2713</v>
          </cell>
        </row>
        <row r="1026">
          <cell r="H1026">
            <v>-689.55439999999999</v>
          </cell>
        </row>
        <row r="1027">
          <cell r="H1027">
            <v>-689.8365</v>
          </cell>
        </row>
        <row r="1028">
          <cell r="H1028">
            <v>-690.11860000000001</v>
          </cell>
        </row>
        <row r="1029">
          <cell r="H1029">
            <v>-690.40070000000003</v>
          </cell>
        </row>
        <row r="1030">
          <cell r="H1030">
            <v>-690.68280000000004</v>
          </cell>
        </row>
        <row r="1031">
          <cell r="H1031">
            <v>-690.96490000000006</v>
          </cell>
        </row>
        <row r="1032">
          <cell r="H1032">
            <v>-691.24700000000007</v>
          </cell>
        </row>
        <row r="1033">
          <cell r="H1033">
            <v>-691.52909999999997</v>
          </cell>
        </row>
        <row r="1034">
          <cell r="H1034">
            <v>-691.81219999999996</v>
          </cell>
        </row>
        <row r="1035">
          <cell r="H1035">
            <v>-692.0933</v>
          </cell>
        </row>
        <row r="1036">
          <cell r="H1036">
            <v>-692.37639999999999</v>
          </cell>
        </row>
        <row r="1037">
          <cell r="H1037">
            <v>-692.6576</v>
          </cell>
        </row>
        <row r="1038">
          <cell r="H1038">
            <v>-692.94069999999999</v>
          </cell>
        </row>
        <row r="1039">
          <cell r="H1039">
            <v>-693.22280000000001</v>
          </cell>
        </row>
        <row r="1040">
          <cell r="H1040">
            <v>-693.50489999999991</v>
          </cell>
        </row>
        <row r="1041">
          <cell r="H1041">
            <v>-693.78710000000001</v>
          </cell>
        </row>
        <row r="1042">
          <cell r="H1042">
            <v>-694.06920000000002</v>
          </cell>
        </row>
        <row r="1043">
          <cell r="H1043">
            <v>-694.35130000000004</v>
          </cell>
        </row>
        <row r="1044">
          <cell r="H1044">
            <v>-694.63439999999991</v>
          </cell>
        </row>
        <row r="1045">
          <cell r="H1045">
            <v>-694.91560000000004</v>
          </cell>
        </row>
        <row r="1046">
          <cell r="H1046">
            <v>-695.19870000000003</v>
          </cell>
        </row>
        <row r="1047">
          <cell r="H1047">
            <v>-695.47979999999995</v>
          </cell>
        </row>
        <row r="1048">
          <cell r="H1048">
            <v>-695.76299999999992</v>
          </cell>
        </row>
        <row r="1049">
          <cell r="H1049">
            <v>-696.04510000000005</v>
          </cell>
        </row>
        <row r="1050">
          <cell r="H1050">
            <v>-696.32730000000004</v>
          </cell>
        </row>
        <row r="1051">
          <cell r="H1051">
            <v>-696.60940000000005</v>
          </cell>
        </row>
        <row r="1052">
          <cell r="H1052">
            <v>-696.89149999999995</v>
          </cell>
        </row>
        <row r="1053">
          <cell r="H1053">
            <v>-697.17369999999994</v>
          </cell>
        </row>
        <row r="1054">
          <cell r="H1054">
            <v>-697.45679999999993</v>
          </cell>
        </row>
        <row r="1055">
          <cell r="H1055">
            <v>-697.73800000000006</v>
          </cell>
        </row>
        <row r="1056">
          <cell r="H1056">
            <v>-698.02110000000005</v>
          </cell>
        </row>
        <row r="1057">
          <cell r="H1057">
            <v>-698.30230000000006</v>
          </cell>
        </row>
        <row r="1058">
          <cell r="H1058">
            <v>-698.58550000000002</v>
          </cell>
        </row>
        <row r="1059">
          <cell r="H1059">
            <v>-698.86760000000004</v>
          </cell>
        </row>
        <row r="1060">
          <cell r="H1060">
            <v>-699.14979999999991</v>
          </cell>
        </row>
        <row r="1061">
          <cell r="H1061">
            <v>-699.43190000000004</v>
          </cell>
        </row>
        <row r="1062">
          <cell r="H1062">
            <v>-699.71510000000001</v>
          </cell>
        </row>
        <row r="1063">
          <cell r="H1063">
            <v>-699.99630000000002</v>
          </cell>
        </row>
        <row r="1064">
          <cell r="H1064">
            <v>-700.27840000000003</v>
          </cell>
        </row>
        <row r="1065">
          <cell r="H1065">
            <v>-700.56060000000002</v>
          </cell>
        </row>
        <row r="1066">
          <cell r="H1066">
            <v>-700.84280000000001</v>
          </cell>
        </row>
        <row r="1067">
          <cell r="H1067">
            <v>-701.12600000000009</v>
          </cell>
        </row>
        <row r="1068">
          <cell r="H1068">
            <v>-701.40710000000001</v>
          </cell>
        </row>
        <row r="1069">
          <cell r="H1069">
            <v>-701.69029999999998</v>
          </cell>
        </row>
        <row r="1070">
          <cell r="H1070">
            <v>-701.97249999999997</v>
          </cell>
        </row>
        <row r="1071">
          <cell r="H1071">
            <v>-702.25469999999996</v>
          </cell>
        </row>
        <row r="1072">
          <cell r="H1072">
            <v>-702.53679999999997</v>
          </cell>
        </row>
        <row r="1073">
          <cell r="H1073">
            <v>-702.81899999999996</v>
          </cell>
        </row>
        <row r="1074">
          <cell r="H1074">
            <v>-703.10120000000006</v>
          </cell>
        </row>
        <row r="1075">
          <cell r="H1075">
            <v>-703.38440000000003</v>
          </cell>
        </row>
        <row r="1076">
          <cell r="H1076">
            <v>-703.66560000000004</v>
          </cell>
        </row>
        <row r="1077">
          <cell r="H1077">
            <v>-703.94780000000003</v>
          </cell>
        </row>
        <row r="1078">
          <cell r="H1078">
            <v>-704.23099999999999</v>
          </cell>
        </row>
        <row r="1079">
          <cell r="H1079">
            <v>-704.51220000000001</v>
          </cell>
        </row>
        <row r="1080">
          <cell r="H1080">
            <v>-704.79539999999997</v>
          </cell>
        </row>
        <row r="1081">
          <cell r="H1081">
            <v>-705.07659999999998</v>
          </cell>
        </row>
        <row r="1082">
          <cell r="H1082">
            <v>-705.35979999999995</v>
          </cell>
        </row>
        <row r="1083">
          <cell r="H1083">
            <v>-705.64200000000005</v>
          </cell>
        </row>
        <row r="1084">
          <cell r="H1084">
            <v>-705.92419999999993</v>
          </cell>
        </row>
        <row r="1085">
          <cell r="H1085">
            <v>-706.20640000000003</v>
          </cell>
        </row>
        <row r="1086">
          <cell r="H1086">
            <v>-706.48860000000002</v>
          </cell>
        </row>
        <row r="1087">
          <cell r="H1087">
            <v>-706.77080000000001</v>
          </cell>
        </row>
        <row r="1088">
          <cell r="H1088">
            <v>-707.053</v>
          </cell>
        </row>
        <row r="1089">
          <cell r="H1089">
            <v>-707.33619999999996</v>
          </cell>
        </row>
        <row r="1090">
          <cell r="H1090">
            <v>-707.61740000000009</v>
          </cell>
        </row>
        <row r="1091">
          <cell r="H1091">
            <v>-707.90060000000005</v>
          </cell>
        </row>
        <row r="1092">
          <cell r="H1092">
            <v>-708.18290000000002</v>
          </cell>
        </row>
        <row r="1093">
          <cell r="H1093">
            <v>-708.46409999999992</v>
          </cell>
        </row>
        <row r="1094">
          <cell r="H1094">
            <v>-708.7473</v>
          </cell>
        </row>
        <row r="1095">
          <cell r="H1095">
            <v>-709.02850000000001</v>
          </cell>
        </row>
        <row r="1096">
          <cell r="H1096">
            <v>-709.31179999999995</v>
          </cell>
        </row>
        <row r="1097">
          <cell r="H1097">
            <v>-709.59400000000005</v>
          </cell>
        </row>
        <row r="1098">
          <cell r="H1098">
            <v>-709.87620000000004</v>
          </cell>
        </row>
        <row r="1099">
          <cell r="H1099">
            <v>-710.15840000000003</v>
          </cell>
        </row>
        <row r="1100">
          <cell r="H1100">
            <v>-710.44069999999999</v>
          </cell>
        </row>
        <row r="1101">
          <cell r="H1101">
            <v>-710.72289999999998</v>
          </cell>
        </row>
        <row r="1102">
          <cell r="H1102">
            <v>-711.00519999999995</v>
          </cell>
        </row>
        <row r="1103">
          <cell r="H1103">
            <v>-711.28739999999993</v>
          </cell>
        </row>
        <row r="1104">
          <cell r="H1104">
            <v>-711.56860000000006</v>
          </cell>
        </row>
        <row r="1105">
          <cell r="H1105">
            <v>-711.85089999999991</v>
          </cell>
        </row>
        <row r="1106">
          <cell r="H1106">
            <v>-712.13409999999999</v>
          </cell>
        </row>
        <row r="1107">
          <cell r="H1107">
            <v>-712.41539999999998</v>
          </cell>
        </row>
        <row r="1108">
          <cell r="H1108">
            <v>-712.69859999999994</v>
          </cell>
        </row>
        <row r="1109">
          <cell r="H1109">
            <v>-712.98090000000002</v>
          </cell>
        </row>
        <row r="1110">
          <cell r="H1110">
            <v>-713.26309999999989</v>
          </cell>
        </row>
        <row r="1111">
          <cell r="H1111">
            <v>-713.54539999999997</v>
          </cell>
        </row>
        <row r="1112">
          <cell r="H1112">
            <v>-713.82759999999996</v>
          </cell>
        </row>
        <row r="1113">
          <cell r="H1113">
            <v>-714.10989999999993</v>
          </cell>
        </row>
        <row r="1114">
          <cell r="H1114">
            <v>-714.39210000000003</v>
          </cell>
        </row>
        <row r="1115">
          <cell r="H1115">
            <v>-714.67440000000011</v>
          </cell>
        </row>
        <row r="1116">
          <cell r="H1116">
            <v>-714.95669999999996</v>
          </cell>
        </row>
        <row r="1117">
          <cell r="H1117">
            <v>-715.23889999999994</v>
          </cell>
        </row>
        <row r="1118">
          <cell r="H1118">
            <v>-715.51570000000004</v>
          </cell>
        </row>
        <row r="1119">
          <cell r="H1119">
            <v>-715.78909999999996</v>
          </cell>
        </row>
        <row r="1120">
          <cell r="H1120">
            <v>-716.0625</v>
          </cell>
        </row>
        <row r="1121">
          <cell r="H1121">
            <v>-716.33690000000001</v>
          </cell>
        </row>
        <row r="1122">
          <cell r="H1122">
            <v>-716.60929999999996</v>
          </cell>
        </row>
        <row r="1123">
          <cell r="H1123">
            <v>-716.88470000000007</v>
          </cell>
        </row>
        <row r="1124">
          <cell r="H1124">
            <v>-717.15809999999999</v>
          </cell>
        </row>
        <row r="1125">
          <cell r="H1125">
            <v>-717.43050000000005</v>
          </cell>
        </row>
        <row r="1126">
          <cell r="H1126">
            <v>-717.70590000000004</v>
          </cell>
        </row>
        <row r="1127">
          <cell r="H1127">
            <v>-717.97929999999997</v>
          </cell>
        </row>
        <row r="1128">
          <cell r="H1128">
            <v>-718.2527</v>
          </cell>
        </row>
        <row r="1129">
          <cell r="H1129">
            <v>-718.52710000000002</v>
          </cell>
        </row>
        <row r="1130">
          <cell r="H1130">
            <v>-718.80050000000006</v>
          </cell>
        </row>
        <row r="1131">
          <cell r="H1131">
            <v>-719.07489999999996</v>
          </cell>
        </row>
        <row r="1132">
          <cell r="H1132">
            <v>-719.34829999999999</v>
          </cell>
        </row>
        <row r="1133">
          <cell r="H1133">
            <v>-719.62070000000006</v>
          </cell>
        </row>
        <row r="1134">
          <cell r="H1134">
            <v>-719.89620000000002</v>
          </cell>
        </row>
        <row r="1135">
          <cell r="H1135">
            <v>-720.16960000000006</v>
          </cell>
        </row>
        <row r="1136">
          <cell r="H1136">
            <v>-720.44299999999998</v>
          </cell>
        </row>
        <row r="1137">
          <cell r="H1137">
            <v>-720.7174</v>
          </cell>
        </row>
        <row r="1138">
          <cell r="H1138">
            <v>-720.99080000000004</v>
          </cell>
        </row>
        <row r="1139">
          <cell r="H1139">
            <v>-721.26430000000005</v>
          </cell>
        </row>
        <row r="1140">
          <cell r="H1140">
            <v>-721.53769999999997</v>
          </cell>
        </row>
        <row r="1141">
          <cell r="H1141">
            <v>-721.81309999999996</v>
          </cell>
        </row>
        <row r="1142">
          <cell r="H1142">
            <v>-722.08560000000011</v>
          </cell>
        </row>
        <row r="1143">
          <cell r="H1143">
            <v>-722.35900000000004</v>
          </cell>
        </row>
        <row r="1144">
          <cell r="H1144">
            <v>-722.63340000000005</v>
          </cell>
        </row>
        <row r="1145">
          <cell r="H1145">
            <v>-722.90689999999995</v>
          </cell>
        </row>
        <row r="1146">
          <cell r="H1146">
            <v>-723.18029999999999</v>
          </cell>
        </row>
        <row r="1147">
          <cell r="H1147">
            <v>-723.4547</v>
          </cell>
        </row>
        <row r="1148">
          <cell r="H1148">
            <v>-723.72820000000002</v>
          </cell>
        </row>
        <row r="1149">
          <cell r="H1149">
            <v>-724.00259999999992</v>
          </cell>
        </row>
        <row r="1150">
          <cell r="H1150">
            <v>-724.27610000000004</v>
          </cell>
        </row>
        <row r="1151">
          <cell r="H1151">
            <v>-724.54950000000008</v>
          </cell>
        </row>
        <row r="1152">
          <cell r="H1152">
            <v>-724.82399999999996</v>
          </cell>
        </row>
        <row r="1153">
          <cell r="H1153">
            <v>-725.09739999999988</v>
          </cell>
        </row>
        <row r="1154">
          <cell r="H1154">
            <v>-725.37189999999998</v>
          </cell>
        </row>
        <row r="1155">
          <cell r="H1155">
            <v>-725.64429999999993</v>
          </cell>
        </row>
        <row r="1156">
          <cell r="H1156">
            <v>-725.91779999999994</v>
          </cell>
        </row>
        <row r="1157">
          <cell r="H1157">
            <v>-726.19330000000002</v>
          </cell>
        </row>
        <row r="1158">
          <cell r="H1158">
            <v>-726.46569999999997</v>
          </cell>
        </row>
        <row r="1159">
          <cell r="H1159">
            <v>-726.74019999999996</v>
          </cell>
        </row>
        <row r="1160">
          <cell r="H1160">
            <v>-727.01459999999997</v>
          </cell>
        </row>
        <row r="1161">
          <cell r="H1161">
            <v>-727.28710000000001</v>
          </cell>
        </row>
        <row r="1162">
          <cell r="H1162">
            <v>-727.5616</v>
          </cell>
        </row>
        <row r="1163">
          <cell r="H1163">
            <v>-727.83510000000001</v>
          </cell>
        </row>
        <row r="1164">
          <cell r="H1164">
            <v>-728.10949999999991</v>
          </cell>
        </row>
        <row r="1165">
          <cell r="H1165">
            <v>-728.37860000000001</v>
          </cell>
        </row>
        <row r="1166">
          <cell r="H1166">
            <v>-728.64120000000003</v>
          </cell>
        </row>
        <row r="1167">
          <cell r="H1167">
            <v>-728.90370000000007</v>
          </cell>
        </row>
        <row r="1168">
          <cell r="H1168">
            <v>-729.16729999999995</v>
          </cell>
        </row>
        <row r="1169">
          <cell r="H1169">
            <v>-729.4298</v>
          </cell>
        </row>
        <row r="1170">
          <cell r="H1170">
            <v>-729.69240000000002</v>
          </cell>
        </row>
        <row r="1171">
          <cell r="H1171">
            <v>-729.95600000000002</v>
          </cell>
        </row>
        <row r="1172">
          <cell r="H1172">
            <v>-730.21950000000004</v>
          </cell>
        </row>
        <row r="1173">
          <cell r="H1173">
            <v>-730.48209999999995</v>
          </cell>
        </row>
        <row r="1174">
          <cell r="H1174">
            <v>-730.74469999999997</v>
          </cell>
        </row>
        <row r="1175">
          <cell r="H1175">
            <v>-731.00819999999999</v>
          </cell>
        </row>
        <row r="1176">
          <cell r="H1176">
            <v>-731.27080000000001</v>
          </cell>
        </row>
        <row r="1177">
          <cell r="H1177">
            <v>-731.53340000000003</v>
          </cell>
        </row>
        <row r="1178">
          <cell r="H1178">
            <v>-731.79700000000003</v>
          </cell>
        </row>
        <row r="1179">
          <cell r="H1179">
            <v>-732.06050000000005</v>
          </cell>
        </row>
        <row r="1180">
          <cell r="H1180">
            <v>-732.32309999999995</v>
          </cell>
        </row>
        <row r="1181">
          <cell r="H1181">
            <v>-732.58570000000009</v>
          </cell>
        </row>
        <row r="1182">
          <cell r="H1182">
            <v>-732.84829999999999</v>
          </cell>
        </row>
        <row r="1183">
          <cell r="H1183">
            <v>-733.11189999999988</v>
          </cell>
        </row>
        <row r="1184">
          <cell r="H1184">
            <v>-733.37450000000001</v>
          </cell>
        </row>
        <row r="1185">
          <cell r="H1185">
            <v>-733.63799999999992</v>
          </cell>
        </row>
        <row r="1186">
          <cell r="H1186">
            <v>-733.90160000000014</v>
          </cell>
        </row>
        <row r="1187">
          <cell r="H1187">
            <v>-734.16410000000008</v>
          </cell>
        </row>
        <row r="1188">
          <cell r="H1188">
            <v>-734.42570000000001</v>
          </cell>
        </row>
        <row r="1189">
          <cell r="H1189">
            <v>-734.68869999999993</v>
          </cell>
        </row>
        <row r="1190">
          <cell r="H1190">
            <v>-734.95130000000006</v>
          </cell>
        </row>
        <row r="1191">
          <cell r="H1191">
            <v>-735.21399999999994</v>
          </cell>
        </row>
        <row r="1192">
          <cell r="H1192">
            <v>-735.47559999999999</v>
          </cell>
        </row>
        <row r="1193">
          <cell r="H1193">
            <v>-735.73829999999998</v>
          </cell>
        </row>
        <row r="1194">
          <cell r="H1194">
            <v>-736.00099999999998</v>
          </cell>
        </row>
        <row r="1195">
          <cell r="H1195">
            <v>-736.2636</v>
          </cell>
        </row>
        <row r="1196">
          <cell r="H1196">
            <v>-736.52629999999999</v>
          </cell>
        </row>
        <row r="1197">
          <cell r="H1197">
            <v>-736.78800000000001</v>
          </cell>
        </row>
        <row r="1198">
          <cell r="H1198">
            <v>-737.05160000000001</v>
          </cell>
        </row>
        <row r="1199">
          <cell r="H1199">
            <v>-737.31330000000003</v>
          </cell>
        </row>
        <row r="1200">
          <cell r="H1200">
            <v>-737.57600000000002</v>
          </cell>
        </row>
        <row r="1201">
          <cell r="H1201">
            <v>-737.83770000000004</v>
          </cell>
        </row>
        <row r="1202">
          <cell r="H1202">
            <v>-738.10040000000004</v>
          </cell>
        </row>
        <row r="1203">
          <cell r="H1203">
            <v>-738.36200000000008</v>
          </cell>
        </row>
        <row r="1204">
          <cell r="H1204">
            <v>-738.62570000000005</v>
          </cell>
        </row>
        <row r="1205">
          <cell r="H1205">
            <v>-738.88740000000007</v>
          </cell>
        </row>
        <row r="1206">
          <cell r="H1206">
            <v>-739.15009999999995</v>
          </cell>
        </row>
        <row r="1207">
          <cell r="H1207">
            <v>-739.41280000000006</v>
          </cell>
        </row>
        <row r="1208">
          <cell r="H1208">
            <v>-739.67550000000006</v>
          </cell>
        </row>
        <row r="1209">
          <cell r="H1209">
            <v>-739.93719999999996</v>
          </cell>
        </row>
        <row r="1210">
          <cell r="H1210">
            <v>-740.19989999999996</v>
          </cell>
        </row>
        <row r="1211">
          <cell r="H1211">
            <v>-740.46260000000007</v>
          </cell>
        </row>
        <row r="1212">
          <cell r="H1212">
            <v>-740.72430000000008</v>
          </cell>
        </row>
        <row r="1213">
          <cell r="H1213">
            <v>-740.98799999999994</v>
          </cell>
        </row>
        <row r="1214">
          <cell r="H1214">
            <v>-741.24970000000008</v>
          </cell>
        </row>
        <row r="1215">
          <cell r="H1215">
            <v>-741.51239999999996</v>
          </cell>
        </row>
        <row r="1216">
          <cell r="H1216">
            <v>-741.77510000000007</v>
          </cell>
        </row>
        <row r="1217">
          <cell r="H1217">
            <v>-742.03679999999997</v>
          </cell>
        </row>
        <row r="1218">
          <cell r="H1218">
            <v>-742.29849999999988</v>
          </cell>
        </row>
        <row r="1219">
          <cell r="H1219">
            <v>-742.56219999999996</v>
          </cell>
        </row>
        <row r="1220">
          <cell r="H1220">
            <v>-742.82389999999998</v>
          </cell>
        </row>
        <row r="1221">
          <cell r="H1221">
            <v>-743.08669999999995</v>
          </cell>
        </row>
        <row r="1222">
          <cell r="H1222">
            <v>-743.34379999999999</v>
          </cell>
        </row>
        <row r="1223">
          <cell r="H1223">
            <v>-743.58179999999993</v>
          </cell>
        </row>
        <row r="1224">
          <cell r="H1224">
            <v>-743.81870000000004</v>
          </cell>
        </row>
        <row r="1225">
          <cell r="H1225">
            <v>-744.05670000000009</v>
          </cell>
        </row>
        <row r="1226">
          <cell r="H1226">
            <v>-744.29470000000003</v>
          </cell>
        </row>
        <row r="1227">
          <cell r="H1227">
            <v>-744.53269999999998</v>
          </cell>
        </row>
        <row r="1228">
          <cell r="H1228">
            <v>-744.77070000000003</v>
          </cell>
        </row>
        <row r="1229">
          <cell r="H1229">
            <v>-745.0077</v>
          </cell>
        </row>
        <row r="1230">
          <cell r="H1230">
            <v>-745.24469999999997</v>
          </cell>
        </row>
        <row r="1231">
          <cell r="H1231">
            <v>-745.48270000000002</v>
          </cell>
        </row>
        <row r="1232">
          <cell r="H1232">
            <v>-745.72070000000008</v>
          </cell>
        </row>
        <row r="1233">
          <cell r="H1233">
            <v>-745.95769999999993</v>
          </cell>
        </row>
        <row r="1234">
          <cell r="H1234">
            <v>-746.19569999999999</v>
          </cell>
        </row>
        <row r="1235">
          <cell r="H1235">
            <v>-746.43470000000002</v>
          </cell>
        </row>
        <row r="1236">
          <cell r="H1236">
            <v>-746.6717000000001</v>
          </cell>
        </row>
        <row r="1237">
          <cell r="H1237">
            <v>-746.90969999999993</v>
          </cell>
        </row>
        <row r="1238">
          <cell r="H1238">
            <v>-747.14670000000001</v>
          </cell>
        </row>
        <row r="1239">
          <cell r="H1239">
            <v>-747.38370000000009</v>
          </cell>
        </row>
        <row r="1240">
          <cell r="H1240">
            <v>-747.62159999999994</v>
          </cell>
        </row>
        <row r="1241">
          <cell r="H1241">
            <v>-747.85950000000003</v>
          </cell>
        </row>
        <row r="1242">
          <cell r="H1242">
            <v>-748.0963999999999</v>
          </cell>
        </row>
        <row r="1243">
          <cell r="H1243">
            <v>-748.33339999999998</v>
          </cell>
        </row>
        <row r="1244">
          <cell r="H1244">
            <v>-748.57029999999997</v>
          </cell>
        </row>
        <row r="1245">
          <cell r="H1245">
            <v>-748.80919999999992</v>
          </cell>
        </row>
        <row r="1246">
          <cell r="H1246">
            <v>-749.0462</v>
          </cell>
        </row>
        <row r="1247">
          <cell r="H1247">
            <v>-749.28309999999999</v>
          </cell>
        </row>
        <row r="1248">
          <cell r="H1248">
            <v>-749.52</v>
          </cell>
        </row>
        <row r="1249">
          <cell r="H1249">
            <v>-749.70299999999997</v>
          </cell>
        </row>
        <row r="1250">
          <cell r="H1250">
            <v>-749.83</v>
          </cell>
        </row>
        <row r="1251">
          <cell r="H1251">
            <v>-749.9559999999999</v>
          </cell>
        </row>
        <row r="1252">
          <cell r="H1252">
            <v>-750.08199999999999</v>
          </cell>
        </row>
        <row r="1253">
          <cell r="H1253">
            <v>-750.20900000000006</v>
          </cell>
        </row>
        <row r="1254">
          <cell r="H1254">
            <v>-750.33500000000004</v>
          </cell>
        </row>
        <row r="1255">
          <cell r="H1255">
            <v>-750.46199999999999</v>
          </cell>
        </row>
        <row r="1256">
          <cell r="H1256">
            <v>-750.58799999999997</v>
          </cell>
        </row>
        <row r="1257">
          <cell r="H1257">
            <v>-750.71499999999992</v>
          </cell>
        </row>
        <row r="1258">
          <cell r="H1258">
            <v>-750.84100000000001</v>
          </cell>
        </row>
        <row r="1259">
          <cell r="H1259">
            <v>-750.96799999999996</v>
          </cell>
        </row>
        <row r="1260">
          <cell r="H1260">
            <v>-751.09390000000008</v>
          </cell>
        </row>
        <row r="1261">
          <cell r="H1261">
            <v>-751.22090000000003</v>
          </cell>
        </row>
        <row r="1262">
          <cell r="H1262">
            <v>-751.34690000000001</v>
          </cell>
        </row>
        <row r="1263">
          <cell r="H1263">
            <v>-751.47389999999996</v>
          </cell>
        </row>
        <row r="1264">
          <cell r="H1264">
            <v>-751.59989999999993</v>
          </cell>
        </row>
        <row r="1265">
          <cell r="H1265">
            <v>-751.7269</v>
          </cell>
        </row>
        <row r="1266">
          <cell r="H1266">
            <v>-751.85290000000009</v>
          </cell>
        </row>
        <row r="1267">
          <cell r="H1267">
            <v>-751.97990000000004</v>
          </cell>
        </row>
        <row r="1268">
          <cell r="H1268">
            <v>-752.10590000000002</v>
          </cell>
        </row>
        <row r="1269">
          <cell r="H1269">
            <v>-752.23289999999997</v>
          </cell>
        </row>
        <row r="1270">
          <cell r="H1270">
            <v>-752.35889999999995</v>
          </cell>
        </row>
        <row r="1271">
          <cell r="H1271">
            <v>-752.48489999999993</v>
          </cell>
        </row>
        <row r="1272">
          <cell r="H1272">
            <v>-752.61189999999999</v>
          </cell>
        </row>
        <row r="1273">
          <cell r="H1273">
            <v>-752.73890000000006</v>
          </cell>
        </row>
        <row r="1274">
          <cell r="H1274">
            <v>-752.86500000000001</v>
          </cell>
        </row>
        <row r="1275">
          <cell r="H1275">
            <v>-752.99199999999996</v>
          </cell>
        </row>
        <row r="1276">
          <cell r="H1276">
            <v>-753.11699999999996</v>
          </cell>
        </row>
        <row r="1277">
          <cell r="H1277">
            <v>-753.245</v>
          </cell>
        </row>
        <row r="1278">
          <cell r="H1278">
            <v>-753.37099999999998</v>
          </cell>
        </row>
        <row r="1279">
          <cell r="H1279">
            <v>-753.49700000000007</v>
          </cell>
        </row>
        <row r="1280">
          <cell r="H1280">
            <v>-753.62400000000002</v>
          </cell>
        </row>
        <row r="1281">
          <cell r="H1281">
            <v>-753.75</v>
          </cell>
        </row>
        <row r="1282">
          <cell r="H1282">
            <v>-753.87699999999995</v>
          </cell>
        </row>
        <row r="1283">
          <cell r="H1283">
            <v>-754.00400000000002</v>
          </cell>
        </row>
        <row r="1284">
          <cell r="H1284">
            <v>-754.12899999999991</v>
          </cell>
        </row>
        <row r="1285">
          <cell r="H1285">
            <v>-754.03120000000001</v>
          </cell>
        </row>
        <row r="1286">
          <cell r="H1286">
            <v>-753.77689999999996</v>
          </cell>
        </row>
        <row r="1287">
          <cell r="H1287">
            <v>-753.52359999999999</v>
          </cell>
        </row>
        <row r="1288">
          <cell r="H1288">
            <v>-753.26929999999993</v>
          </cell>
        </row>
        <row r="1289">
          <cell r="H1289">
            <v>-753.01510000000007</v>
          </cell>
        </row>
        <row r="1290">
          <cell r="H1290">
            <v>-752.76080000000002</v>
          </cell>
        </row>
        <row r="1291">
          <cell r="H1291">
            <v>-752.50749999999994</v>
          </cell>
        </row>
        <row r="1292">
          <cell r="H1292">
            <v>-752.25220000000002</v>
          </cell>
        </row>
        <row r="1293">
          <cell r="H1293">
            <v>-751.99789999999996</v>
          </cell>
        </row>
        <row r="1294">
          <cell r="H1294">
            <v>-751.74459999999999</v>
          </cell>
        </row>
        <row r="1295">
          <cell r="H1295">
            <v>-751.49030000000005</v>
          </cell>
        </row>
        <row r="1296">
          <cell r="H1296">
            <v>-751.23500000000001</v>
          </cell>
        </row>
        <row r="1297">
          <cell r="H1297">
            <v>-750.98170000000005</v>
          </cell>
        </row>
        <row r="1298">
          <cell r="H1298">
            <v>-750.72749999999996</v>
          </cell>
        </row>
        <row r="1299">
          <cell r="H1299">
            <v>-750.47219999999993</v>
          </cell>
        </row>
        <row r="1300">
          <cell r="H1300">
            <v>-750.21789999999999</v>
          </cell>
        </row>
        <row r="1301">
          <cell r="H1301">
            <v>-749.96460000000002</v>
          </cell>
        </row>
        <row r="1302">
          <cell r="H1302">
            <v>-749.70929999999998</v>
          </cell>
        </row>
        <row r="1303">
          <cell r="H1303">
            <v>-749.45500000000004</v>
          </cell>
        </row>
        <row r="1304">
          <cell r="H1304">
            <v>-749.20069999999987</v>
          </cell>
        </row>
        <row r="1305">
          <cell r="H1305">
            <v>-748.94540000000006</v>
          </cell>
        </row>
        <row r="1306">
          <cell r="H1306">
            <v>-748.69209999999998</v>
          </cell>
        </row>
        <row r="1307">
          <cell r="H1307">
            <v>-748.43679999999995</v>
          </cell>
        </row>
        <row r="1308">
          <cell r="H1308">
            <v>-748.18249999999989</v>
          </cell>
        </row>
        <row r="1309">
          <cell r="H1309">
            <v>-747.92820000000006</v>
          </cell>
        </row>
        <row r="1310">
          <cell r="H1310">
            <v>-747.6739</v>
          </cell>
        </row>
        <row r="1311">
          <cell r="H1311">
            <v>-747.41870000000006</v>
          </cell>
        </row>
        <row r="1312">
          <cell r="H1312">
            <v>-747.1644</v>
          </cell>
        </row>
        <row r="1313">
          <cell r="H1313">
            <v>-746.91010000000006</v>
          </cell>
        </row>
        <row r="1314">
          <cell r="H1314">
            <v>-746.65480000000002</v>
          </cell>
        </row>
        <row r="1315">
          <cell r="H1315">
            <v>-746.40049999999997</v>
          </cell>
        </row>
        <row r="1316">
          <cell r="H1316">
            <v>-746.14619999999991</v>
          </cell>
        </row>
        <row r="1317">
          <cell r="H1317">
            <v>-745.88990000000013</v>
          </cell>
        </row>
        <row r="1318">
          <cell r="H1318">
            <v>-745.63660000000004</v>
          </cell>
        </row>
        <row r="1319">
          <cell r="H1319">
            <v>-745.38030000000003</v>
          </cell>
        </row>
        <row r="1320">
          <cell r="H1320">
            <v>-745.12699999999995</v>
          </cell>
        </row>
        <row r="1321">
          <cell r="H1321">
            <v>-744.87170000000003</v>
          </cell>
        </row>
        <row r="1322">
          <cell r="H1322">
            <v>-744.61739999999998</v>
          </cell>
        </row>
        <row r="1323">
          <cell r="H1323">
            <v>-744.36210000000005</v>
          </cell>
        </row>
        <row r="1324">
          <cell r="H1324">
            <v>-744.10680000000002</v>
          </cell>
        </row>
        <row r="1325">
          <cell r="H1325">
            <v>-743.85249999999996</v>
          </cell>
        </row>
        <row r="1326">
          <cell r="H1326">
            <v>-743.59630000000004</v>
          </cell>
        </row>
        <row r="1327">
          <cell r="H1327">
            <v>-743.34039999999993</v>
          </cell>
        </row>
        <row r="1328">
          <cell r="H1328">
            <v>-743.08439999999996</v>
          </cell>
        </row>
        <row r="1329">
          <cell r="H1329">
            <v>-742.8273999999999</v>
          </cell>
        </row>
        <row r="1330">
          <cell r="H1330">
            <v>-742.57140000000004</v>
          </cell>
        </row>
        <row r="1331">
          <cell r="H1331">
            <v>-742.31439999999998</v>
          </cell>
        </row>
        <row r="1332">
          <cell r="H1332">
            <v>-742.0575</v>
          </cell>
        </row>
        <row r="1333">
          <cell r="H1333">
            <v>-741.80050000000006</v>
          </cell>
        </row>
        <row r="1334">
          <cell r="H1334">
            <v>-741.54449999999997</v>
          </cell>
        </row>
        <row r="1335">
          <cell r="H1335">
            <v>-741.2885</v>
          </cell>
        </row>
        <row r="1336">
          <cell r="H1336">
            <v>-741.03050000000007</v>
          </cell>
        </row>
        <row r="1337">
          <cell r="H1337">
            <v>-740.77449999999999</v>
          </cell>
        </row>
        <row r="1338">
          <cell r="H1338">
            <v>-740.51850000000002</v>
          </cell>
        </row>
        <row r="1339">
          <cell r="H1339">
            <v>-740.26160000000004</v>
          </cell>
        </row>
        <row r="1340">
          <cell r="H1340">
            <v>-740.00559999999996</v>
          </cell>
        </row>
        <row r="1341">
          <cell r="H1341">
            <v>-739.74759999999992</v>
          </cell>
        </row>
        <row r="1342">
          <cell r="H1342">
            <v>-739.49159999999995</v>
          </cell>
        </row>
        <row r="1343">
          <cell r="H1343">
            <v>-739.2346</v>
          </cell>
        </row>
        <row r="1344">
          <cell r="H1344">
            <v>-738.97759999999994</v>
          </cell>
        </row>
        <row r="1345">
          <cell r="H1345">
            <v>-738.7206000000001</v>
          </cell>
        </row>
        <row r="1346">
          <cell r="H1346">
            <v>-738.46469999999999</v>
          </cell>
        </row>
        <row r="1347">
          <cell r="H1347">
            <v>-738.20669999999996</v>
          </cell>
        </row>
        <row r="1348">
          <cell r="H1348">
            <v>-737.95069999999998</v>
          </cell>
        </row>
        <row r="1349">
          <cell r="H1349">
            <v>-737.69270000000006</v>
          </cell>
        </row>
        <row r="1350">
          <cell r="H1350">
            <v>-737.43669999999997</v>
          </cell>
        </row>
        <row r="1351">
          <cell r="H1351">
            <v>-737.17869999999994</v>
          </cell>
        </row>
        <row r="1352">
          <cell r="H1352">
            <v>-736.92270000000008</v>
          </cell>
        </row>
        <row r="1353">
          <cell r="H1353">
            <v>-736.66469999999993</v>
          </cell>
        </row>
        <row r="1354">
          <cell r="H1354">
            <v>-736.40769999999998</v>
          </cell>
        </row>
        <row r="1355">
          <cell r="H1355">
            <v>-736.1508</v>
          </cell>
        </row>
        <row r="1356">
          <cell r="H1356">
            <v>-735.89380000000006</v>
          </cell>
        </row>
        <row r="1357">
          <cell r="H1357">
            <v>-735.63679999999999</v>
          </cell>
        </row>
        <row r="1358">
          <cell r="H1358">
            <v>-735.37979999999993</v>
          </cell>
        </row>
        <row r="1359">
          <cell r="H1359">
            <v>-735.12279999999998</v>
          </cell>
        </row>
        <row r="1360">
          <cell r="H1360">
            <v>-734.86580000000004</v>
          </cell>
        </row>
        <row r="1361">
          <cell r="H1361">
            <v>-734.6078</v>
          </cell>
        </row>
        <row r="1362">
          <cell r="H1362">
            <v>-734.35180000000003</v>
          </cell>
        </row>
        <row r="1363">
          <cell r="H1363">
            <v>-734.0938000000001</v>
          </cell>
        </row>
        <row r="1364">
          <cell r="H1364">
            <v>-733.83680000000004</v>
          </cell>
        </row>
        <row r="1365">
          <cell r="H1365">
            <v>-733.57979999999998</v>
          </cell>
        </row>
        <row r="1366">
          <cell r="H1366">
            <v>-733.32279999999992</v>
          </cell>
        </row>
        <row r="1367">
          <cell r="H1367">
            <v>-733.06479999999999</v>
          </cell>
        </row>
        <row r="1368">
          <cell r="H1368">
            <v>-732.80790000000002</v>
          </cell>
        </row>
        <row r="1369">
          <cell r="H1369">
            <v>-732.54989999999998</v>
          </cell>
        </row>
        <row r="1370">
          <cell r="H1370">
            <v>-732.29189999999994</v>
          </cell>
        </row>
        <row r="1371">
          <cell r="H1371">
            <v>-732.03590000000008</v>
          </cell>
        </row>
        <row r="1372">
          <cell r="H1372">
            <v>-731.77790000000005</v>
          </cell>
        </row>
        <row r="1373">
          <cell r="H1373">
            <v>-731.51990000000001</v>
          </cell>
        </row>
        <row r="1374">
          <cell r="H1374">
            <v>-731.26289999999995</v>
          </cell>
        </row>
        <row r="1375">
          <cell r="H1375">
            <v>-731.0059</v>
          </cell>
        </row>
        <row r="1376">
          <cell r="H1376">
            <v>-730.74790000000007</v>
          </cell>
        </row>
        <row r="1377">
          <cell r="H1377">
            <v>-730.49090000000001</v>
          </cell>
        </row>
        <row r="1378">
          <cell r="H1378">
            <v>-730.23289999999997</v>
          </cell>
        </row>
        <row r="1379">
          <cell r="H1379">
            <v>-729.97489999999993</v>
          </cell>
        </row>
        <row r="1380">
          <cell r="H1380">
            <v>-729.71789999999999</v>
          </cell>
        </row>
        <row r="1381">
          <cell r="H1381">
            <v>-729.45990000000006</v>
          </cell>
        </row>
        <row r="1382">
          <cell r="H1382">
            <v>-729.19</v>
          </cell>
        </row>
        <row r="1383">
          <cell r="H1383">
            <v>-728.91129999999998</v>
          </cell>
        </row>
        <row r="1384">
          <cell r="H1384">
            <v>-728.62950000000001</v>
          </cell>
        </row>
        <row r="1385">
          <cell r="H1385">
            <v>-728.34979999999996</v>
          </cell>
        </row>
        <row r="1386">
          <cell r="H1386">
            <v>-728.06809999999996</v>
          </cell>
        </row>
        <row r="1387">
          <cell r="H1387">
            <v>-727.78840000000002</v>
          </cell>
        </row>
        <row r="1388">
          <cell r="H1388">
            <v>-727.50759999999991</v>
          </cell>
        </row>
        <row r="1389">
          <cell r="H1389">
            <v>-727.2269</v>
          </cell>
        </row>
        <row r="1390">
          <cell r="H1390">
            <v>-726.94620000000009</v>
          </cell>
        </row>
        <row r="1391">
          <cell r="H1391">
            <v>-726.66549999999995</v>
          </cell>
        </row>
        <row r="1392">
          <cell r="H1392">
            <v>-726.38470000000007</v>
          </cell>
        </row>
        <row r="1393">
          <cell r="H1393">
            <v>-726.10500000000002</v>
          </cell>
        </row>
        <row r="1394">
          <cell r="H1394">
            <v>-725.82429999999999</v>
          </cell>
        </row>
        <row r="1395">
          <cell r="H1395">
            <v>-725.54349999999999</v>
          </cell>
        </row>
        <row r="1396">
          <cell r="H1396">
            <v>-725.26279999999997</v>
          </cell>
        </row>
        <row r="1397">
          <cell r="H1397">
            <v>-724.98110000000008</v>
          </cell>
        </row>
        <row r="1398">
          <cell r="H1398">
            <v>-724.70129999999995</v>
          </cell>
        </row>
        <row r="1399">
          <cell r="H1399">
            <v>-724.41959999999995</v>
          </cell>
        </row>
        <row r="1400">
          <cell r="H1400">
            <v>-724.13990000000001</v>
          </cell>
        </row>
        <row r="1401">
          <cell r="H1401">
            <v>-723.8581999999999</v>
          </cell>
        </row>
        <row r="1402">
          <cell r="H1402">
            <v>-723.57839999999999</v>
          </cell>
        </row>
        <row r="1403">
          <cell r="H1403">
            <v>-723.29669999999999</v>
          </cell>
        </row>
        <row r="1404">
          <cell r="H1404">
            <v>-723.01599999999985</v>
          </cell>
        </row>
        <row r="1405">
          <cell r="H1405">
            <v>-722.73519999999996</v>
          </cell>
        </row>
        <row r="1406">
          <cell r="H1406">
            <v>-722.45450000000005</v>
          </cell>
        </row>
        <row r="1407">
          <cell r="H1407">
            <v>-722.17280000000005</v>
          </cell>
        </row>
        <row r="1408">
          <cell r="H1408">
            <v>-721.89200000000005</v>
          </cell>
        </row>
        <row r="1409">
          <cell r="H1409">
            <v>-721.61130000000003</v>
          </cell>
        </row>
        <row r="1410">
          <cell r="H1410">
            <v>-721.32960000000003</v>
          </cell>
        </row>
        <row r="1411">
          <cell r="H1411">
            <v>-721.04880000000003</v>
          </cell>
        </row>
        <row r="1412">
          <cell r="H1412">
            <v>-720.76710000000003</v>
          </cell>
        </row>
        <row r="1413">
          <cell r="H1413">
            <v>-720.4864</v>
          </cell>
        </row>
        <row r="1414">
          <cell r="H1414">
            <v>-720.2056</v>
          </cell>
        </row>
        <row r="1415">
          <cell r="H1415">
            <v>-719.92489999999998</v>
          </cell>
        </row>
        <row r="1416">
          <cell r="H1416">
            <v>-719.64319999999998</v>
          </cell>
        </row>
        <row r="1417">
          <cell r="H1417">
            <v>-719.3614</v>
          </cell>
        </row>
        <row r="1418">
          <cell r="H1418">
            <v>-719.08069999999998</v>
          </cell>
        </row>
        <row r="1419">
          <cell r="H1419">
            <v>-718.7989</v>
          </cell>
        </row>
        <row r="1420">
          <cell r="H1420">
            <v>-718.51919999999996</v>
          </cell>
        </row>
        <row r="1421">
          <cell r="H1421">
            <v>-718.23649999999998</v>
          </cell>
        </row>
        <row r="1422">
          <cell r="H1422">
            <v>-717.9547</v>
          </cell>
        </row>
        <row r="1423">
          <cell r="H1423">
            <v>-717.67399999999998</v>
          </cell>
        </row>
        <row r="1424">
          <cell r="H1424">
            <v>-717.39229999999998</v>
          </cell>
        </row>
        <row r="1425">
          <cell r="H1425">
            <v>-717.11150000000009</v>
          </cell>
        </row>
        <row r="1426">
          <cell r="H1426">
            <v>-716.82979999999998</v>
          </cell>
        </row>
        <row r="1427">
          <cell r="H1427">
            <v>-716.54809999999998</v>
          </cell>
        </row>
        <row r="1428">
          <cell r="H1428">
            <v>-716.26729999999998</v>
          </cell>
        </row>
        <row r="1429">
          <cell r="H1429">
            <v>-715.9846</v>
          </cell>
        </row>
        <row r="1430">
          <cell r="H1430">
            <v>-715.70280000000002</v>
          </cell>
        </row>
        <row r="1431">
          <cell r="H1431">
            <v>-715.4221</v>
          </cell>
        </row>
        <row r="1432">
          <cell r="H1432">
            <v>-715.1404</v>
          </cell>
        </row>
        <row r="1433">
          <cell r="H1433">
            <v>-714.85860000000002</v>
          </cell>
        </row>
        <row r="1434">
          <cell r="H1434">
            <v>-714.5779</v>
          </cell>
        </row>
        <row r="1435">
          <cell r="H1435">
            <v>-714.29510000000005</v>
          </cell>
        </row>
        <row r="1436">
          <cell r="H1436">
            <v>-714.01340000000005</v>
          </cell>
        </row>
        <row r="1437">
          <cell r="H1437">
            <v>-713.73270000000002</v>
          </cell>
        </row>
        <row r="1438">
          <cell r="H1438">
            <v>-713.45089999999993</v>
          </cell>
        </row>
        <row r="1439">
          <cell r="H1439">
            <v>-713.16820000000007</v>
          </cell>
        </row>
        <row r="1440">
          <cell r="H1440">
            <v>-712.88740000000007</v>
          </cell>
        </row>
        <row r="1441">
          <cell r="H1441">
            <v>-712.60569999999996</v>
          </cell>
        </row>
        <row r="1442">
          <cell r="H1442">
            <v>-712.32399999999996</v>
          </cell>
        </row>
        <row r="1443">
          <cell r="H1443">
            <v>-712.0412</v>
          </cell>
        </row>
        <row r="1444">
          <cell r="H1444">
            <v>-711.76050000000009</v>
          </cell>
        </row>
        <row r="1445">
          <cell r="H1445">
            <v>-711.4787</v>
          </cell>
        </row>
        <row r="1446">
          <cell r="H1446">
            <v>-711.19599999999991</v>
          </cell>
        </row>
        <row r="1447">
          <cell r="H1447">
            <v>-710.91419999999994</v>
          </cell>
        </row>
        <row r="1448">
          <cell r="H1448">
            <v>-710.63350000000003</v>
          </cell>
        </row>
        <row r="1449">
          <cell r="H1449">
            <v>-710.35079999999994</v>
          </cell>
        </row>
        <row r="1450">
          <cell r="H1450">
            <v>-710.06799999999998</v>
          </cell>
        </row>
        <row r="1451">
          <cell r="H1451">
            <v>-709.78629999999998</v>
          </cell>
        </row>
        <row r="1452">
          <cell r="H1452">
            <v>-709.50450000000001</v>
          </cell>
        </row>
        <row r="1453">
          <cell r="H1453">
            <v>-709.22280000000001</v>
          </cell>
        </row>
        <row r="1454">
          <cell r="H1454">
            <v>-708.94099999999992</v>
          </cell>
        </row>
        <row r="1455">
          <cell r="H1455">
            <v>-708.65830000000005</v>
          </cell>
        </row>
        <row r="1456">
          <cell r="H1456">
            <v>-708.37659999999994</v>
          </cell>
        </row>
        <row r="1457">
          <cell r="H1457">
            <v>-708.09379999999999</v>
          </cell>
        </row>
        <row r="1458">
          <cell r="H1458">
            <v>-707.8121000000001</v>
          </cell>
        </row>
        <row r="1459">
          <cell r="H1459">
            <v>-707.52930000000003</v>
          </cell>
        </row>
        <row r="1460">
          <cell r="H1460">
            <v>-707.24759999999992</v>
          </cell>
        </row>
        <row r="1461">
          <cell r="H1461">
            <v>-706.96579999999994</v>
          </cell>
        </row>
        <row r="1462">
          <cell r="H1462">
            <v>-706.68309999999997</v>
          </cell>
        </row>
        <row r="1463">
          <cell r="H1463">
            <v>-706.40129999999999</v>
          </cell>
        </row>
        <row r="1464">
          <cell r="H1464">
            <v>-706.11860000000001</v>
          </cell>
        </row>
        <row r="1465">
          <cell r="H1465">
            <v>-705.83579999999995</v>
          </cell>
        </row>
        <row r="1466">
          <cell r="H1466">
            <v>-705.55409999999995</v>
          </cell>
        </row>
        <row r="1467">
          <cell r="H1467">
            <v>-705.27230000000009</v>
          </cell>
        </row>
        <row r="1468">
          <cell r="H1468">
            <v>-704.9896</v>
          </cell>
        </row>
        <row r="1469">
          <cell r="H1469">
            <v>-704.70679999999993</v>
          </cell>
        </row>
        <row r="1470">
          <cell r="H1470">
            <v>-704.42409999999995</v>
          </cell>
        </row>
        <row r="1471">
          <cell r="H1471">
            <v>-704.14229999999998</v>
          </cell>
        </row>
        <row r="1472">
          <cell r="H1472">
            <v>-703.85860000000002</v>
          </cell>
        </row>
        <row r="1473">
          <cell r="H1473">
            <v>-703.4849999999999</v>
          </cell>
        </row>
        <row r="1474">
          <cell r="H1474">
            <v>-703.06819999999993</v>
          </cell>
        </row>
        <row r="1475">
          <cell r="H1475">
            <v>-702.65039999999999</v>
          </cell>
        </row>
        <row r="1476">
          <cell r="H1476">
            <v>-702.2337</v>
          </cell>
        </row>
        <row r="1477">
          <cell r="H1477">
            <v>-701.81690000000003</v>
          </cell>
        </row>
        <row r="1478">
          <cell r="H1478">
            <v>-701.40109999999993</v>
          </cell>
        </row>
        <row r="1479">
          <cell r="H1479">
            <v>-700.98440000000005</v>
          </cell>
        </row>
        <row r="1480">
          <cell r="H1480">
            <v>-700.56660000000011</v>
          </cell>
        </row>
        <row r="1481">
          <cell r="H1481">
            <v>-700.14879999999994</v>
          </cell>
        </row>
        <row r="1482">
          <cell r="H1482">
            <v>-699.73199999999997</v>
          </cell>
        </row>
        <row r="1483">
          <cell r="H1483">
            <v>-699.31529999999998</v>
          </cell>
        </row>
        <row r="1484">
          <cell r="H1484">
            <v>-698.89850000000001</v>
          </cell>
        </row>
        <row r="1485">
          <cell r="H1485">
            <v>-698.48070000000007</v>
          </cell>
        </row>
        <row r="1486">
          <cell r="H1486">
            <v>-698.06399999999996</v>
          </cell>
        </row>
        <row r="1487">
          <cell r="H1487">
            <v>-697.6472</v>
          </cell>
        </row>
        <row r="1488">
          <cell r="H1488">
            <v>-697.22839999999997</v>
          </cell>
        </row>
        <row r="1489">
          <cell r="H1489">
            <v>-696.81169999999997</v>
          </cell>
        </row>
        <row r="1490">
          <cell r="H1490">
            <v>-696.35040000000004</v>
          </cell>
        </row>
        <row r="1491">
          <cell r="H1491">
            <v>-695.84910000000002</v>
          </cell>
        </row>
        <row r="1492">
          <cell r="H1492">
            <v>-695.34690000000001</v>
          </cell>
        </row>
        <row r="1493">
          <cell r="H1493">
            <v>-694.84569999999997</v>
          </cell>
        </row>
        <row r="1494">
          <cell r="H1494">
            <v>-694.34439999999995</v>
          </cell>
        </row>
        <row r="1495">
          <cell r="H1495">
            <v>-693.84320000000002</v>
          </cell>
        </row>
        <row r="1496">
          <cell r="H1496">
            <v>-693.34100000000001</v>
          </cell>
        </row>
        <row r="1497">
          <cell r="H1497">
            <v>-692.83980000000008</v>
          </cell>
        </row>
        <row r="1498">
          <cell r="H1498">
            <v>-692.33860000000004</v>
          </cell>
        </row>
        <row r="1499">
          <cell r="H1499">
            <v>-691.71439999999996</v>
          </cell>
        </row>
        <row r="1500">
          <cell r="H1500">
            <v>-691.0308</v>
          </cell>
        </row>
        <row r="1501">
          <cell r="H1501">
            <v>-690.3451</v>
          </cell>
        </row>
        <row r="1502">
          <cell r="H1502">
            <v>-689.66139999999996</v>
          </cell>
        </row>
        <row r="1503">
          <cell r="H1503">
            <v>-688.97579999999994</v>
          </cell>
        </row>
        <row r="1504">
          <cell r="H1504">
            <v>-688.29110000000003</v>
          </cell>
        </row>
        <row r="1505">
          <cell r="H1505">
            <v>-687.60550000000001</v>
          </cell>
        </row>
        <row r="1506">
          <cell r="H1506">
            <v>-686.92079999999999</v>
          </cell>
        </row>
        <row r="1507">
          <cell r="H1507">
            <v>-686.23520000000008</v>
          </cell>
        </row>
        <row r="1508">
          <cell r="H1508">
            <v>-685.55050000000006</v>
          </cell>
        </row>
        <row r="1509">
          <cell r="H1509">
            <v>-684.86490000000003</v>
          </cell>
        </row>
        <row r="1510">
          <cell r="H1510">
            <v>-684.18020000000001</v>
          </cell>
        </row>
        <row r="1511">
          <cell r="H1511">
            <v>-683.49459999999999</v>
          </cell>
        </row>
        <row r="1512">
          <cell r="H1512">
            <v>-682.80790000000002</v>
          </cell>
        </row>
        <row r="1513">
          <cell r="H1513">
            <v>-682.12430000000006</v>
          </cell>
        </row>
        <row r="1514">
          <cell r="H1514">
            <v>-681.43759999999997</v>
          </cell>
        </row>
        <row r="1515">
          <cell r="H1515">
            <v>-680.75199999999995</v>
          </cell>
        </row>
        <row r="1516">
          <cell r="H1516">
            <v>-680.01309999999989</v>
          </cell>
        </row>
        <row r="1517">
          <cell r="H1517">
            <v>-679.1957000000001</v>
          </cell>
        </row>
        <row r="1518">
          <cell r="H1518">
            <v>-678.37840000000006</v>
          </cell>
        </row>
        <row r="1519">
          <cell r="H1519">
            <v>-677.55899999999997</v>
          </cell>
        </row>
        <row r="1520">
          <cell r="H1520">
            <v>-676.74069999999995</v>
          </cell>
        </row>
        <row r="1521">
          <cell r="H1521">
            <v>-675.92340000000002</v>
          </cell>
        </row>
        <row r="1522">
          <cell r="H1522">
            <v>-675.10500000000002</v>
          </cell>
        </row>
        <row r="1523">
          <cell r="H1523">
            <v>-674.28470000000004</v>
          </cell>
        </row>
        <row r="1524">
          <cell r="H1524">
            <v>-673.4674</v>
          </cell>
        </row>
        <row r="1525">
          <cell r="H1525">
            <v>-672.6481</v>
          </cell>
        </row>
        <row r="1526">
          <cell r="H1526">
            <v>-671.8297</v>
          </cell>
        </row>
        <row r="1527">
          <cell r="H1527">
            <v>-671.01139999999998</v>
          </cell>
        </row>
        <row r="1528">
          <cell r="H1528">
            <v>-670.19209999999998</v>
          </cell>
        </row>
        <row r="1529">
          <cell r="H1529">
            <v>-669.37379999999996</v>
          </cell>
        </row>
        <row r="1530">
          <cell r="H1530">
            <v>-668.55449999999996</v>
          </cell>
        </row>
        <row r="1531">
          <cell r="H1531">
            <v>-667.73520000000008</v>
          </cell>
        </row>
        <row r="1532">
          <cell r="H1532">
            <v>-666.91689999999994</v>
          </cell>
        </row>
        <row r="1533">
          <cell r="H1533">
            <v>-666.09759999999994</v>
          </cell>
        </row>
        <row r="1534">
          <cell r="H1534">
            <v>-665.27830000000006</v>
          </cell>
        </row>
        <row r="1535">
          <cell r="H1535">
            <v>-664.45799999999997</v>
          </cell>
        </row>
        <row r="1536">
          <cell r="H1536">
            <v>-663.63869999999997</v>
          </cell>
        </row>
        <row r="1537">
          <cell r="H1537">
            <v>-662.81939999999997</v>
          </cell>
        </row>
        <row r="1538">
          <cell r="H1538">
            <v>-662.00009999999997</v>
          </cell>
        </row>
        <row r="1539">
          <cell r="H1539">
            <v>-661.18079999999998</v>
          </cell>
        </row>
        <row r="1540">
          <cell r="H1540">
            <v>-660.3605</v>
          </cell>
        </row>
        <row r="1541">
          <cell r="H1541">
            <v>-659.5412</v>
          </cell>
        </row>
        <row r="1542">
          <cell r="H1542">
            <v>-658.72190000000001</v>
          </cell>
        </row>
        <row r="1543">
          <cell r="H1543">
            <v>-657.90159999999992</v>
          </cell>
        </row>
        <row r="1544">
          <cell r="H1544">
            <v>-657.08140000000003</v>
          </cell>
        </row>
        <row r="1545">
          <cell r="H1545">
            <v>-656.26109999999994</v>
          </cell>
        </row>
        <row r="1546">
          <cell r="H1546">
            <v>-655.44079999999997</v>
          </cell>
        </row>
        <row r="1547">
          <cell r="H1547">
            <v>-654.62059999999997</v>
          </cell>
        </row>
        <row r="1548">
          <cell r="H1548">
            <v>-653.80029999999999</v>
          </cell>
        </row>
        <row r="1549">
          <cell r="H1549">
            <v>-652.98</v>
          </cell>
        </row>
        <row r="1550">
          <cell r="H1550">
            <v>-652.15980000000002</v>
          </cell>
        </row>
        <row r="1551">
          <cell r="H1551">
            <v>-651.33950000000004</v>
          </cell>
        </row>
        <row r="1552">
          <cell r="H1552">
            <v>-650.5172</v>
          </cell>
        </row>
        <row r="1553">
          <cell r="H1553">
            <v>-649.69700000000012</v>
          </cell>
        </row>
        <row r="1554">
          <cell r="H1554">
            <v>-648.87670000000003</v>
          </cell>
        </row>
        <row r="1555">
          <cell r="H1555">
            <v>-648.05549999999994</v>
          </cell>
        </row>
        <row r="1556">
          <cell r="H1556">
            <v>-647.23519999999996</v>
          </cell>
        </row>
        <row r="1557">
          <cell r="H1557">
            <v>-646.41399999999999</v>
          </cell>
        </row>
        <row r="1558">
          <cell r="H1558">
            <v>-645.59370000000001</v>
          </cell>
        </row>
        <row r="1559">
          <cell r="H1559">
            <v>-644.77150000000006</v>
          </cell>
        </row>
        <row r="1560">
          <cell r="H1560">
            <v>-643.9502</v>
          </cell>
        </row>
        <row r="1561">
          <cell r="H1561">
            <v>-643.12900000000002</v>
          </cell>
        </row>
        <row r="1562">
          <cell r="H1562">
            <v>-642.30880000000002</v>
          </cell>
        </row>
        <row r="1563">
          <cell r="H1563">
            <v>-641.4855</v>
          </cell>
        </row>
        <row r="1564">
          <cell r="H1564">
            <v>-640.6653</v>
          </cell>
        </row>
        <row r="1565">
          <cell r="H1565">
            <v>-639.84310000000005</v>
          </cell>
        </row>
        <row r="1566">
          <cell r="H1566">
            <v>-639.02179999999998</v>
          </cell>
        </row>
        <row r="1567">
          <cell r="H1567">
            <v>-638.19960000000003</v>
          </cell>
        </row>
        <row r="1568">
          <cell r="H1568">
            <v>-637.37840000000006</v>
          </cell>
        </row>
        <row r="1569">
          <cell r="H1569">
            <v>-636.55619999999999</v>
          </cell>
        </row>
        <row r="1570">
          <cell r="H1570">
            <v>-635.73400000000004</v>
          </cell>
        </row>
        <row r="1571">
          <cell r="H1571">
            <v>-634.91280000000006</v>
          </cell>
        </row>
        <row r="1572">
          <cell r="H1572">
            <v>-634.08950000000004</v>
          </cell>
        </row>
        <row r="1573">
          <cell r="H1573">
            <v>-633.26729999999998</v>
          </cell>
        </row>
        <row r="1574">
          <cell r="H1574">
            <v>-632.4461</v>
          </cell>
        </row>
        <row r="1575">
          <cell r="H1575">
            <v>-631.62290000000007</v>
          </cell>
        </row>
        <row r="1576">
          <cell r="H1576">
            <v>-630.80070000000001</v>
          </cell>
        </row>
        <row r="1577">
          <cell r="H1577">
            <v>-629.97750000000008</v>
          </cell>
        </row>
        <row r="1578">
          <cell r="H1578">
            <v>-629.15629999999999</v>
          </cell>
        </row>
        <row r="1579">
          <cell r="H1579">
            <v>-628.33310000000006</v>
          </cell>
        </row>
        <row r="1580">
          <cell r="H1580">
            <v>-627.51089999999999</v>
          </cell>
        </row>
        <row r="1581">
          <cell r="H1581">
            <v>-626.68769999999995</v>
          </cell>
        </row>
        <row r="1582">
          <cell r="H1582">
            <v>-625.8646</v>
          </cell>
        </row>
        <row r="1583">
          <cell r="H1583">
            <v>-625.04140000000007</v>
          </cell>
        </row>
        <row r="1584">
          <cell r="H1584">
            <v>-624.2192</v>
          </cell>
        </row>
        <row r="1585">
          <cell r="H1585">
            <v>-623.39599999999996</v>
          </cell>
        </row>
        <row r="1586">
          <cell r="H1586">
            <v>-622.57180000000005</v>
          </cell>
        </row>
        <row r="1587">
          <cell r="H1587">
            <v>-621.74970000000008</v>
          </cell>
        </row>
        <row r="1588">
          <cell r="H1588">
            <v>-620.92550000000006</v>
          </cell>
        </row>
        <row r="1589">
          <cell r="H1589">
            <v>-620.10130000000004</v>
          </cell>
        </row>
        <row r="1590">
          <cell r="H1590">
            <v>-619.27809999999999</v>
          </cell>
        </row>
        <row r="1591">
          <cell r="H1591">
            <v>-618.45500000000004</v>
          </cell>
        </row>
        <row r="1592">
          <cell r="H1592">
            <v>-617.63080000000002</v>
          </cell>
        </row>
        <row r="1593">
          <cell r="H1593">
            <v>-616.80860000000007</v>
          </cell>
        </row>
        <row r="1594">
          <cell r="H1594">
            <v>-615.98349999999994</v>
          </cell>
        </row>
        <row r="1595">
          <cell r="H1595">
            <v>-615.15930000000003</v>
          </cell>
        </row>
        <row r="1596">
          <cell r="H1596">
            <v>-614.33720000000005</v>
          </cell>
        </row>
        <row r="1597">
          <cell r="H1597">
            <v>-613.51200000000006</v>
          </cell>
        </row>
        <row r="1598">
          <cell r="H1598">
            <v>-612.68790000000001</v>
          </cell>
        </row>
        <row r="1599">
          <cell r="H1599">
            <v>-611.86369999999988</v>
          </cell>
        </row>
        <row r="1600">
          <cell r="H1600">
            <v>-611.03959999999995</v>
          </cell>
        </row>
        <row r="1601">
          <cell r="H1601">
            <v>-610.21640000000002</v>
          </cell>
        </row>
        <row r="1602">
          <cell r="H1602">
            <v>-609.3913</v>
          </cell>
        </row>
        <row r="1603">
          <cell r="H1603">
            <v>-608.56719999999996</v>
          </cell>
        </row>
        <row r="1604">
          <cell r="H1604">
            <v>-607.74199999999996</v>
          </cell>
        </row>
        <row r="1605">
          <cell r="H1605">
            <v>-606.91690000000006</v>
          </cell>
        </row>
        <row r="1606">
          <cell r="H1606">
            <v>-606.09280000000001</v>
          </cell>
        </row>
        <row r="1607">
          <cell r="H1607">
            <v>-605.26760000000002</v>
          </cell>
        </row>
        <row r="1608">
          <cell r="H1608">
            <v>-604.4425</v>
          </cell>
        </row>
        <row r="1609">
          <cell r="H1609">
            <v>-603.61840000000007</v>
          </cell>
        </row>
        <row r="1610">
          <cell r="H1610">
            <v>-602.62369999999999</v>
          </cell>
        </row>
        <row r="1611">
          <cell r="H1611">
            <v>-601.4556</v>
          </cell>
        </row>
        <row r="1612">
          <cell r="H1612">
            <v>-600.16290000000004</v>
          </cell>
        </row>
        <row r="1613">
          <cell r="H1613">
            <v>-598.86919999999998</v>
          </cell>
        </row>
        <row r="1614">
          <cell r="H1614">
            <v>-597.57550000000003</v>
          </cell>
        </row>
        <row r="1615">
          <cell r="H1615">
            <v>-596.2808</v>
          </cell>
        </row>
        <row r="1616">
          <cell r="H1616">
            <v>-594.98820000000001</v>
          </cell>
        </row>
        <row r="1617">
          <cell r="H1617">
            <v>-593.69350000000009</v>
          </cell>
        </row>
        <row r="1618">
          <cell r="H1618">
            <v>-592.39890000000003</v>
          </cell>
        </row>
        <row r="1619">
          <cell r="H1619">
            <v>-591.10419999999999</v>
          </cell>
        </row>
        <row r="1620">
          <cell r="H1620">
            <v>-589.81060000000002</v>
          </cell>
        </row>
        <row r="1621">
          <cell r="H1621">
            <v>-588.51499999999999</v>
          </cell>
        </row>
        <row r="1622">
          <cell r="H1622">
            <v>-587.22039999999993</v>
          </cell>
        </row>
        <row r="1623">
          <cell r="H1623">
            <v>-585.92489999999998</v>
          </cell>
        </row>
        <row r="1624">
          <cell r="H1624">
            <v>-584.62829999999997</v>
          </cell>
        </row>
        <row r="1625">
          <cell r="H1625">
            <v>-583.33269999999993</v>
          </cell>
        </row>
        <row r="1626">
          <cell r="H1626">
            <v>-582.03819999999996</v>
          </cell>
        </row>
        <row r="1627">
          <cell r="H1627">
            <v>-580.74170000000004</v>
          </cell>
        </row>
        <row r="1628">
          <cell r="H1628">
            <v>-579.44620000000009</v>
          </cell>
        </row>
        <row r="1629">
          <cell r="H1629">
            <v>-578.14970000000005</v>
          </cell>
        </row>
        <row r="1630">
          <cell r="H1630">
            <v>-576.85320000000002</v>
          </cell>
        </row>
        <row r="1631">
          <cell r="H1631">
            <v>-575.55669999999998</v>
          </cell>
        </row>
        <row r="1632">
          <cell r="H1632">
            <v>-574.25919999999996</v>
          </cell>
        </row>
        <row r="1633">
          <cell r="H1633">
            <v>-572.96280000000002</v>
          </cell>
        </row>
        <row r="1634">
          <cell r="H1634">
            <v>-571.6653</v>
          </cell>
        </row>
        <row r="1635">
          <cell r="H1635">
            <v>-570.36890000000005</v>
          </cell>
        </row>
        <row r="1636">
          <cell r="H1636">
            <v>-569.07249999999999</v>
          </cell>
        </row>
        <row r="1637">
          <cell r="H1637">
            <v>-567.77409999999998</v>
          </cell>
        </row>
        <row r="1638">
          <cell r="H1638">
            <v>-566.47669999999994</v>
          </cell>
        </row>
        <row r="1639">
          <cell r="H1639">
            <v>-565.17840000000001</v>
          </cell>
        </row>
        <row r="1640">
          <cell r="H1640">
            <v>-563.88</v>
          </cell>
        </row>
        <row r="1641">
          <cell r="H1641">
            <v>-562.58159999999998</v>
          </cell>
        </row>
        <row r="1642">
          <cell r="H1642">
            <v>-561.28329999999994</v>
          </cell>
        </row>
        <row r="1643">
          <cell r="H1643">
            <v>-559.9849999999999</v>
          </cell>
        </row>
        <row r="1644">
          <cell r="H1644">
            <v>-558.68669999999997</v>
          </cell>
        </row>
        <row r="1645">
          <cell r="H1645">
            <v>-557.38840000000005</v>
          </cell>
        </row>
        <row r="1646">
          <cell r="H1646">
            <v>-556.08809999999994</v>
          </cell>
        </row>
        <row r="1647">
          <cell r="H1647">
            <v>-554.78879999999992</v>
          </cell>
        </row>
        <row r="1648">
          <cell r="H1648">
            <v>-553.49060000000009</v>
          </cell>
        </row>
        <row r="1649">
          <cell r="H1649">
            <v>-552.19129999999996</v>
          </cell>
        </row>
        <row r="1650">
          <cell r="H1650">
            <v>-550.89109999999994</v>
          </cell>
        </row>
        <row r="1651">
          <cell r="H1651">
            <v>-549.59090000000003</v>
          </cell>
        </row>
        <row r="1652">
          <cell r="H1652">
            <v>-548.29068000000007</v>
          </cell>
        </row>
        <row r="1653">
          <cell r="H1653">
            <v>-546.99149</v>
          </cell>
        </row>
        <row r="1654">
          <cell r="H1654">
            <v>-545.69030999999995</v>
          </cell>
        </row>
        <row r="1655">
          <cell r="H1655">
            <v>-544.39015000000006</v>
          </cell>
        </row>
        <row r="1656">
          <cell r="H1656">
            <v>-543.08999999999992</v>
          </cell>
        </row>
        <row r="1657">
          <cell r="H1657">
            <v>-541.78985999999998</v>
          </cell>
        </row>
        <row r="1658">
          <cell r="H1658">
            <v>-540.48773000000006</v>
          </cell>
        </row>
        <row r="1659">
          <cell r="H1659">
            <v>-539.18760999999995</v>
          </cell>
        </row>
        <row r="1660">
          <cell r="H1660">
            <v>-537.88450999999998</v>
          </cell>
        </row>
        <row r="1661">
          <cell r="H1661">
            <v>-536.58441999999991</v>
          </cell>
        </row>
        <row r="1662">
          <cell r="H1662">
            <v>-535.28234999999995</v>
          </cell>
        </row>
        <row r="1663">
          <cell r="H1663">
            <v>-533.98128999999994</v>
          </cell>
        </row>
        <row r="1664">
          <cell r="H1664">
            <v>-532.67923999999994</v>
          </cell>
        </row>
        <row r="1665">
          <cell r="H1665">
            <v>-531.37619999999993</v>
          </cell>
        </row>
        <row r="1666">
          <cell r="H1666">
            <v>-530.07418000000007</v>
          </cell>
        </row>
        <row r="1667">
          <cell r="H1667">
            <v>-528.77216999999996</v>
          </cell>
        </row>
        <row r="1668">
          <cell r="H1668">
            <v>-527.46917000000008</v>
          </cell>
        </row>
        <row r="1669">
          <cell r="H1669">
            <v>-526.16619000000003</v>
          </cell>
        </row>
        <row r="1670">
          <cell r="H1670">
            <v>-524.86322000000007</v>
          </cell>
        </row>
        <row r="1671">
          <cell r="H1671">
            <v>-523.56025999999997</v>
          </cell>
        </row>
        <row r="1672">
          <cell r="H1672">
            <v>-522.25731000000007</v>
          </cell>
        </row>
        <row r="1673">
          <cell r="H1673">
            <v>-520.95337999999992</v>
          </cell>
        </row>
        <row r="1674">
          <cell r="H1674">
            <v>-519.65046000000007</v>
          </cell>
        </row>
        <row r="1675">
          <cell r="H1675">
            <v>-518.34754999999996</v>
          </cell>
        </row>
        <row r="1676">
          <cell r="H1676">
            <v>-517.04265999999996</v>
          </cell>
        </row>
        <row r="1677">
          <cell r="H1677">
            <v>-515.73877999999991</v>
          </cell>
        </row>
        <row r="1678">
          <cell r="H1678">
            <v>-514.43390999999997</v>
          </cell>
        </row>
        <row r="1679">
          <cell r="H1679">
            <v>-513.12905999999998</v>
          </cell>
        </row>
        <row r="1680">
          <cell r="H1680">
            <v>-511.82521999999994</v>
          </cell>
        </row>
        <row r="1681">
          <cell r="H1681">
            <v>-510.52038999999996</v>
          </cell>
        </row>
        <row r="1682">
          <cell r="H1682">
            <v>-509.21608000000003</v>
          </cell>
        </row>
        <row r="1683">
          <cell r="H1683">
            <v>-507.91088000000002</v>
          </cell>
        </row>
        <row r="1684">
          <cell r="H1684">
            <v>-506.60568999999998</v>
          </cell>
        </row>
        <row r="1685">
          <cell r="H1685">
            <v>-505.29951000000005</v>
          </cell>
        </row>
        <row r="1686">
          <cell r="H1686">
            <v>-503.99435</v>
          </cell>
        </row>
        <row r="1687">
          <cell r="H1687">
            <v>-502.68810000000002</v>
          </cell>
        </row>
        <row r="1688">
          <cell r="H1688">
            <v>-501.38287000000003</v>
          </cell>
        </row>
        <row r="1689">
          <cell r="H1689">
            <v>-500.07654000000002</v>
          </cell>
        </row>
        <row r="1690">
          <cell r="H1690">
            <v>-498.77033</v>
          </cell>
        </row>
        <row r="1691">
          <cell r="H1691">
            <v>-497.46393999999998</v>
          </cell>
        </row>
        <row r="1692">
          <cell r="H1692">
            <v>-496.15764999999999</v>
          </cell>
        </row>
        <row r="1693">
          <cell r="H1693">
            <v>-494.85028</v>
          </cell>
        </row>
        <row r="1694">
          <cell r="H1694">
            <v>-493.54391999999996</v>
          </cell>
        </row>
        <row r="1695">
          <cell r="H1695">
            <v>-492.23648000000003</v>
          </cell>
        </row>
        <row r="1696">
          <cell r="H1696">
            <v>-490.92915000000005</v>
          </cell>
        </row>
        <row r="1697">
          <cell r="H1697">
            <v>-489.62162999999998</v>
          </cell>
        </row>
        <row r="1698">
          <cell r="H1698">
            <v>-488.31422999999995</v>
          </cell>
        </row>
        <row r="1699">
          <cell r="H1699">
            <v>-487.00674000000004</v>
          </cell>
        </row>
        <row r="1700">
          <cell r="H1700">
            <v>-485.69925999999998</v>
          </cell>
        </row>
        <row r="1701">
          <cell r="H1701">
            <v>-484.39069000000001</v>
          </cell>
        </row>
        <row r="1702">
          <cell r="H1702">
            <v>-483.08314000000001</v>
          </cell>
        </row>
        <row r="1703">
          <cell r="H1703">
            <v>-481.77359999999999</v>
          </cell>
        </row>
        <row r="1704">
          <cell r="H1704">
            <v>-480.46597999999994</v>
          </cell>
        </row>
        <row r="1705">
          <cell r="H1705">
            <v>-479.15735999999998</v>
          </cell>
        </row>
        <row r="1706">
          <cell r="H1706">
            <v>-477.84775999999999</v>
          </cell>
        </row>
        <row r="1707">
          <cell r="H1707">
            <v>-476.53908000000001</v>
          </cell>
        </row>
        <row r="1708">
          <cell r="H1708">
            <v>-475.22951</v>
          </cell>
        </row>
        <row r="1709">
          <cell r="H1709">
            <v>-473.91975000000002</v>
          </cell>
        </row>
        <row r="1710">
          <cell r="H1710">
            <v>-472.61110000000002</v>
          </cell>
        </row>
        <row r="1711">
          <cell r="H1711">
            <v>-471.30137000000002</v>
          </cell>
        </row>
        <row r="1712">
          <cell r="H1712">
            <v>-469.99154999999996</v>
          </cell>
        </row>
        <row r="1713">
          <cell r="H1713">
            <v>-468.68083999999999</v>
          </cell>
        </row>
        <row r="1714">
          <cell r="H1714">
            <v>-467.37104999999997</v>
          </cell>
        </row>
        <row r="1715">
          <cell r="H1715">
            <v>-466.06016999999997</v>
          </cell>
        </row>
        <row r="1716">
          <cell r="H1716">
            <v>-464.75030000000004</v>
          </cell>
        </row>
        <row r="1717">
          <cell r="H1717">
            <v>-463.43943999999999</v>
          </cell>
        </row>
        <row r="1718">
          <cell r="H1718">
            <v>-462.12759999999997</v>
          </cell>
        </row>
        <row r="1719">
          <cell r="H1719">
            <v>-460.81768</v>
          </cell>
        </row>
        <row r="1720">
          <cell r="H1720">
            <v>-459.50675999999999</v>
          </cell>
        </row>
        <row r="1721">
          <cell r="H1721">
            <v>-458.19486000000001</v>
          </cell>
        </row>
        <row r="1722">
          <cell r="H1722">
            <v>-456.88387999999998</v>
          </cell>
        </row>
        <row r="1723">
          <cell r="H1723">
            <v>-455.57190000000003</v>
          </cell>
        </row>
        <row r="1724">
          <cell r="H1724">
            <v>-454.25884000000002</v>
          </cell>
        </row>
        <row r="1725">
          <cell r="H1725">
            <v>-452.94789000000003</v>
          </cell>
        </row>
        <row r="1726">
          <cell r="H1726">
            <v>-451.63576</v>
          </cell>
        </row>
        <row r="1727">
          <cell r="H1727">
            <v>-450.32274000000001</v>
          </cell>
        </row>
        <row r="1728">
          <cell r="H1728">
            <v>-449.01062999999999</v>
          </cell>
        </row>
        <row r="1729">
          <cell r="H1729">
            <v>-447.69754</v>
          </cell>
        </row>
        <row r="1730">
          <cell r="H1730">
            <v>-446.38436000000002</v>
          </cell>
        </row>
        <row r="1731">
          <cell r="H1731">
            <v>-445.07229000000001</v>
          </cell>
        </row>
        <row r="1732">
          <cell r="H1732">
            <v>-443.75903</v>
          </cell>
        </row>
        <row r="1733">
          <cell r="H1733">
            <v>-442.44488999999999</v>
          </cell>
        </row>
        <row r="1734">
          <cell r="H1734">
            <v>-441.13166999999999</v>
          </cell>
        </row>
        <row r="1735">
          <cell r="H1735">
            <v>-439.81845000000004</v>
          </cell>
        </row>
        <row r="1736">
          <cell r="H1736">
            <v>-438.50414999999998</v>
          </cell>
        </row>
        <row r="1737">
          <cell r="H1737">
            <v>-437.18986000000001</v>
          </cell>
        </row>
        <row r="1738">
          <cell r="H1738">
            <v>-435.87558999999999</v>
          </cell>
        </row>
        <row r="1739">
          <cell r="H1739">
            <v>-434.56123000000002</v>
          </cell>
        </row>
        <row r="1740">
          <cell r="H1740">
            <v>-433.24687999999998</v>
          </cell>
        </row>
        <row r="1741">
          <cell r="H1741">
            <v>-431.93254999999999</v>
          </cell>
        </row>
        <row r="1742">
          <cell r="H1742">
            <v>-430.61713000000003</v>
          </cell>
        </row>
        <row r="1743">
          <cell r="H1743">
            <v>-429.30172000000005</v>
          </cell>
        </row>
        <row r="1744">
          <cell r="H1744">
            <v>-427.98631999999998</v>
          </cell>
        </row>
        <row r="1745">
          <cell r="H1745">
            <v>-426.67084</v>
          </cell>
        </row>
        <row r="1746">
          <cell r="H1746">
            <v>-425.35638</v>
          </cell>
        </row>
        <row r="1747">
          <cell r="H1747">
            <v>-424.03992</v>
          </cell>
        </row>
        <row r="1748">
          <cell r="H1748">
            <v>-422.72438</v>
          </cell>
        </row>
        <row r="1749">
          <cell r="H1749">
            <v>-421.40786000000003</v>
          </cell>
        </row>
        <row r="1750">
          <cell r="H1750">
            <v>-420.09224</v>
          </cell>
        </row>
        <row r="1751">
          <cell r="H1751">
            <v>-418.77473999999995</v>
          </cell>
        </row>
        <row r="1752">
          <cell r="H1752">
            <v>-417.45916</v>
          </cell>
        </row>
        <row r="1753">
          <cell r="H1753">
            <v>-416.14148</v>
          </cell>
        </row>
        <row r="1754">
          <cell r="H1754">
            <v>-414.82582000000002</v>
          </cell>
        </row>
        <row r="1755">
          <cell r="H1755">
            <v>-413.50818000000004</v>
          </cell>
        </row>
        <row r="1756">
          <cell r="H1756">
            <v>-412.19054</v>
          </cell>
        </row>
        <row r="1757">
          <cell r="H1757">
            <v>-410.87383</v>
          </cell>
        </row>
        <row r="1758">
          <cell r="H1758">
            <v>-409.55611999999996</v>
          </cell>
        </row>
        <row r="1759">
          <cell r="H1759">
            <v>-408.23833000000002</v>
          </cell>
        </row>
        <row r="1760">
          <cell r="H1760">
            <v>-406.91955000000002</v>
          </cell>
        </row>
        <row r="1761">
          <cell r="H1761">
            <v>-405.60177999999996</v>
          </cell>
        </row>
        <row r="1762">
          <cell r="H1762">
            <v>-404.28392999999994</v>
          </cell>
        </row>
        <row r="1763">
          <cell r="H1763">
            <v>-402.96609000000001</v>
          </cell>
        </row>
        <row r="1764">
          <cell r="H1764">
            <v>-401.64626999999996</v>
          </cell>
        </row>
        <row r="1765">
          <cell r="H1765">
            <v>-400.32835999999998</v>
          </cell>
        </row>
        <row r="1766">
          <cell r="H1766">
            <v>-399.00945999999999</v>
          </cell>
        </row>
        <row r="1767">
          <cell r="H1767">
            <v>-397.69056999999998</v>
          </cell>
        </row>
        <row r="1768">
          <cell r="H1768">
            <v>-396.37160000000006</v>
          </cell>
        </row>
        <row r="1769">
          <cell r="H1769">
            <v>-395.05165</v>
          </cell>
        </row>
        <row r="1770">
          <cell r="H1770">
            <v>-393.73169999999999</v>
          </cell>
        </row>
        <row r="1771">
          <cell r="H1771">
            <v>-392.41166999999996</v>
          </cell>
        </row>
        <row r="1772">
          <cell r="H1772">
            <v>-391.09266000000002</v>
          </cell>
        </row>
        <row r="1773">
          <cell r="H1773">
            <v>-389.77265</v>
          </cell>
        </row>
        <row r="1774">
          <cell r="H1774">
            <v>-388.45256000000001</v>
          </cell>
        </row>
        <row r="1775">
          <cell r="H1775">
            <v>-387.13148999999999</v>
          </cell>
        </row>
        <row r="1776">
          <cell r="H1776">
            <v>-385.81032000000005</v>
          </cell>
        </row>
        <row r="1777">
          <cell r="H1777">
            <v>-384.49028000000004</v>
          </cell>
        </row>
        <row r="1778">
          <cell r="H1778">
            <v>-383.16904</v>
          </cell>
        </row>
        <row r="1779">
          <cell r="H1779">
            <v>-381.84791999999999</v>
          </cell>
        </row>
        <row r="1780">
          <cell r="H1780">
            <v>-380.52670999999998</v>
          </cell>
        </row>
        <row r="1781">
          <cell r="H1781">
            <v>-379.20551999999998</v>
          </cell>
        </row>
        <row r="1782">
          <cell r="H1782">
            <v>-377.88322999999997</v>
          </cell>
        </row>
        <row r="1783">
          <cell r="H1783">
            <v>-376.56197000000003</v>
          </cell>
        </row>
        <row r="1784">
          <cell r="H1784">
            <v>-375.23971</v>
          </cell>
        </row>
        <row r="1785">
          <cell r="H1785">
            <v>-373.91747000000004</v>
          </cell>
        </row>
        <row r="1786">
          <cell r="H1786">
            <v>-372.59614999999997</v>
          </cell>
        </row>
        <row r="1787">
          <cell r="H1787">
            <v>-371.27273000000002</v>
          </cell>
        </row>
        <row r="1788">
          <cell r="H1788">
            <v>-369.95042999999998</v>
          </cell>
        </row>
        <row r="1789">
          <cell r="H1789">
            <v>-368.62805000000003</v>
          </cell>
        </row>
        <row r="1790">
          <cell r="H1790">
            <v>-367.30457999999999</v>
          </cell>
        </row>
        <row r="1791">
          <cell r="H1791">
            <v>-365.98221999999998</v>
          </cell>
        </row>
        <row r="1792">
          <cell r="H1792">
            <v>-364.65777000000003</v>
          </cell>
        </row>
        <row r="1793">
          <cell r="H1793">
            <v>-363.33423999999997</v>
          </cell>
        </row>
        <row r="1794">
          <cell r="H1794">
            <v>-362.01073000000002</v>
          </cell>
        </row>
        <row r="1795">
          <cell r="H1795">
            <v>-360.68621999999999</v>
          </cell>
        </row>
        <row r="1796">
          <cell r="H1796">
            <v>-359.36273</v>
          </cell>
        </row>
        <row r="1797">
          <cell r="H1797">
            <v>-358.03815000000003</v>
          </cell>
        </row>
        <row r="1798">
          <cell r="H1798">
            <v>-356.71458999999999</v>
          </cell>
        </row>
        <row r="1799">
          <cell r="H1799">
            <v>-355.38993999999997</v>
          </cell>
        </row>
        <row r="1800">
          <cell r="H1800">
            <v>-354.06541000000004</v>
          </cell>
        </row>
        <row r="1801">
          <cell r="H1801">
            <v>-352.74068999999997</v>
          </cell>
        </row>
        <row r="1802">
          <cell r="H1802">
            <v>-351.41608000000002</v>
          </cell>
        </row>
        <row r="1803">
          <cell r="H1803">
            <v>-350.09037999999998</v>
          </cell>
        </row>
        <row r="1804">
          <cell r="H1804">
            <v>-348.7647</v>
          </cell>
        </row>
        <row r="1805">
          <cell r="H1805">
            <v>-347.43993999999998</v>
          </cell>
        </row>
        <row r="1806">
          <cell r="H1806">
            <v>-346.11417999999998</v>
          </cell>
        </row>
        <row r="1807">
          <cell r="H1807">
            <v>-344.78744000000006</v>
          </cell>
        </row>
        <row r="1808">
          <cell r="H1808">
            <v>-343.46161999999998</v>
          </cell>
        </row>
        <row r="1809">
          <cell r="H1809">
            <v>-342.13580999999999</v>
          </cell>
        </row>
        <row r="1810">
          <cell r="H1810">
            <v>-340.80901</v>
          </cell>
        </row>
        <row r="1811">
          <cell r="H1811">
            <v>-339.48311999999999</v>
          </cell>
        </row>
        <row r="1812">
          <cell r="H1812">
            <v>-338.15525000000002</v>
          </cell>
        </row>
        <row r="1813">
          <cell r="H1813">
            <v>-336.82929999999999</v>
          </cell>
        </row>
        <row r="1814">
          <cell r="H1814">
            <v>-335.50145000000003</v>
          </cell>
        </row>
        <row r="1815">
          <cell r="H1815">
            <v>-334.17442</v>
          </cell>
        </row>
        <row r="1816">
          <cell r="H1816">
            <v>-332.84751</v>
          </cell>
        </row>
        <row r="1817">
          <cell r="H1817">
            <v>-331.51950999999997</v>
          </cell>
        </row>
        <row r="1818">
          <cell r="H1818">
            <v>-330.19252</v>
          </cell>
        </row>
        <row r="1819">
          <cell r="H1819">
            <v>-328.86444</v>
          </cell>
        </row>
        <row r="1820">
          <cell r="H1820">
            <v>-327.53647999999998</v>
          </cell>
        </row>
        <row r="1821">
          <cell r="H1821">
            <v>-326.20834000000002</v>
          </cell>
        </row>
        <row r="1822">
          <cell r="H1822">
            <v>-324.8793</v>
          </cell>
        </row>
        <row r="1823">
          <cell r="H1823">
            <v>-323.55017999999995</v>
          </cell>
        </row>
        <row r="1824">
          <cell r="H1824">
            <v>-322.22197999999997</v>
          </cell>
        </row>
        <row r="1825">
          <cell r="H1825">
            <v>-320.89289000000002</v>
          </cell>
        </row>
        <row r="1826">
          <cell r="H1826">
            <v>-319.56371000000001</v>
          </cell>
        </row>
        <row r="1827">
          <cell r="H1827">
            <v>-318.23444999999998</v>
          </cell>
        </row>
        <row r="1828">
          <cell r="H1828">
            <v>-316.90530000000001</v>
          </cell>
        </row>
        <row r="1829">
          <cell r="H1829">
            <v>-315.57606000000004</v>
          </cell>
        </row>
        <row r="1830">
          <cell r="H1830">
            <v>-314.24573999999996</v>
          </cell>
        </row>
        <row r="1831">
          <cell r="H1831">
            <v>-312.91543000000001</v>
          </cell>
        </row>
        <row r="1832">
          <cell r="H1832">
            <v>-311.58513000000005</v>
          </cell>
        </row>
        <row r="1833">
          <cell r="H1833">
            <v>-310.25484999999998</v>
          </cell>
        </row>
        <row r="1834">
          <cell r="H1834">
            <v>-308.92448999999999</v>
          </cell>
        </row>
        <row r="1835">
          <cell r="H1835">
            <v>-307.59413000000001</v>
          </cell>
        </row>
        <row r="1836">
          <cell r="H1836">
            <v>-306.26268999999996</v>
          </cell>
        </row>
        <row r="1837">
          <cell r="H1837">
            <v>-304.93227000000002</v>
          </cell>
        </row>
        <row r="1838">
          <cell r="H1838">
            <v>-303.60145999999997</v>
          </cell>
        </row>
        <row r="1839">
          <cell r="H1839">
            <v>-302.26955999999996</v>
          </cell>
        </row>
        <row r="1840">
          <cell r="H1840">
            <v>-300.93847999999997</v>
          </cell>
        </row>
        <row r="1841">
          <cell r="H1841">
            <v>-299.60621000000003</v>
          </cell>
        </row>
        <row r="1842">
          <cell r="H1842">
            <v>-298.27504999999996</v>
          </cell>
        </row>
        <row r="1843">
          <cell r="H1843">
            <v>-296.94261</v>
          </cell>
        </row>
        <row r="1844">
          <cell r="H1844">
            <v>-295.61008000000004</v>
          </cell>
        </row>
        <row r="1845">
          <cell r="H1845">
            <v>-294.27847000000003</v>
          </cell>
        </row>
        <row r="1846">
          <cell r="H1846">
            <v>-292.94576999999998</v>
          </cell>
        </row>
        <row r="1847">
          <cell r="H1847">
            <v>-291.61297999999999</v>
          </cell>
        </row>
        <row r="1848">
          <cell r="H1848">
            <v>-290.28010999999998</v>
          </cell>
        </row>
        <row r="1849">
          <cell r="H1849">
            <v>-288.94704999999999</v>
          </cell>
        </row>
        <row r="1850">
          <cell r="H1850">
            <v>-287.61390999999998</v>
          </cell>
        </row>
        <row r="1851">
          <cell r="H1851">
            <v>-286.28078000000005</v>
          </cell>
        </row>
        <row r="1852">
          <cell r="H1852">
            <v>-284.94635999999997</v>
          </cell>
        </row>
        <row r="1853">
          <cell r="H1853">
            <v>-283.61295999999999</v>
          </cell>
        </row>
        <row r="1854">
          <cell r="H1854">
            <v>-282.27947</v>
          </cell>
        </row>
        <row r="1855">
          <cell r="H1855">
            <v>-280.94489999999996</v>
          </cell>
        </row>
        <row r="1856">
          <cell r="H1856">
            <v>-279.61104</v>
          </cell>
        </row>
        <row r="1857">
          <cell r="H1857">
            <v>-278.27629000000002</v>
          </cell>
        </row>
        <row r="1858">
          <cell r="H1858">
            <v>-276.94136000000003</v>
          </cell>
        </row>
        <row r="1859">
          <cell r="H1859">
            <v>-275.60724000000005</v>
          </cell>
        </row>
        <row r="1860">
          <cell r="H1860">
            <v>-274.27213999999998</v>
          </cell>
        </row>
        <row r="1861">
          <cell r="H1861">
            <v>-272.93675000000002</v>
          </cell>
        </row>
        <row r="1862">
          <cell r="H1862">
            <v>-271.60147000000001</v>
          </cell>
        </row>
        <row r="1863">
          <cell r="H1863">
            <v>-270.26590799999997</v>
          </cell>
        </row>
        <row r="1864">
          <cell r="H1864">
            <v>-268.93045899999998</v>
          </cell>
        </row>
        <row r="1865">
          <cell r="H1865">
            <v>-267.59472499999998</v>
          </cell>
        </row>
        <row r="1866">
          <cell r="H1866">
            <v>-266.259005</v>
          </cell>
        </row>
        <row r="1867">
          <cell r="H1867">
            <v>-265.18943400000001</v>
          </cell>
        </row>
        <row r="1868">
          <cell r="H1868">
            <v>-264.26895400000001</v>
          </cell>
        </row>
        <row r="1869">
          <cell r="H1869">
            <v>-263.34838200000002</v>
          </cell>
        </row>
        <row r="1870">
          <cell r="H1870">
            <v>-262.428718</v>
          </cell>
        </row>
        <row r="1871">
          <cell r="H1871">
            <v>-261.508062</v>
          </cell>
        </row>
        <row r="1872">
          <cell r="H1872">
            <v>-260.58741499999996</v>
          </cell>
        </row>
        <row r="1873">
          <cell r="H1873">
            <v>-259.666676</v>
          </cell>
        </row>
        <row r="1874">
          <cell r="H1874">
            <v>-258.74584499999997</v>
          </cell>
        </row>
        <row r="1875">
          <cell r="H1875">
            <v>-257.82512300000002</v>
          </cell>
        </row>
        <row r="1876">
          <cell r="H1876">
            <v>-256.90430800000001</v>
          </cell>
        </row>
        <row r="1877">
          <cell r="H1877">
            <v>-255.98330299999998</v>
          </cell>
        </row>
        <row r="1878">
          <cell r="H1878">
            <v>-255.191271</v>
          </cell>
        </row>
        <row r="1879">
          <cell r="H1879">
            <v>-254.84952800000002</v>
          </cell>
        </row>
        <row r="1880">
          <cell r="H1880">
            <v>-254.50788699999998</v>
          </cell>
        </row>
        <row r="1881">
          <cell r="H1881">
            <v>-254.16514699999999</v>
          </cell>
        </row>
        <row r="1882">
          <cell r="H1882">
            <v>-253.82341</v>
          </cell>
        </row>
        <row r="1883">
          <cell r="H1883">
            <v>-253.481675</v>
          </cell>
        </row>
        <row r="1884">
          <cell r="H1884">
            <v>-253.13894299999998</v>
          </cell>
        </row>
        <row r="1885">
          <cell r="H1885">
            <v>-252.797212</v>
          </cell>
        </row>
        <row r="1886">
          <cell r="H1886">
            <v>-252.52484200000001</v>
          </cell>
        </row>
        <row r="1887">
          <cell r="H1887">
            <v>-252.50703500000003</v>
          </cell>
        </row>
        <row r="1888">
          <cell r="H1888">
            <v>-252.48812800000002</v>
          </cell>
        </row>
        <row r="1889">
          <cell r="H1889">
            <v>-252.47032100000001</v>
          </cell>
        </row>
        <row r="1890">
          <cell r="H1890">
            <v>-252.45151399999997</v>
          </cell>
        </row>
        <row r="1891">
          <cell r="H1891">
            <v>-252.433707</v>
          </cell>
        </row>
        <row r="1892">
          <cell r="H1892">
            <v>-252.41480099999998</v>
          </cell>
        </row>
        <row r="1893">
          <cell r="H1893">
            <v>-252.39699400000001</v>
          </cell>
        </row>
        <row r="1894">
          <cell r="H1894">
            <v>-252.378187</v>
          </cell>
        </row>
        <row r="1895">
          <cell r="H1895">
            <v>-252.36027999999999</v>
          </cell>
        </row>
        <row r="1896">
          <cell r="H1896">
            <v>-252.34137299999998</v>
          </cell>
        </row>
        <row r="1897">
          <cell r="H1897">
            <v>-252.323567</v>
          </cell>
        </row>
        <row r="1898">
          <cell r="H1898">
            <v>-252.30475999999999</v>
          </cell>
        </row>
        <row r="1899">
          <cell r="H1899">
            <v>-252.28695300000001</v>
          </cell>
        </row>
        <row r="1900">
          <cell r="H1900">
            <v>-252.268047</v>
          </cell>
        </row>
        <row r="1901">
          <cell r="H1901">
            <v>-252.25024000000002</v>
          </cell>
        </row>
        <row r="1902">
          <cell r="H1902">
            <v>-252.23143400000001</v>
          </cell>
        </row>
        <row r="1903">
          <cell r="H1903">
            <v>-252.21362699999997</v>
          </cell>
        </row>
        <row r="1904">
          <cell r="H1904">
            <v>-252.19472100000002</v>
          </cell>
        </row>
        <row r="1905">
          <cell r="H1905">
            <v>-252.17681400000001</v>
          </cell>
        </row>
        <row r="1906">
          <cell r="H1906">
            <v>-252.158008</v>
          </cell>
        </row>
        <row r="1907">
          <cell r="H1907">
            <v>-252.14020200000002</v>
          </cell>
        </row>
        <row r="1908">
          <cell r="H1908">
            <v>-252.12129499999998</v>
          </cell>
        </row>
        <row r="1909">
          <cell r="H1909">
            <v>-252.10348900000002</v>
          </cell>
        </row>
        <row r="1910">
          <cell r="H1910">
            <v>-252.08468300000001</v>
          </cell>
        </row>
        <row r="1911">
          <cell r="H1911">
            <v>-252.065877</v>
          </cell>
        </row>
        <row r="1912">
          <cell r="H1912">
            <v>-252.04797100000002</v>
          </cell>
        </row>
        <row r="1913">
          <cell r="H1913">
            <v>-252.02916400000001</v>
          </cell>
        </row>
        <row r="1914">
          <cell r="H1914">
            <v>-252.01135799999997</v>
          </cell>
        </row>
        <row r="1915">
          <cell r="H1915">
            <v>-251.99245200000001</v>
          </cell>
        </row>
        <row r="1916">
          <cell r="H1916">
            <v>-251.974546</v>
          </cell>
        </row>
        <row r="1917">
          <cell r="H1917">
            <v>-251.95573999999999</v>
          </cell>
        </row>
        <row r="1918">
          <cell r="H1918">
            <v>-251.93793400000001</v>
          </cell>
        </row>
        <row r="1919">
          <cell r="H1919">
            <v>-251.919128</v>
          </cell>
        </row>
        <row r="1920">
          <cell r="H1920">
            <v>-251.90122199999996</v>
          </cell>
        </row>
        <row r="1921">
          <cell r="H1921">
            <v>-251.882417</v>
          </cell>
        </row>
        <row r="1922">
          <cell r="H1922">
            <v>-251.86461100000002</v>
          </cell>
        </row>
        <row r="1923">
          <cell r="H1923">
            <v>-251.84580499999998</v>
          </cell>
        </row>
        <row r="1924">
          <cell r="H1924">
            <v>-251.827899</v>
          </cell>
        </row>
        <row r="1925">
          <cell r="H1925">
            <v>-251.80899299999999</v>
          </cell>
        </row>
        <row r="1926">
          <cell r="H1926">
            <v>-251.79118800000001</v>
          </cell>
        </row>
        <row r="1927">
          <cell r="H1927">
            <v>-251.77238199999999</v>
          </cell>
        </row>
        <row r="1928">
          <cell r="H1928">
            <v>-251.75447600000001</v>
          </cell>
        </row>
        <row r="1929">
          <cell r="H1929">
            <v>-251.735671</v>
          </cell>
        </row>
        <row r="1930">
          <cell r="H1930">
            <v>-251.71786500000002</v>
          </cell>
        </row>
        <row r="1931">
          <cell r="H1931">
            <v>-251.69905999999997</v>
          </cell>
        </row>
        <row r="1932">
          <cell r="H1932">
            <v>-251.68115399999999</v>
          </cell>
        </row>
        <row r="1933">
          <cell r="H1933">
            <v>-251.66234900000001</v>
          </cell>
        </row>
        <row r="1934">
          <cell r="H1934">
            <v>-251.64444400000002</v>
          </cell>
        </row>
        <row r="1935">
          <cell r="H1935">
            <v>-251.62553799999998</v>
          </cell>
        </row>
        <row r="1936">
          <cell r="H1936">
            <v>-251.607733</v>
          </cell>
        </row>
        <row r="1937">
          <cell r="H1937">
            <v>-251.58892800000001</v>
          </cell>
        </row>
        <row r="1938">
          <cell r="H1938">
            <v>-251.571122</v>
          </cell>
        </row>
        <row r="1939">
          <cell r="H1939">
            <v>-251.55221699999998</v>
          </cell>
        </row>
        <row r="1940">
          <cell r="H1940">
            <v>-251.53441199999997</v>
          </cell>
        </row>
        <row r="1941">
          <cell r="H1941">
            <v>-251.51560699999999</v>
          </cell>
        </row>
        <row r="1942">
          <cell r="H1942">
            <v>-251.49780099999998</v>
          </cell>
        </row>
        <row r="1943">
          <cell r="H1943">
            <v>-251.47889599999999</v>
          </cell>
        </row>
        <row r="1944">
          <cell r="H1944">
            <v>-251.46099099999998</v>
          </cell>
        </row>
        <row r="1945">
          <cell r="H1945">
            <v>-251.44218600000002</v>
          </cell>
        </row>
        <row r="1946">
          <cell r="H1946">
            <v>-251.42438099999998</v>
          </cell>
        </row>
        <row r="1947">
          <cell r="H1947">
            <v>-251.40547600000002</v>
          </cell>
        </row>
        <row r="1948">
          <cell r="H1948">
            <v>-251.38767100000001</v>
          </cell>
        </row>
        <row r="1949">
          <cell r="H1949">
            <v>-251.36886600000003</v>
          </cell>
        </row>
        <row r="1950">
          <cell r="H1950">
            <v>-251.35106200000001</v>
          </cell>
        </row>
        <row r="1951">
          <cell r="H1951">
            <v>-251.332157</v>
          </cell>
        </row>
        <row r="1952">
          <cell r="H1952">
            <v>-251.31435199999999</v>
          </cell>
        </row>
        <row r="1953">
          <cell r="H1953">
            <v>-251.29544700000002</v>
          </cell>
        </row>
        <row r="1954">
          <cell r="H1954">
            <v>-251.27764199999999</v>
          </cell>
        </row>
        <row r="1955">
          <cell r="H1955">
            <v>-251.25873799999999</v>
          </cell>
        </row>
        <row r="1956">
          <cell r="H1956">
            <v>-251.24093299999998</v>
          </cell>
        </row>
        <row r="1957">
          <cell r="H1957">
            <v>-251.222129</v>
          </cell>
        </row>
        <row r="1958">
          <cell r="H1958">
            <v>-251.20432399999999</v>
          </cell>
        </row>
        <row r="1959">
          <cell r="H1959">
            <v>-251.185419</v>
          </cell>
        </row>
        <row r="1960">
          <cell r="H1960">
            <v>-251.16761500000001</v>
          </cell>
        </row>
        <row r="1961">
          <cell r="H1961">
            <v>-251.14880999999997</v>
          </cell>
        </row>
        <row r="1962">
          <cell r="H1962">
            <v>-251.13090599999998</v>
          </cell>
        </row>
        <row r="1963">
          <cell r="H1963">
            <v>-251.11200200000002</v>
          </cell>
        </row>
        <row r="1964">
          <cell r="H1964">
            <v>-251.093197</v>
          </cell>
        </row>
        <row r="1965">
          <cell r="H1965">
            <v>-251.07539300000002</v>
          </cell>
        </row>
        <row r="1966">
          <cell r="H1966">
            <v>-251.05658799999998</v>
          </cell>
        </row>
        <row r="1967">
          <cell r="H1967">
            <v>-251.03868400000002</v>
          </cell>
        </row>
        <row r="1968">
          <cell r="H1968">
            <v>-251.01988</v>
          </cell>
        </row>
        <row r="1969">
          <cell r="H1969">
            <v>-251.00207599999999</v>
          </cell>
        </row>
        <row r="1970">
          <cell r="H1970">
            <v>-250.983272</v>
          </cell>
        </row>
        <row r="1971">
          <cell r="H1971">
            <v>-250.96526699999998</v>
          </cell>
        </row>
        <row r="1972">
          <cell r="H1972">
            <v>-250.94646299999999</v>
          </cell>
        </row>
        <row r="1973">
          <cell r="H1973">
            <v>-250.92865899999998</v>
          </cell>
        </row>
        <row r="1974">
          <cell r="H1974">
            <v>-250.90985499999999</v>
          </cell>
        </row>
        <row r="1975">
          <cell r="H1975">
            <v>-250.89195100000001</v>
          </cell>
        </row>
        <row r="1976">
          <cell r="H1976">
            <v>-250.87314700000002</v>
          </cell>
        </row>
        <row r="1977">
          <cell r="H1977">
            <v>-250.855343</v>
          </cell>
        </row>
        <row r="1978">
          <cell r="H1978">
            <v>-250.83653899999999</v>
          </cell>
        </row>
        <row r="1979">
          <cell r="H1979">
            <v>-250.81863600000003</v>
          </cell>
        </row>
        <row r="1980">
          <cell r="H1980">
            <v>-250.79973200000001</v>
          </cell>
        </row>
        <row r="1981">
          <cell r="H1981">
            <v>-250.78192799999999</v>
          </cell>
        </row>
        <row r="1982">
          <cell r="H1982">
            <v>-250.763124</v>
          </cell>
        </row>
        <row r="1983">
          <cell r="H1983">
            <v>-250.74521999999999</v>
          </cell>
        </row>
        <row r="1984">
          <cell r="H1984">
            <v>-250.72641700000003</v>
          </cell>
        </row>
        <row r="1985">
          <cell r="H1985">
            <v>-250.70861300000001</v>
          </cell>
        </row>
        <row r="1986">
          <cell r="H1986">
            <v>-250.689809</v>
          </cell>
        </row>
        <row r="1987">
          <cell r="H1987">
            <v>-250.67190599999998</v>
          </cell>
        </row>
        <row r="1988">
          <cell r="H1988">
            <v>-250.65300200000001</v>
          </cell>
        </row>
        <row r="1989">
          <cell r="H1989">
            <v>-250.635199</v>
          </cell>
        </row>
        <row r="1990">
          <cell r="H1990">
            <v>-250.61629499999998</v>
          </cell>
        </row>
        <row r="1991">
          <cell r="H1991">
            <v>-250.59849199999999</v>
          </cell>
        </row>
        <row r="1992">
          <cell r="H1992">
            <v>-250.57968800000003</v>
          </cell>
        </row>
        <row r="1993">
          <cell r="H1993">
            <v>-250.56188500000002</v>
          </cell>
        </row>
        <row r="1994">
          <cell r="H1994">
            <v>-250.54298199999999</v>
          </cell>
        </row>
        <row r="1995">
          <cell r="H1995">
            <v>-250.52517799999998</v>
          </cell>
        </row>
        <row r="1996">
          <cell r="H1996">
            <v>-250.50637500000002</v>
          </cell>
        </row>
        <row r="1997">
          <cell r="H1997">
            <v>-250.488472</v>
          </cell>
        </row>
        <row r="1998">
          <cell r="H1998">
            <v>-250.46956899999998</v>
          </cell>
        </row>
        <row r="1999">
          <cell r="H1999">
            <v>-250.45176599999999</v>
          </cell>
        </row>
        <row r="2000">
          <cell r="H2000">
            <v>-250.43296200000003</v>
          </cell>
        </row>
        <row r="2001">
          <cell r="H2001">
            <v>-250.41515900000002</v>
          </cell>
        </row>
        <row r="2002">
          <cell r="H2002">
            <v>-250.39625599999999</v>
          </cell>
        </row>
        <row r="2003">
          <cell r="H2003">
            <v>-250.37845299999998</v>
          </cell>
        </row>
        <row r="2004">
          <cell r="H2004">
            <v>-250.35964999999999</v>
          </cell>
        </row>
        <row r="2005">
          <cell r="H2005">
            <v>-250.341747</v>
          </cell>
        </row>
        <row r="2006">
          <cell r="H2006">
            <v>-250.32284400000003</v>
          </cell>
        </row>
        <row r="2007">
          <cell r="H2007">
            <v>-250.30504100000002</v>
          </cell>
        </row>
        <row r="2008">
          <cell r="H2008">
            <v>-250.28623800000003</v>
          </cell>
        </row>
        <row r="2009">
          <cell r="H2009">
            <v>-250.26843600000001</v>
          </cell>
        </row>
        <row r="2010">
          <cell r="H2010">
            <v>-250.24953299999999</v>
          </cell>
        </row>
        <row r="2011">
          <cell r="H2011">
            <v>-250.23072999999999</v>
          </cell>
        </row>
        <row r="2012">
          <cell r="H2012">
            <v>-250.21292699999998</v>
          </cell>
        </row>
        <row r="2013">
          <cell r="H2013">
            <v>-250.19412499999999</v>
          </cell>
        </row>
        <row r="2014">
          <cell r="H2014">
            <v>-250.17612200000002</v>
          </cell>
        </row>
        <row r="2015">
          <cell r="H2015">
            <v>-250.157319</v>
          </cell>
        </row>
        <row r="2016">
          <cell r="H2016">
            <v>-250.13951700000001</v>
          </cell>
        </row>
        <row r="2017">
          <cell r="H2017">
            <v>-250.12071400000002</v>
          </cell>
        </row>
        <row r="2018">
          <cell r="H2018">
            <v>-250.102812</v>
          </cell>
        </row>
        <row r="2019">
          <cell r="H2019">
            <v>-250.08400899999998</v>
          </cell>
        </row>
        <row r="2020">
          <cell r="H2020">
            <v>-250.06620699999996</v>
          </cell>
        </row>
        <row r="2021">
          <cell r="H2021">
            <v>-250.047404</v>
          </cell>
        </row>
        <row r="2022">
          <cell r="H2022">
            <v>-250.029402</v>
          </cell>
        </row>
        <row r="2023">
          <cell r="H2023">
            <v>-250.01059999999998</v>
          </cell>
        </row>
        <row r="2024">
          <cell r="H2024">
            <v>-249.992797</v>
          </cell>
        </row>
        <row r="2025">
          <cell r="H2025">
            <v>-249.973995</v>
          </cell>
        </row>
        <row r="2026">
          <cell r="H2026">
            <v>-249.95609300000001</v>
          </cell>
        </row>
        <row r="2027">
          <cell r="H2027">
            <v>-249.93729100000002</v>
          </cell>
        </row>
        <row r="2028">
          <cell r="H2028">
            <v>-249.919488</v>
          </cell>
        </row>
        <row r="2029">
          <cell r="H2029">
            <v>-249.90068599999998</v>
          </cell>
        </row>
        <row r="2030">
          <cell r="H2030">
            <v>-249.88268399999998</v>
          </cell>
        </row>
        <row r="2031">
          <cell r="H2031">
            <v>-249.86388199999999</v>
          </cell>
        </row>
        <row r="2032">
          <cell r="H2032">
            <v>-249.84607999999997</v>
          </cell>
        </row>
        <row r="2033">
          <cell r="H2033">
            <v>-249.82727800000004</v>
          </cell>
        </row>
        <row r="2034">
          <cell r="H2034">
            <v>-249.80937599999999</v>
          </cell>
        </row>
        <row r="2035">
          <cell r="H2035">
            <v>-249.79057399999999</v>
          </cell>
        </row>
        <row r="2036">
          <cell r="H2036">
            <v>-249.77277199999997</v>
          </cell>
        </row>
        <row r="2037">
          <cell r="H2037">
            <v>-249.75397000000001</v>
          </cell>
        </row>
        <row r="2038">
          <cell r="H2038">
            <v>-249.73596900000001</v>
          </cell>
        </row>
        <row r="2039">
          <cell r="H2039">
            <v>-249.71716699999999</v>
          </cell>
        </row>
        <row r="2040">
          <cell r="H2040">
            <v>-249.699365</v>
          </cell>
        </row>
        <row r="2041">
          <cell r="H2041">
            <v>-249.68056300000001</v>
          </cell>
        </row>
        <row r="2042">
          <cell r="H2042">
            <v>-249.66266200000001</v>
          </cell>
        </row>
        <row r="2043">
          <cell r="H2043">
            <v>-249.64386000000002</v>
          </cell>
        </row>
        <row r="2044">
          <cell r="H2044">
            <v>-249.626058</v>
          </cell>
        </row>
        <row r="2045">
          <cell r="H2045">
            <v>-249.607257</v>
          </cell>
        </row>
        <row r="2046">
          <cell r="H2046">
            <v>-249.58925499999998</v>
          </cell>
        </row>
        <row r="2047">
          <cell r="H2047">
            <v>-249.57045400000001</v>
          </cell>
        </row>
        <row r="2048">
          <cell r="H2048">
            <v>-249.55265199999999</v>
          </cell>
        </row>
        <row r="2049">
          <cell r="H2049">
            <v>-249.53385100000003</v>
          </cell>
        </row>
        <row r="2050">
          <cell r="H2050">
            <v>-249.51594900000001</v>
          </cell>
        </row>
        <row r="2051">
          <cell r="H2051">
            <v>-249.49714799999998</v>
          </cell>
        </row>
        <row r="2052">
          <cell r="H2052">
            <v>-249.47934699999996</v>
          </cell>
        </row>
        <row r="2053">
          <cell r="H2053">
            <v>-249.46044499999999</v>
          </cell>
        </row>
        <row r="2054">
          <cell r="H2054">
            <v>-249.442544</v>
          </cell>
        </row>
        <row r="2055">
          <cell r="H2055">
            <v>-249.423743</v>
          </cell>
        </row>
        <row r="2056">
          <cell r="H2056">
            <v>-249.40494199999998</v>
          </cell>
        </row>
        <row r="2057">
          <cell r="H2057">
            <v>-249.38713999999999</v>
          </cell>
        </row>
        <row r="2058">
          <cell r="H2058">
            <v>-249.36823900000002</v>
          </cell>
        </row>
        <row r="2059">
          <cell r="H2059">
            <v>-249.350438</v>
          </cell>
        </row>
        <row r="2060">
          <cell r="H2060">
            <v>-249.331637</v>
          </cell>
        </row>
        <row r="2061">
          <cell r="H2061">
            <v>-249.31373600000001</v>
          </cell>
        </row>
        <row r="2062">
          <cell r="H2062">
            <v>-249.29483499999998</v>
          </cell>
        </row>
        <row r="2063">
          <cell r="H2063">
            <v>-249.27703399999999</v>
          </cell>
        </row>
        <row r="2064">
          <cell r="H2064">
            <v>-249.25823299999999</v>
          </cell>
        </row>
        <row r="2065">
          <cell r="H2065">
            <v>-249.24033200000002</v>
          </cell>
        </row>
        <row r="2066">
          <cell r="H2066">
            <v>-249.221531</v>
          </cell>
        </row>
        <row r="2067">
          <cell r="H2067">
            <v>-249.20373000000001</v>
          </cell>
        </row>
        <row r="2068">
          <cell r="H2068">
            <v>-249.18493000000001</v>
          </cell>
        </row>
        <row r="2069">
          <cell r="H2069">
            <v>-249.16692899999998</v>
          </cell>
        </row>
        <row r="2070">
          <cell r="H2070">
            <v>-249.14812799999999</v>
          </cell>
        </row>
        <row r="2071">
          <cell r="H2071">
            <v>-249.13032700000002</v>
          </cell>
        </row>
        <row r="2072">
          <cell r="H2072">
            <v>-249.111527</v>
          </cell>
        </row>
        <row r="2073">
          <cell r="H2073">
            <v>-249.09362600000003</v>
          </cell>
        </row>
        <row r="2074">
          <cell r="H2074">
            <v>-249.074826</v>
          </cell>
        </row>
        <row r="2075">
          <cell r="H2075">
            <v>-249.05702500000001</v>
          </cell>
        </row>
        <row r="2076">
          <cell r="H2076">
            <v>-249.03812499999998</v>
          </cell>
        </row>
        <row r="2077">
          <cell r="H2077">
            <v>-249.02022400000001</v>
          </cell>
        </row>
        <row r="2078">
          <cell r="H2078">
            <v>-249.00142399999999</v>
          </cell>
        </row>
        <row r="2079">
          <cell r="H2079">
            <v>-248.98362299999999</v>
          </cell>
        </row>
        <row r="2080">
          <cell r="H2080">
            <v>-248.96482280000001</v>
          </cell>
        </row>
        <row r="2081">
          <cell r="H2081">
            <v>-248.94692240000001</v>
          </cell>
        </row>
        <row r="2082">
          <cell r="H2082">
            <v>-248.9281221</v>
          </cell>
        </row>
        <row r="2083">
          <cell r="H2083">
            <v>-248.91022179999999</v>
          </cell>
        </row>
        <row r="2084">
          <cell r="H2084">
            <v>-248.8914216</v>
          </cell>
        </row>
        <row r="2085">
          <cell r="H2085">
            <v>-248.87352129999999</v>
          </cell>
        </row>
        <row r="2086">
          <cell r="H2086">
            <v>-248.85472120000003</v>
          </cell>
        </row>
        <row r="2087">
          <cell r="H2087">
            <v>-248.83692099999999</v>
          </cell>
        </row>
        <row r="2088">
          <cell r="H2088">
            <v>-248.8181209</v>
          </cell>
        </row>
        <row r="2089">
          <cell r="H2089">
            <v>-248.80022079999998</v>
          </cell>
        </row>
        <row r="2090">
          <cell r="H2090">
            <v>-248.78142080000001</v>
          </cell>
        </row>
        <row r="2091">
          <cell r="H2091">
            <v>-248.76352079999998</v>
          </cell>
        </row>
        <row r="2092">
          <cell r="H2092">
            <v>-248.74472079999998</v>
          </cell>
        </row>
        <row r="2093">
          <cell r="H2093">
            <v>-248.72682090000001</v>
          </cell>
        </row>
        <row r="2094">
          <cell r="H2094">
            <v>-248.70802099999997</v>
          </cell>
        </row>
        <row r="2095">
          <cell r="H2095">
            <v>-248.6902212</v>
          </cell>
        </row>
        <row r="2096">
          <cell r="H2096">
            <v>-248.67142129999999</v>
          </cell>
        </row>
        <row r="2097">
          <cell r="H2097">
            <v>-248.65352150000001</v>
          </cell>
        </row>
        <row r="2098">
          <cell r="H2098">
            <v>-248.6346217</v>
          </cell>
        </row>
        <row r="2099">
          <cell r="H2099">
            <v>-248.61582199999998</v>
          </cell>
        </row>
        <row r="2100">
          <cell r="H2100">
            <v>-248.59802229999997</v>
          </cell>
        </row>
        <row r="2101">
          <cell r="H2101">
            <v>-248.5791227</v>
          </cell>
        </row>
        <row r="2102">
          <cell r="H2102">
            <v>-248.56132300000002</v>
          </cell>
        </row>
        <row r="2103">
          <cell r="H2103">
            <v>-248.54252339999999</v>
          </cell>
        </row>
        <row r="2104">
          <cell r="H2104">
            <v>-248.5247239</v>
          </cell>
        </row>
        <row r="2105">
          <cell r="H2105">
            <v>-248.50572439999996</v>
          </cell>
        </row>
        <row r="2106">
          <cell r="H2106">
            <v>-248.4879249</v>
          </cell>
        </row>
        <row r="2107">
          <cell r="H2107">
            <v>-248.4691254</v>
          </cell>
        </row>
        <row r="2108">
          <cell r="H2108">
            <v>-248.45132599999999</v>
          </cell>
        </row>
        <row r="2109">
          <cell r="H2109">
            <v>-248.43242659999999</v>
          </cell>
        </row>
        <row r="2110">
          <cell r="H2110">
            <v>-248.41462719999998</v>
          </cell>
        </row>
        <row r="2111">
          <cell r="H2111">
            <v>-248.39582789999997</v>
          </cell>
        </row>
        <row r="2112">
          <cell r="H2112">
            <v>-248.37792869999998</v>
          </cell>
        </row>
        <row r="2113">
          <cell r="H2113">
            <v>-248.35902929999997</v>
          </cell>
        </row>
        <row r="2114">
          <cell r="H2114">
            <v>-248.34123020000001</v>
          </cell>
        </row>
        <row r="2115">
          <cell r="H2115">
            <v>-248.32243099999999</v>
          </cell>
        </row>
        <row r="2116">
          <cell r="H2116">
            <v>-248.3046319</v>
          </cell>
        </row>
        <row r="2117">
          <cell r="H2117">
            <v>-248.28573280000001</v>
          </cell>
        </row>
        <row r="2118">
          <cell r="H2118">
            <v>-248.26793370000001</v>
          </cell>
        </row>
        <row r="2119">
          <cell r="H2119">
            <v>-248.24903470000001</v>
          </cell>
        </row>
        <row r="2120">
          <cell r="H2120">
            <v>-248.23123559999999</v>
          </cell>
        </row>
        <row r="2121">
          <cell r="H2121">
            <v>-248.21233660000001</v>
          </cell>
        </row>
        <row r="2122">
          <cell r="H2122">
            <v>-248.19453769999998</v>
          </cell>
        </row>
        <row r="2123">
          <cell r="H2123">
            <v>-248.17573880000003</v>
          </cell>
        </row>
        <row r="2124">
          <cell r="H2124">
            <v>-248.15793990000003</v>
          </cell>
        </row>
        <row r="2125">
          <cell r="H2125">
            <v>-248.13904109999999</v>
          </cell>
        </row>
        <row r="2126">
          <cell r="H2126">
            <v>-248.1211424</v>
          </cell>
        </row>
        <row r="2127">
          <cell r="H2127">
            <v>-248.10234359999998</v>
          </cell>
        </row>
        <row r="2128">
          <cell r="H2128">
            <v>-248.0845448</v>
          </cell>
        </row>
        <row r="2129">
          <cell r="H2129">
            <v>-248.06564609999998</v>
          </cell>
        </row>
        <row r="2130">
          <cell r="H2130">
            <v>-248.04784739999999</v>
          </cell>
        </row>
        <row r="2131">
          <cell r="H2131">
            <v>-248.02904889999999</v>
          </cell>
        </row>
        <row r="2132">
          <cell r="H2132">
            <v>-248.01125029999997</v>
          </cell>
        </row>
        <row r="2133">
          <cell r="H2133">
            <v>-247.99225170000003</v>
          </cell>
        </row>
        <row r="2134">
          <cell r="H2134">
            <v>-247.97445320000003</v>
          </cell>
        </row>
        <row r="2135">
          <cell r="H2135">
            <v>-247.95565470000003</v>
          </cell>
        </row>
        <row r="2136">
          <cell r="H2136">
            <v>-247.93785624999998</v>
          </cell>
        </row>
        <row r="2137">
          <cell r="H2137">
            <v>-247.91895777999997</v>
          </cell>
        </row>
        <row r="2138">
          <cell r="H2138">
            <v>-247.90115936999999</v>
          </cell>
        </row>
        <row r="2139">
          <cell r="H2139">
            <v>-247.88226107000003</v>
          </cell>
        </row>
        <row r="2140">
          <cell r="H2140">
            <v>-247.86346272999998</v>
          </cell>
        </row>
        <row r="2141">
          <cell r="H2141">
            <v>-247.84556447999998</v>
          </cell>
        </row>
        <row r="2142">
          <cell r="H2142">
            <v>-247.826766255</v>
          </cell>
        </row>
        <row r="2143">
          <cell r="H2143">
            <v>-247.80896798000001</v>
          </cell>
        </row>
        <row r="2144">
          <cell r="H2144">
            <v>-247.79016985999999</v>
          </cell>
        </row>
        <row r="2145">
          <cell r="H2145">
            <v>-247.77227164999999</v>
          </cell>
        </row>
        <row r="2146">
          <cell r="H2146">
            <v>-247.75337353</v>
          </cell>
        </row>
        <row r="2147">
          <cell r="H2147">
            <v>-247.73557547000001</v>
          </cell>
        </row>
        <row r="2148">
          <cell r="H2148">
            <v>-247.71677745</v>
          </cell>
        </row>
        <row r="2149">
          <cell r="H2149">
            <v>-247.69887939999998</v>
          </cell>
        </row>
        <row r="2150">
          <cell r="H2150">
            <v>-247.68008140000001</v>
          </cell>
        </row>
        <row r="2151">
          <cell r="H2151">
            <v>-247.6622835</v>
          </cell>
        </row>
        <row r="2152">
          <cell r="H2152">
            <v>-247.64348559999999</v>
          </cell>
        </row>
        <row r="2153">
          <cell r="H2153">
            <v>-247.62548770000001</v>
          </cell>
        </row>
        <row r="2154">
          <cell r="H2154">
            <v>-247.60668990000002</v>
          </cell>
        </row>
        <row r="2155">
          <cell r="H2155">
            <v>-247.58889210000001</v>
          </cell>
        </row>
        <row r="2156">
          <cell r="H2156">
            <v>-247.57009429999999</v>
          </cell>
        </row>
        <row r="2157">
          <cell r="H2157">
            <v>-247.5521966</v>
          </cell>
        </row>
        <row r="2158">
          <cell r="H2158">
            <v>-247.53339890000001</v>
          </cell>
        </row>
        <row r="2159">
          <cell r="H2159">
            <v>-247.51550119999999</v>
          </cell>
        </row>
        <row r="2160">
          <cell r="H2160">
            <v>-247.49670359999999</v>
          </cell>
        </row>
        <row r="2161">
          <cell r="H2161">
            <v>-247.47880600000002</v>
          </cell>
        </row>
        <row r="2162">
          <cell r="H2162">
            <v>-247.46000839999999</v>
          </cell>
        </row>
        <row r="2163">
          <cell r="H2163">
            <v>-247.44221090000002</v>
          </cell>
        </row>
        <row r="2164">
          <cell r="H2164">
            <v>-247.42341339999996</v>
          </cell>
        </row>
        <row r="2165">
          <cell r="H2165">
            <v>-247.40551600000001</v>
          </cell>
        </row>
        <row r="2166">
          <cell r="H2166">
            <v>-247.38661860000002</v>
          </cell>
        </row>
        <row r="2167">
          <cell r="H2167">
            <v>-247.36882120000001</v>
          </cell>
        </row>
        <row r="2168">
          <cell r="H2168">
            <v>-247.3500239</v>
          </cell>
        </row>
        <row r="2169">
          <cell r="H2169">
            <v>-247.33212650000002</v>
          </cell>
        </row>
        <row r="2170">
          <cell r="H2170">
            <v>-247.3133292</v>
          </cell>
        </row>
        <row r="2171">
          <cell r="H2171">
            <v>-247.29553199999998</v>
          </cell>
        </row>
        <row r="2172">
          <cell r="H2172">
            <v>-247.27663480000001</v>
          </cell>
        </row>
        <row r="2173">
          <cell r="H2173">
            <v>-247.25873759999999</v>
          </cell>
        </row>
        <row r="2174">
          <cell r="H2174">
            <v>-247.23994049999999</v>
          </cell>
        </row>
        <row r="2175">
          <cell r="H2175">
            <v>-247.2221433</v>
          </cell>
        </row>
        <row r="2176">
          <cell r="H2176">
            <v>-247.2033462</v>
          </cell>
        </row>
        <row r="2177">
          <cell r="H2177">
            <v>-247.18544919999999</v>
          </cell>
        </row>
        <row r="2178">
          <cell r="H2178">
            <v>-247.16665220000002</v>
          </cell>
        </row>
        <row r="2179">
          <cell r="H2179">
            <v>-247.14775520000001</v>
          </cell>
        </row>
        <row r="2180">
          <cell r="H2180">
            <v>-247.12995819999998</v>
          </cell>
        </row>
        <row r="2181">
          <cell r="H2181">
            <v>-247.11106130000002</v>
          </cell>
        </row>
        <row r="2182">
          <cell r="H2182">
            <v>-247.09326449999998</v>
          </cell>
        </row>
        <row r="2183">
          <cell r="H2183">
            <v>-247.07446769999999</v>
          </cell>
        </row>
        <row r="2184">
          <cell r="H2184">
            <v>-247.05667080000001</v>
          </cell>
        </row>
        <row r="2185">
          <cell r="H2185">
            <v>-247.03767399999998</v>
          </cell>
        </row>
        <row r="2186">
          <cell r="H2186">
            <v>-247.01987729999999</v>
          </cell>
        </row>
        <row r="2187">
          <cell r="H2187">
            <v>-247.00108069999999</v>
          </cell>
        </row>
        <row r="2188">
          <cell r="H2188">
            <v>-246.98328400000003</v>
          </cell>
        </row>
        <row r="2189">
          <cell r="H2189">
            <v>-246.96438739999999</v>
          </cell>
        </row>
        <row r="2190">
          <cell r="H2190">
            <v>-246.94659080000002</v>
          </cell>
        </row>
        <row r="2191">
          <cell r="H2191">
            <v>-246.92769420000002</v>
          </cell>
        </row>
        <row r="2192">
          <cell r="H2192">
            <v>-246.90979770000001</v>
          </cell>
        </row>
        <row r="2193">
          <cell r="H2193">
            <v>-246.89100120000001</v>
          </cell>
        </row>
        <row r="2194">
          <cell r="H2194">
            <v>-246.8732047</v>
          </cell>
        </row>
        <row r="2195">
          <cell r="H2195">
            <v>-246.85440829999999</v>
          </cell>
        </row>
        <row r="2196">
          <cell r="H2196">
            <v>-246.8365119</v>
          </cell>
        </row>
        <row r="2197">
          <cell r="H2197">
            <v>-246.81771549999999</v>
          </cell>
        </row>
        <row r="2198">
          <cell r="H2198">
            <v>-246.79981930000002</v>
          </cell>
        </row>
        <row r="2199">
          <cell r="H2199">
            <v>-246.78102290000001</v>
          </cell>
        </row>
        <row r="2200">
          <cell r="H2200">
            <v>-246.76312669999999</v>
          </cell>
        </row>
        <row r="2201">
          <cell r="H2201">
            <v>-246.74433039999997</v>
          </cell>
        </row>
        <row r="2202">
          <cell r="H2202">
            <v>-246.7265343</v>
          </cell>
        </row>
        <row r="2203">
          <cell r="H2203">
            <v>-246.70773819999999</v>
          </cell>
        </row>
        <row r="2204">
          <cell r="H2204">
            <v>-246.68974210000002</v>
          </cell>
        </row>
        <row r="2205">
          <cell r="H2205">
            <v>-246.67094599999999</v>
          </cell>
        </row>
        <row r="2206">
          <cell r="H2206">
            <v>-246.65314999999998</v>
          </cell>
        </row>
        <row r="2207">
          <cell r="H2207">
            <v>-246.634354</v>
          </cell>
        </row>
        <row r="2208">
          <cell r="H2208">
            <v>-246.61645799999999</v>
          </cell>
        </row>
        <row r="2209">
          <cell r="H2209">
            <v>-246.59766200000001</v>
          </cell>
        </row>
        <row r="2210">
          <cell r="H2210">
            <v>-246.57976600000001</v>
          </cell>
        </row>
        <row r="2211">
          <cell r="H2211">
            <v>-246.56097</v>
          </cell>
        </row>
        <row r="2212">
          <cell r="H2212">
            <v>-246.54307400000002</v>
          </cell>
        </row>
        <row r="2213">
          <cell r="H2213">
            <v>-246.52427900000001</v>
          </cell>
        </row>
        <row r="2214">
          <cell r="H2214">
            <v>-246.506483</v>
          </cell>
        </row>
        <row r="2215">
          <cell r="H2215">
            <v>-246.48768699999999</v>
          </cell>
        </row>
        <row r="2216">
          <cell r="H2216">
            <v>-246.46869100000004</v>
          </cell>
        </row>
        <row r="2217">
          <cell r="H2217">
            <v>-246.450896</v>
          </cell>
        </row>
        <row r="2218">
          <cell r="H2218">
            <v>-246.43209999999999</v>
          </cell>
        </row>
        <row r="2219">
          <cell r="H2219">
            <v>-246.41430400000002</v>
          </cell>
        </row>
        <row r="2220">
          <cell r="H2220">
            <v>-246.395409</v>
          </cell>
        </row>
        <row r="2221">
          <cell r="H2221">
            <v>-246.377613</v>
          </cell>
        </row>
        <row r="2222">
          <cell r="H2222">
            <v>-246.35871800000001</v>
          </cell>
        </row>
        <row r="2223">
          <cell r="H2223">
            <v>-246.34092200000001</v>
          </cell>
        </row>
        <row r="2224">
          <cell r="H2224">
            <v>-246.32202699999999</v>
          </cell>
        </row>
        <row r="2225">
          <cell r="H2225">
            <v>-246.30423200000001</v>
          </cell>
        </row>
        <row r="2226">
          <cell r="H2226">
            <v>-246.285436</v>
          </cell>
        </row>
        <row r="2227">
          <cell r="H2227">
            <v>-246.26764100000003</v>
          </cell>
        </row>
        <row r="2228">
          <cell r="H2228">
            <v>-246.24864600000001</v>
          </cell>
        </row>
        <row r="2229">
          <cell r="H2229">
            <v>-246.23085</v>
          </cell>
        </row>
        <row r="2230">
          <cell r="H2230">
            <v>-246.21205499999996</v>
          </cell>
        </row>
        <row r="2231">
          <cell r="H2231">
            <v>-246.19426000000001</v>
          </cell>
        </row>
        <row r="2232">
          <cell r="H2232">
            <v>-246.175365</v>
          </cell>
        </row>
        <row r="2233">
          <cell r="H2233">
            <v>-246.15757000000002</v>
          </cell>
        </row>
        <row r="2234">
          <cell r="H2234">
            <v>-246.13867500000001</v>
          </cell>
        </row>
        <row r="2235">
          <cell r="H2235">
            <v>-246.12088</v>
          </cell>
        </row>
        <row r="2236">
          <cell r="H2236">
            <v>-246.10198500000001</v>
          </cell>
        </row>
        <row r="2237">
          <cell r="H2237">
            <v>-246.08419000000001</v>
          </cell>
        </row>
        <row r="2238">
          <cell r="H2238">
            <v>-246.06539499999997</v>
          </cell>
        </row>
        <row r="2239">
          <cell r="H2239">
            <v>-246.04759999999999</v>
          </cell>
        </row>
        <row r="2240">
          <cell r="H2240">
            <v>-246.02860500000003</v>
          </cell>
        </row>
        <row r="2241">
          <cell r="H2241">
            <v>-246.01081000000002</v>
          </cell>
        </row>
        <row r="2242">
          <cell r="H2242">
            <v>-245.99201500000001</v>
          </cell>
        </row>
        <row r="2243">
          <cell r="H2243">
            <v>-245.974221</v>
          </cell>
        </row>
        <row r="2244">
          <cell r="H2244">
            <v>-245.95532599999999</v>
          </cell>
        </row>
        <row r="2245">
          <cell r="H2245">
            <v>-245.93753099999998</v>
          </cell>
        </row>
        <row r="2246">
          <cell r="H2246">
            <v>-245.91863599999999</v>
          </cell>
        </row>
        <row r="2247">
          <cell r="H2247">
            <v>-245.90084200000001</v>
          </cell>
        </row>
        <row r="2248">
          <cell r="H2248">
            <v>-245.88194700000003</v>
          </cell>
        </row>
        <row r="2249">
          <cell r="H2249">
            <v>-245.86415300000002</v>
          </cell>
        </row>
        <row r="2250">
          <cell r="H2250">
            <v>-245.84483</v>
          </cell>
        </row>
        <row r="2251">
          <cell r="H2251">
            <v>-245.81071399999999</v>
          </cell>
        </row>
        <row r="2252">
          <cell r="H2252">
            <v>-245.77759800000001</v>
          </cell>
        </row>
        <row r="2253">
          <cell r="H2253">
            <v>-245.743583</v>
          </cell>
        </row>
        <row r="2254">
          <cell r="H2254">
            <v>-245.71046699999999</v>
          </cell>
        </row>
        <row r="2255">
          <cell r="H2255">
            <v>-245.67635100000001</v>
          </cell>
        </row>
        <row r="2256">
          <cell r="H2256">
            <v>-245.64223599999997</v>
          </cell>
        </row>
        <row r="2257">
          <cell r="H2257">
            <v>-245.60912099999999</v>
          </cell>
        </row>
        <row r="2258">
          <cell r="H2258">
            <v>-245.575005</v>
          </cell>
        </row>
        <row r="2259">
          <cell r="H2259">
            <v>-245.54199</v>
          </cell>
        </row>
        <row r="2260">
          <cell r="H2260">
            <v>-245.50787500000001</v>
          </cell>
        </row>
        <row r="2261">
          <cell r="H2261">
            <v>-245.47476</v>
          </cell>
        </row>
        <row r="2262">
          <cell r="H2262">
            <v>-245.44064499999996</v>
          </cell>
        </row>
        <row r="2263">
          <cell r="H2263">
            <v>-245.40753000000001</v>
          </cell>
        </row>
        <row r="2264">
          <cell r="H2264">
            <v>-245.37341499999999</v>
          </cell>
        </row>
        <row r="2265">
          <cell r="H2265">
            <v>-245.34039999999999</v>
          </cell>
        </row>
        <row r="2266">
          <cell r="H2266">
            <v>-245.306286</v>
          </cell>
        </row>
        <row r="2267">
          <cell r="H2267">
            <v>-245.27217100000001</v>
          </cell>
        </row>
        <row r="2268">
          <cell r="H2268">
            <v>-245.239057</v>
          </cell>
        </row>
        <row r="2269">
          <cell r="H2269">
            <v>-245.20494200000002</v>
          </cell>
        </row>
        <row r="2270">
          <cell r="H2270">
            <v>-245.171828</v>
          </cell>
        </row>
        <row r="2271">
          <cell r="H2271">
            <v>-245.13781399999999</v>
          </cell>
        </row>
        <row r="2272">
          <cell r="H2272">
            <v>-245.10469899999998</v>
          </cell>
        </row>
        <row r="2273">
          <cell r="H2273">
            <v>-245.07058499999999</v>
          </cell>
        </row>
        <row r="2274">
          <cell r="H2274">
            <v>-245.03737100000001</v>
          </cell>
        </row>
        <row r="2275">
          <cell r="H2275">
            <v>-244.99416599999998</v>
          </cell>
        </row>
        <row r="2276">
          <cell r="H2276">
            <v>-244.94895099999997</v>
          </cell>
        </row>
        <row r="2277">
          <cell r="H2277">
            <v>-244.902839</v>
          </cell>
        </row>
        <row r="2278">
          <cell r="H2278">
            <v>-244.85652799999997</v>
          </cell>
        </row>
        <row r="2279">
          <cell r="H2279">
            <v>-244.81141700000001</v>
          </cell>
        </row>
        <row r="2280">
          <cell r="H2280">
            <v>-244.76520599999998</v>
          </cell>
        </row>
        <row r="2281">
          <cell r="H2281">
            <v>-244.71899500000001</v>
          </cell>
        </row>
        <row r="2282">
          <cell r="H2282">
            <v>-244.67388499999998</v>
          </cell>
        </row>
        <row r="2283">
          <cell r="H2283">
            <v>-244.62767400000001</v>
          </cell>
        </row>
        <row r="2284">
          <cell r="H2284">
            <v>-244.58146400000004</v>
          </cell>
        </row>
        <row r="2285">
          <cell r="H2285">
            <v>-244.53625300000002</v>
          </cell>
        </row>
        <row r="2286">
          <cell r="H2286">
            <v>-244.477442</v>
          </cell>
        </row>
        <row r="2287">
          <cell r="H2287">
            <v>-244.416146</v>
          </cell>
        </row>
        <row r="2288">
          <cell r="H2288">
            <v>-244.35375099999999</v>
          </cell>
        </row>
        <row r="2289">
          <cell r="H2289">
            <v>-244.29235700000001</v>
          </cell>
        </row>
        <row r="2290">
          <cell r="H2290">
            <v>-244.23096199999998</v>
          </cell>
        </row>
        <row r="2291">
          <cell r="H2291">
            <v>-244.169668</v>
          </cell>
        </row>
        <row r="2292">
          <cell r="H2292">
            <v>-244.10827399999999</v>
          </cell>
        </row>
        <row r="2293">
          <cell r="H2293">
            <v>-244.04687999999999</v>
          </cell>
        </row>
        <row r="2294">
          <cell r="H2294">
            <v>-243.98558600000001</v>
          </cell>
        </row>
        <row r="2295">
          <cell r="H2295">
            <v>-243.92419199999998</v>
          </cell>
        </row>
        <row r="2296">
          <cell r="H2296">
            <v>-243.862799</v>
          </cell>
        </row>
        <row r="2297">
          <cell r="H2297">
            <v>-243.80140499999999</v>
          </cell>
        </row>
        <row r="2298">
          <cell r="H2298">
            <v>-243.74011200000001</v>
          </cell>
        </row>
        <row r="2299">
          <cell r="H2299">
            <v>-243.678719</v>
          </cell>
        </row>
        <row r="2300">
          <cell r="H2300">
            <v>-243.61732599999999</v>
          </cell>
        </row>
        <row r="2301">
          <cell r="H2301">
            <v>-243.55493300000001</v>
          </cell>
        </row>
        <row r="2302">
          <cell r="H2302">
            <v>-243.49364100000003</v>
          </cell>
        </row>
        <row r="2303">
          <cell r="H2303">
            <v>-243.43224799999999</v>
          </cell>
        </row>
        <row r="2304">
          <cell r="H2304">
            <v>-243.370856</v>
          </cell>
        </row>
        <row r="2305">
          <cell r="H2305">
            <v>-243.30956399999999</v>
          </cell>
        </row>
        <row r="2306">
          <cell r="H2306">
            <v>-243.24817199999998</v>
          </cell>
        </row>
        <row r="2307">
          <cell r="H2307">
            <v>-243.18678</v>
          </cell>
        </row>
        <row r="2308">
          <cell r="H2308">
            <v>-243.12538800000002</v>
          </cell>
        </row>
        <row r="2309">
          <cell r="H2309">
            <v>-243.054756</v>
          </cell>
        </row>
        <row r="2310">
          <cell r="H2310">
            <v>-242.98044199999998</v>
          </cell>
        </row>
        <row r="2311">
          <cell r="H2311">
            <v>-242.90602799999999</v>
          </cell>
        </row>
        <row r="2312">
          <cell r="H2312">
            <v>-242.831614</v>
          </cell>
        </row>
        <row r="2313">
          <cell r="H2313">
            <v>-242.75720099999998</v>
          </cell>
        </row>
        <row r="2314">
          <cell r="H2314">
            <v>-242.68288799999999</v>
          </cell>
        </row>
        <row r="2315">
          <cell r="H2315">
            <v>-242.608475</v>
          </cell>
        </row>
        <row r="2316">
          <cell r="H2316">
            <v>-242.53506199999998</v>
          </cell>
        </row>
        <row r="2317">
          <cell r="H2317">
            <v>-242.46064899999999</v>
          </cell>
        </row>
        <row r="2318">
          <cell r="H2318">
            <v>-242.38623699999999</v>
          </cell>
        </row>
        <row r="2319">
          <cell r="H2319">
            <v>-242.31192399999998</v>
          </cell>
        </row>
        <row r="2320">
          <cell r="H2320">
            <v>-242.23751199999998</v>
          </cell>
        </row>
        <row r="2321">
          <cell r="H2321">
            <v>-242.16309999999999</v>
          </cell>
        </row>
        <row r="2322">
          <cell r="H2322">
            <v>-242.08868899999999</v>
          </cell>
        </row>
        <row r="2323">
          <cell r="H2323">
            <v>-242.015377</v>
          </cell>
        </row>
        <row r="2324">
          <cell r="H2324">
            <v>-241.940966</v>
          </cell>
        </row>
        <row r="2325">
          <cell r="H2325">
            <v>-241.86655500000001</v>
          </cell>
        </row>
        <row r="2326">
          <cell r="H2326">
            <v>-241.79214399999998</v>
          </cell>
        </row>
        <row r="2327">
          <cell r="H2327">
            <v>-241.71773300000001</v>
          </cell>
        </row>
        <row r="2328">
          <cell r="H2328">
            <v>-241.64342299999998</v>
          </cell>
        </row>
        <row r="2329">
          <cell r="H2329">
            <v>-241.56911199999999</v>
          </cell>
        </row>
        <row r="2330">
          <cell r="H2330">
            <v>-241.49570199999999</v>
          </cell>
        </row>
        <row r="2331">
          <cell r="H2331">
            <v>-241.42129199999999</v>
          </cell>
        </row>
        <row r="2332">
          <cell r="H2332">
            <v>-241.34698299999999</v>
          </cell>
        </row>
        <row r="2333">
          <cell r="H2333">
            <v>-241.27257299999999</v>
          </cell>
        </row>
        <row r="2334">
          <cell r="H2334">
            <v>-241.19816400000002</v>
          </cell>
        </row>
        <row r="2335">
          <cell r="H2335">
            <v>-241.12375499999999</v>
          </cell>
        </row>
        <row r="2336">
          <cell r="H2336">
            <v>-241.04934599999999</v>
          </cell>
        </row>
        <row r="2337">
          <cell r="H2337">
            <v>-240.97503699999999</v>
          </cell>
        </row>
        <row r="2338">
          <cell r="H2338">
            <v>-240.90162900000001</v>
          </cell>
        </row>
        <row r="2339">
          <cell r="H2339">
            <v>-240.82721999999998</v>
          </cell>
        </row>
        <row r="2340">
          <cell r="H2340">
            <v>-240.75281200000001</v>
          </cell>
        </row>
        <row r="2341">
          <cell r="H2341">
            <v>-240.678404</v>
          </cell>
        </row>
        <row r="2342">
          <cell r="H2342">
            <v>-240.604097</v>
          </cell>
        </row>
        <row r="2343">
          <cell r="H2343">
            <v>-240.52968900000002</v>
          </cell>
        </row>
        <row r="2344">
          <cell r="H2344">
            <v>-240.45528200000001</v>
          </cell>
        </row>
        <row r="2345">
          <cell r="H2345">
            <v>-240.38187499999998</v>
          </cell>
        </row>
        <row r="2346">
          <cell r="H2346">
            <v>-240.30746800000003</v>
          </cell>
        </row>
        <row r="2347">
          <cell r="H2347">
            <v>-240.233161</v>
          </cell>
        </row>
        <row r="2348">
          <cell r="H2348">
            <v>-240.15875499999999</v>
          </cell>
        </row>
        <row r="2349">
          <cell r="H2349">
            <v>-240.08434900000003</v>
          </cell>
        </row>
        <row r="2350">
          <cell r="H2350">
            <v>-240.00994200000002</v>
          </cell>
        </row>
        <row r="2351">
          <cell r="H2351">
            <v>-239.93553700000001</v>
          </cell>
        </row>
        <row r="2352">
          <cell r="H2352">
            <v>-239.86223100000001</v>
          </cell>
        </row>
        <row r="2353">
          <cell r="H2353">
            <v>-239.787825</v>
          </cell>
        </row>
        <row r="2354">
          <cell r="H2354">
            <v>-239.71341999999999</v>
          </cell>
        </row>
        <row r="2355">
          <cell r="H2355">
            <v>-239.63901500000003</v>
          </cell>
        </row>
        <row r="2356">
          <cell r="H2356">
            <v>-239.56461000000002</v>
          </cell>
        </row>
        <row r="2357">
          <cell r="H2357">
            <v>-239.49030500000001</v>
          </cell>
        </row>
        <row r="2358">
          <cell r="H2358">
            <v>-239.41590099999999</v>
          </cell>
        </row>
        <row r="2359">
          <cell r="H2359">
            <v>-239.34249699999998</v>
          </cell>
        </row>
        <row r="2360">
          <cell r="H2360">
            <v>-239.26809299999999</v>
          </cell>
        </row>
        <row r="2361">
          <cell r="H2361">
            <v>-239.19368900000001</v>
          </cell>
        </row>
        <row r="2362">
          <cell r="H2362">
            <v>-239.11928499999999</v>
          </cell>
        </row>
        <row r="2363">
          <cell r="H2363">
            <v>-239.04498100000001</v>
          </cell>
        </row>
        <row r="2364">
          <cell r="H2364">
            <v>-238.97057799999999</v>
          </cell>
        </row>
        <row r="2365">
          <cell r="H2365">
            <v>-238.89617499999997</v>
          </cell>
        </row>
        <row r="2366">
          <cell r="H2366">
            <v>-238.82177200000001</v>
          </cell>
        </row>
        <row r="2367">
          <cell r="H2367">
            <v>-238.748369</v>
          </cell>
        </row>
        <row r="2368">
          <cell r="H2368">
            <v>-238.673967</v>
          </cell>
        </row>
        <row r="2369">
          <cell r="H2369">
            <v>-238.59966500000002</v>
          </cell>
        </row>
        <row r="2370">
          <cell r="H2370">
            <v>-238.51703500000002</v>
          </cell>
        </row>
        <row r="2371">
          <cell r="H2371">
            <v>-238.42975799999999</v>
          </cell>
        </row>
        <row r="2372">
          <cell r="H2372">
            <v>-238.34238099999999</v>
          </cell>
        </row>
        <row r="2373">
          <cell r="H2373">
            <v>-238.25610399999999</v>
          </cell>
        </row>
        <row r="2374">
          <cell r="H2374">
            <v>-238.16872799999999</v>
          </cell>
        </row>
        <row r="2375">
          <cell r="H2375">
            <v>-238.08145199999998</v>
          </cell>
        </row>
        <row r="2376">
          <cell r="H2376">
            <v>-237.99517600000001</v>
          </cell>
        </row>
        <row r="2377">
          <cell r="H2377">
            <v>-237.90780000000001</v>
          </cell>
        </row>
        <row r="2378">
          <cell r="H2378">
            <v>-237.82052500000003</v>
          </cell>
        </row>
        <row r="2379">
          <cell r="H2379">
            <v>-237.73314999999999</v>
          </cell>
        </row>
        <row r="2380">
          <cell r="H2380">
            <v>-237.64687499999999</v>
          </cell>
        </row>
        <row r="2381">
          <cell r="H2381">
            <v>-237.55950000000001</v>
          </cell>
        </row>
        <row r="2382">
          <cell r="H2382">
            <v>-237.47222599999998</v>
          </cell>
        </row>
        <row r="2383">
          <cell r="H2383">
            <v>-237.384852</v>
          </cell>
        </row>
        <row r="2384">
          <cell r="H2384">
            <v>-237.29857800000002</v>
          </cell>
        </row>
        <row r="2385">
          <cell r="H2385">
            <v>-237.21130400000004</v>
          </cell>
        </row>
        <row r="2386">
          <cell r="H2386">
            <v>-237.12393100000003</v>
          </cell>
        </row>
        <row r="2387">
          <cell r="H2387">
            <v>-237.03765799999999</v>
          </cell>
        </row>
        <row r="2388">
          <cell r="H2388">
            <v>-236.95028500000001</v>
          </cell>
        </row>
        <row r="2389">
          <cell r="H2389">
            <v>-236.86301200000003</v>
          </cell>
        </row>
        <row r="2390">
          <cell r="H2390">
            <v>-236.77564000000001</v>
          </cell>
        </row>
        <row r="2391">
          <cell r="H2391">
            <v>-236.689367</v>
          </cell>
        </row>
        <row r="2392">
          <cell r="H2392">
            <v>-236.60199599999999</v>
          </cell>
        </row>
        <row r="2393">
          <cell r="H2393">
            <v>-236.514724</v>
          </cell>
        </row>
        <row r="2394">
          <cell r="H2394">
            <v>-236.42735300000001</v>
          </cell>
        </row>
        <row r="2395">
          <cell r="H2395">
            <v>-236.341081</v>
          </cell>
        </row>
        <row r="2396">
          <cell r="H2396">
            <v>-236.25381099999998</v>
          </cell>
        </row>
        <row r="2397">
          <cell r="H2397">
            <v>-236.16644000000002</v>
          </cell>
        </row>
        <row r="2398">
          <cell r="H2398">
            <v>-236.07836900000001</v>
          </cell>
        </row>
        <row r="2399">
          <cell r="H2399">
            <v>-235.985895</v>
          </cell>
        </row>
        <row r="2400">
          <cell r="H2400">
            <v>-235.89352099999999</v>
          </cell>
        </row>
        <row r="2401">
          <cell r="H2401">
            <v>-235.80104700000001</v>
          </cell>
        </row>
        <row r="2402">
          <cell r="H2402">
            <v>-235.70427900000001</v>
          </cell>
        </row>
        <row r="2403">
          <cell r="H2403">
            <v>-235.60657000000003</v>
          </cell>
        </row>
        <row r="2404">
          <cell r="H2404">
            <v>-235.50886199999999</v>
          </cell>
        </row>
        <row r="2405">
          <cell r="H2405">
            <v>-235.41105400000004</v>
          </cell>
        </row>
        <row r="2406">
          <cell r="H2406">
            <v>-235.313346</v>
          </cell>
        </row>
        <row r="2407">
          <cell r="H2407">
            <v>-235.21563900000001</v>
          </cell>
        </row>
        <row r="2408">
          <cell r="H2408">
            <v>-235.11683200000002</v>
          </cell>
        </row>
        <row r="2409">
          <cell r="H2409">
            <v>-235.01912499999997</v>
          </cell>
        </row>
        <row r="2410">
          <cell r="H2410">
            <v>-234.92131899999998</v>
          </cell>
        </row>
        <row r="2411">
          <cell r="H2411">
            <v>-234.82361299999999</v>
          </cell>
        </row>
        <row r="2412">
          <cell r="H2412">
            <v>-234.72590700000001</v>
          </cell>
        </row>
        <row r="2413">
          <cell r="H2413">
            <v>-234.62810100000002</v>
          </cell>
        </row>
        <row r="2414">
          <cell r="H2414">
            <v>-234.52939600000002</v>
          </cell>
        </row>
        <row r="2415">
          <cell r="H2415">
            <v>-234.431691</v>
          </cell>
        </row>
        <row r="2416">
          <cell r="H2416">
            <v>-234.333887</v>
          </cell>
        </row>
        <row r="2417">
          <cell r="H2417">
            <v>-234.23618199999999</v>
          </cell>
        </row>
        <row r="2418">
          <cell r="H2418">
            <v>-234.13847799999996</v>
          </cell>
        </row>
        <row r="2419">
          <cell r="H2419">
            <v>-234.04067499999999</v>
          </cell>
        </row>
        <row r="2420">
          <cell r="H2420">
            <v>-233.94197100000002</v>
          </cell>
        </row>
        <row r="2421">
          <cell r="H2421">
            <v>-233.844268</v>
          </cell>
        </row>
        <row r="2422">
          <cell r="H2422">
            <v>-233.746466</v>
          </cell>
        </row>
        <row r="2423">
          <cell r="H2423">
            <v>-233.648763</v>
          </cell>
        </row>
        <row r="2424">
          <cell r="H2424">
            <v>-233.55096099999997</v>
          </cell>
        </row>
        <row r="2425">
          <cell r="H2425">
            <v>-233.453259</v>
          </cell>
        </row>
        <row r="2426">
          <cell r="H2426">
            <v>-233.354558</v>
          </cell>
        </row>
        <row r="2427">
          <cell r="H2427">
            <v>-233.256756</v>
          </cell>
        </row>
        <row r="2428">
          <cell r="H2428">
            <v>-233.15895499999999</v>
          </cell>
        </row>
        <row r="2429">
          <cell r="H2429">
            <v>-233.06135499999999</v>
          </cell>
        </row>
        <row r="2430">
          <cell r="H2430">
            <v>-232.96355499999999</v>
          </cell>
        </row>
        <row r="2431">
          <cell r="H2431">
            <v>-232.86575500000001</v>
          </cell>
        </row>
        <row r="2432">
          <cell r="H2432">
            <v>-232.76705499999997</v>
          </cell>
        </row>
        <row r="2433">
          <cell r="H2433">
            <v>-232.66935599999999</v>
          </cell>
        </row>
        <row r="2434">
          <cell r="H2434">
            <v>-232.57165600000002</v>
          </cell>
        </row>
        <row r="2435">
          <cell r="H2435">
            <v>-232.47385800000001</v>
          </cell>
        </row>
        <row r="2436">
          <cell r="H2436">
            <v>-232.376059</v>
          </cell>
        </row>
        <row r="2437">
          <cell r="H2437">
            <v>-232.27846099999999</v>
          </cell>
        </row>
        <row r="2438">
          <cell r="H2438">
            <v>-232.17966300000001</v>
          </cell>
        </row>
        <row r="2439">
          <cell r="H2439">
            <v>-232.08186600000002</v>
          </cell>
        </row>
        <row r="2440">
          <cell r="H2440">
            <v>-231.98416800000001</v>
          </cell>
        </row>
        <row r="2441">
          <cell r="H2441">
            <v>-231.886471</v>
          </cell>
        </row>
        <row r="2442">
          <cell r="H2442">
            <v>-231.78867500000001</v>
          </cell>
        </row>
        <row r="2443">
          <cell r="H2443">
            <v>-231.690979</v>
          </cell>
        </row>
        <row r="2444">
          <cell r="H2444">
            <v>-231.59218199999998</v>
          </cell>
        </row>
        <row r="2445">
          <cell r="H2445">
            <v>-231.49438699999999</v>
          </cell>
        </row>
        <row r="2446">
          <cell r="H2446">
            <v>-231.39679100000001</v>
          </cell>
        </row>
        <row r="2447">
          <cell r="H2447">
            <v>-231.29899600000002</v>
          </cell>
        </row>
        <row r="2448">
          <cell r="H2448">
            <v>-231.20120099999997</v>
          </cell>
        </row>
        <row r="2449">
          <cell r="H2449">
            <v>-231.102507</v>
          </cell>
        </row>
        <row r="2450">
          <cell r="H2450">
            <v>-231.00481300000001</v>
          </cell>
        </row>
        <row r="2451">
          <cell r="H2451">
            <v>-230.90701899999999</v>
          </cell>
        </row>
        <row r="2452">
          <cell r="H2452">
            <v>-230.809325</v>
          </cell>
        </row>
        <row r="2453">
          <cell r="H2453">
            <v>-230.71153200000001</v>
          </cell>
        </row>
        <row r="2454">
          <cell r="H2454">
            <v>-230.61373900000001</v>
          </cell>
        </row>
        <row r="2455">
          <cell r="H2455">
            <v>-230.51514599999999</v>
          </cell>
        </row>
        <row r="2456">
          <cell r="H2456">
            <v>-230.41735399999999</v>
          </cell>
        </row>
        <row r="2457">
          <cell r="H2457">
            <v>-230.31956200000002</v>
          </cell>
        </row>
        <row r="2458">
          <cell r="H2458">
            <v>-230.22186999999997</v>
          </cell>
        </row>
        <row r="2459">
          <cell r="H2459">
            <v>-230.12407899999999</v>
          </cell>
        </row>
        <row r="2460">
          <cell r="H2460">
            <v>-230.026388</v>
          </cell>
        </row>
        <row r="2461">
          <cell r="H2461">
            <v>-229.92769699999999</v>
          </cell>
        </row>
        <row r="2462">
          <cell r="H2462">
            <v>-229.82990599999999</v>
          </cell>
        </row>
        <row r="2463">
          <cell r="H2463">
            <v>-229.73211600000002</v>
          </cell>
        </row>
        <row r="2464">
          <cell r="H2464">
            <v>-229.63442600000002</v>
          </cell>
        </row>
        <row r="2465">
          <cell r="H2465">
            <v>-229.53673600000002</v>
          </cell>
        </row>
        <row r="2466">
          <cell r="H2466">
            <v>-229.43894699999998</v>
          </cell>
        </row>
        <row r="2467">
          <cell r="H2467">
            <v>-229.34025800000001</v>
          </cell>
        </row>
        <row r="2468">
          <cell r="H2468">
            <v>-229.24246899999997</v>
          </cell>
        </row>
        <row r="2469">
          <cell r="H2469">
            <v>-229.14468099999999</v>
          </cell>
        </row>
        <row r="2470">
          <cell r="H2470">
            <v>-229.04699299999999</v>
          </cell>
        </row>
        <row r="2471">
          <cell r="H2471">
            <v>-228.94930500000001</v>
          </cell>
        </row>
        <row r="2472">
          <cell r="H2472">
            <v>-228.851518</v>
          </cell>
        </row>
        <row r="2473">
          <cell r="H2473">
            <v>-228.75283099999999</v>
          </cell>
        </row>
        <row r="2474">
          <cell r="H2474">
            <v>-228.65504399999998</v>
          </cell>
        </row>
        <row r="2475">
          <cell r="H2475">
            <v>-228.55725699999999</v>
          </cell>
        </row>
        <row r="2476">
          <cell r="H2476">
            <v>-228.45957099999998</v>
          </cell>
        </row>
        <row r="2477">
          <cell r="H2477">
            <v>-228.361885</v>
          </cell>
        </row>
        <row r="2478">
          <cell r="H2478">
            <v>-228.26309900000001</v>
          </cell>
        </row>
        <row r="2479">
          <cell r="H2479">
            <v>-228.165414</v>
          </cell>
        </row>
        <row r="2480">
          <cell r="H2480">
            <v>-228.06762900000001</v>
          </cell>
        </row>
        <row r="2481">
          <cell r="H2481">
            <v>-227.96984400000002</v>
          </cell>
        </row>
        <row r="2482">
          <cell r="H2482">
            <v>-227.87216000000001</v>
          </cell>
        </row>
        <row r="2483">
          <cell r="H2483">
            <v>-227.77437599999999</v>
          </cell>
        </row>
        <row r="2484">
          <cell r="H2484">
            <v>-227.67569199999997</v>
          </cell>
        </row>
        <row r="2485">
          <cell r="H2485">
            <v>-227.57800799999998</v>
          </cell>
        </row>
        <row r="2486">
          <cell r="H2486">
            <v>-227.48022499999996</v>
          </cell>
        </row>
        <row r="2487">
          <cell r="H2487">
            <v>-227.382442</v>
          </cell>
        </row>
        <row r="2488">
          <cell r="H2488">
            <v>-227.28476000000001</v>
          </cell>
        </row>
        <row r="2489">
          <cell r="H2489">
            <v>-227.18697800000001</v>
          </cell>
        </row>
        <row r="2490">
          <cell r="H2490">
            <v>-227.08819499999998</v>
          </cell>
        </row>
        <row r="2491">
          <cell r="H2491">
            <v>-226.99051399999999</v>
          </cell>
        </row>
        <row r="2492">
          <cell r="H2492">
            <v>-226.892832</v>
          </cell>
        </row>
        <row r="2493">
          <cell r="H2493">
            <v>-226.795051</v>
          </cell>
        </row>
        <row r="2494">
          <cell r="H2494">
            <v>-226.697271</v>
          </cell>
        </row>
        <row r="2495">
          <cell r="H2495">
            <v>-226.59959000000001</v>
          </cell>
        </row>
        <row r="2496">
          <cell r="H2496">
            <v>-226.50081</v>
          </cell>
        </row>
        <row r="2497">
          <cell r="H2497">
            <v>-226.40303</v>
          </cell>
        </row>
        <row r="2498">
          <cell r="H2498">
            <v>-226.305351</v>
          </cell>
        </row>
        <row r="2499">
          <cell r="H2499">
            <v>-226.20757200000003</v>
          </cell>
        </row>
        <row r="2500">
          <cell r="H2500">
            <v>-226.109893</v>
          </cell>
        </row>
        <row r="2501">
          <cell r="H2501">
            <v>-226.011214</v>
          </cell>
        </row>
        <row r="2502">
          <cell r="H2502">
            <v>-225.91343599999999</v>
          </cell>
        </row>
        <row r="2503">
          <cell r="H2503">
            <v>-225.81565800000001</v>
          </cell>
        </row>
        <row r="2504">
          <cell r="H2504">
            <v>-225.71798000000001</v>
          </cell>
        </row>
        <row r="2505">
          <cell r="H2505">
            <v>-225.620203</v>
          </cell>
        </row>
        <row r="2506">
          <cell r="H2506">
            <v>-225.522426</v>
          </cell>
        </row>
        <row r="2507">
          <cell r="H2507">
            <v>-225.42374899999999</v>
          </cell>
        </row>
        <row r="2508">
          <cell r="H2508">
            <v>-225.32597200000001</v>
          </cell>
        </row>
        <row r="2509">
          <cell r="H2509">
            <v>-225.22819600000003</v>
          </cell>
        </row>
        <row r="2510">
          <cell r="H2510">
            <v>-225.13062000000002</v>
          </cell>
        </row>
        <row r="2511">
          <cell r="H2511">
            <v>-225.03284500000001</v>
          </cell>
        </row>
        <row r="2512">
          <cell r="H2512">
            <v>-224.935069</v>
          </cell>
        </row>
        <row r="2513">
          <cell r="H2513">
            <v>-224.83629400000001</v>
          </cell>
        </row>
        <row r="2514">
          <cell r="H2514">
            <v>-224.73862</v>
          </cell>
        </row>
        <row r="2515">
          <cell r="H2515">
            <v>-224.64084500000001</v>
          </cell>
        </row>
        <row r="2516">
          <cell r="H2516">
            <v>-224.543071</v>
          </cell>
        </row>
        <row r="2517">
          <cell r="H2517">
            <v>-224.44539800000001</v>
          </cell>
        </row>
        <row r="2518">
          <cell r="H2518">
            <v>-224.347624</v>
          </cell>
        </row>
        <row r="2519">
          <cell r="H2519">
            <v>-224.248851</v>
          </cell>
        </row>
        <row r="2520">
          <cell r="H2520">
            <v>-224.15117799999999</v>
          </cell>
        </row>
        <row r="2521">
          <cell r="H2521">
            <v>-224.053406</v>
          </cell>
        </row>
        <row r="2522">
          <cell r="H2522">
            <v>-223.95563399999998</v>
          </cell>
        </row>
        <row r="2523">
          <cell r="H2523">
            <v>-223.85796199999999</v>
          </cell>
        </row>
        <row r="2524">
          <cell r="H2524">
            <v>-223.75918999999999</v>
          </cell>
        </row>
        <row r="2525">
          <cell r="H2525">
            <v>-223.661519</v>
          </cell>
        </row>
        <row r="2526">
          <cell r="H2526">
            <v>-223.563748</v>
          </cell>
        </row>
        <row r="2527">
          <cell r="H2527">
            <v>-223.46607699999998</v>
          </cell>
        </row>
        <row r="2528">
          <cell r="H2528">
            <v>-223.36830700000002</v>
          </cell>
        </row>
        <row r="2529">
          <cell r="H2529">
            <v>-223.27053699999999</v>
          </cell>
        </row>
        <row r="2530">
          <cell r="H2530">
            <v>-223.17186699999999</v>
          </cell>
        </row>
        <row r="2531">
          <cell r="H2531">
            <v>-223.07409799999999</v>
          </cell>
        </row>
        <row r="2532">
          <cell r="H2532">
            <v>-222.97632899999999</v>
          </cell>
        </row>
        <row r="2533">
          <cell r="H2533">
            <v>-222.87866000000002</v>
          </cell>
        </row>
        <row r="2534">
          <cell r="H2534">
            <v>-222.780891</v>
          </cell>
        </row>
        <row r="2535">
          <cell r="H2535">
            <v>-222.68312299999999</v>
          </cell>
        </row>
        <row r="2536">
          <cell r="H2536">
            <v>-222.58445499999999</v>
          </cell>
        </row>
        <row r="2537">
          <cell r="H2537">
            <v>-222.48668700000002</v>
          </cell>
        </row>
        <row r="2538">
          <cell r="H2538">
            <v>-222.38891999999998</v>
          </cell>
        </row>
        <row r="2539">
          <cell r="H2539">
            <v>-222.29115300000001</v>
          </cell>
        </row>
        <row r="2540">
          <cell r="H2540">
            <v>-222.193487</v>
          </cell>
        </row>
        <row r="2541">
          <cell r="H2541">
            <v>-222.09472</v>
          </cell>
        </row>
        <row r="2542">
          <cell r="H2542">
            <v>-221.99695400000002</v>
          </cell>
        </row>
        <row r="2543">
          <cell r="H2543">
            <v>-221.89928800000001</v>
          </cell>
        </row>
        <row r="2544">
          <cell r="H2544">
            <v>-221.80152299999997</v>
          </cell>
        </row>
        <row r="2545">
          <cell r="H2545">
            <v>-221.70375800000002</v>
          </cell>
        </row>
        <row r="2546">
          <cell r="H2546">
            <v>-221.60599300000001</v>
          </cell>
        </row>
        <row r="2547">
          <cell r="H2547">
            <v>-221.507328</v>
          </cell>
        </row>
        <row r="2548">
          <cell r="H2548">
            <v>-221.40956399999999</v>
          </cell>
        </row>
        <row r="2549">
          <cell r="H2549">
            <v>-221.31180000000001</v>
          </cell>
        </row>
        <row r="2550">
          <cell r="H2550">
            <v>-221.214136</v>
          </cell>
        </row>
        <row r="2551">
          <cell r="H2551">
            <v>-221.11637300000001</v>
          </cell>
        </row>
        <row r="2552">
          <cell r="H2552">
            <v>-221.01861000000002</v>
          </cell>
        </row>
        <row r="2553">
          <cell r="H2553">
            <v>-220.91994699999998</v>
          </cell>
        </row>
        <row r="2554">
          <cell r="H2554">
            <v>-220.82218499999999</v>
          </cell>
        </row>
        <row r="2555">
          <cell r="H2555">
            <v>-220.724423</v>
          </cell>
        </row>
        <row r="2556">
          <cell r="H2556">
            <v>-220.62666100000001</v>
          </cell>
        </row>
        <row r="2557">
          <cell r="H2557">
            <v>-220.528999</v>
          </cell>
        </row>
        <row r="2558">
          <cell r="H2558">
            <v>-220.430238</v>
          </cell>
        </row>
        <row r="2559">
          <cell r="H2559">
            <v>-220.33247700000004</v>
          </cell>
        </row>
        <row r="2560">
          <cell r="H2560">
            <v>-220.23481699999999</v>
          </cell>
        </row>
        <row r="2561">
          <cell r="H2561">
            <v>-220.13705600000003</v>
          </cell>
        </row>
        <row r="2562">
          <cell r="H2562">
            <v>-220.039297</v>
          </cell>
        </row>
        <row r="2563">
          <cell r="H2563">
            <v>-219.94153699999998</v>
          </cell>
        </row>
        <row r="2564">
          <cell r="H2564">
            <v>-219.84287800000001</v>
          </cell>
        </row>
        <row r="2565">
          <cell r="H2565">
            <v>-219.74511899999999</v>
          </cell>
        </row>
        <row r="2566">
          <cell r="H2566">
            <v>-219.64735999999999</v>
          </cell>
        </row>
        <row r="2567">
          <cell r="H2567">
            <v>-219.54970100000003</v>
          </cell>
        </row>
        <row r="2568">
          <cell r="H2568">
            <v>-219.451943</v>
          </cell>
        </row>
        <row r="2569">
          <cell r="H2569">
            <v>-219.35418499999997</v>
          </cell>
        </row>
        <row r="2570">
          <cell r="H2570">
            <v>-219.25542799999999</v>
          </cell>
        </row>
        <row r="2571">
          <cell r="H2571">
            <v>-219.15777100000003</v>
          </cell>
        </row>
        <row r="2572">
          <cell r="H2572">
            <v>-219.060014</v>
          </cell>
        </row>
        <row r="2573">
          <cell r="H2573">
            <v>-218.96225700000002</v>
          </cell>
        </row>
        <row r="2574">
          <cell r="H2574">
            <v>-218.86460099999999</v>
          </cell>
        </row>
        <row r="2575">
          <cell r="H2575">
            <v>-218.76584500000001</v>
          </cell>
        </row>
        <row r="2576">
          <cell r="H2576">
            <v>-218.66808899999998</v>
          </cell>
        </row>
        <row r="2577">
          <cell r="H2577">
            <v>-218.570334</v>
          </cell>
        </row>
        <row r="2578">
          <cell r="H2578">
            <v>-218.472579</v>
          </cell>
        </row>
        <row r="2579">
          <cell r="H2579">
            <v>-218.37482400000002</v>
          </cell>
        </row>
        <row r="2580">
          <cell r="H2580">
            <v>-218.27706899999998</v>
          </cell>
        </row>
        <row r="2581">
          <cell r="H2581">
            <v>-218.178415</v>
          </cell>
        </row>
        <row r="2582">
          <cell r="H2582">
            <v>-218.08066100000002</v>
          </cell>
        </row>
        <row r="2583">
          <cell r="H2583">
            <v>-217.98290800000001</v>
          </cell>
        </row>
        <row r="2584">
          <cell r="H2584">
            <v>-217.885155</v>
          </cell>
        </row>
        <row r="2585">
          <cell r="H2585">
            <v>-217.78750200000002</v>
          </cell>
        </row>
        <row r="2586">
          <cell r="H2586">
            <v>-217.68974900000001</v>
          </cell>
        </row>
        <row r="2587">
          <cell r="H2587">
            <v>-217.59099699999999</v>
          </cell>
        </row>
        <row r="2588">
          <cell r="H2588">
            <v>-217.49334499999998</v>
          </cell>
        </row>
        <row r="2589">
          <cell r="H2589">
            <v>-217.39559299999999</v>
          </cell>
        </row>
        <row r="2590">
          <cell r="H2590">
            <v>-217.297842</v>
          </cell>
        </row>
        <row r="2591">
          <cell r="H2591">
            <v>-217.20009000000002</v>
          </cell>
        </row>
        <row r="2592">
          <cell r="H2592">
            <v>-217.10133999999999</v>
          </cell>
        </row>
        <row r="2593">
          <cell r="H2593">
            <v>-217.00358900000003</v>
          </cell>
        </row>
        <row r="2594">
          <cell r="H2594">
            <v>-216.90583899999999</v>
          </cell>
        </row>
        <row r="2595">
          <cell r="H2595">
            <v>-216.808089</v>
          </cell>
        </row>
        <row r="2596">
          <cell r="H2596">
            <v>-216.71043900000001</v>
          </cell>
        </row>
        <row r="2597">
          <cell r="H2597">
            <v>-216.61268999999999</v>
          </cell>
        </row>
        <row r="2598">
          <cell r="H2598">
            <v>-216.51394100000002</v>
          </cell>
        </row>
        <row r="2599">
          <cell r="H2599">
            <v>-216.416293</v>
          </cell>
        </row>
        <row r="2600">
          <cell r="H2600">
            <v>-216.318544</v>
          </cell>
        </row>
        <row r="2601">
          <cell r="H2601">
            <v>-216.22079600000001</v>
          </cell>
        </row>
        <row r="2602">
          <cell r="H2602">
            <v>-216.12294800000001</v>
          </cell>
        </row>
        <row r="2603">
          <cell r="H2603">
            <v>-216.02430099999998</v>
          </cell>
        </row>
        <row r="2604">
          <cell r="H2604">
            <v>-215.92655399999998</v>
          </cell>
        </row>
        <row r="2605">
          <cell r="H2605">
            <v>-215.82880699999998</v>
          </cell>
        </row>
        <row r="2606">
          <cell r="H2606">
            <v>-215.73106100000001</v>
          </cell>
        </row>
        <row r="2607">
          <cell r="H2607">
            <v>-215.63341400000002</v>
          </cell>
        </row>
        <row r="2608">
          <cell r="H2608">
            <v>-215.53566799999999</v>
          </cell>
        </row>
        <row r="2609">
          <cell r="H2609">
            <v>-215.43692300000001</v>
          </cell>
        </row>
        <row r="2610">
          <cell r="H2610">
            <v>-215.33927699999998</v>
          </cell>
        </row>
        <row r="2611">
          <cell r="H2611">
            <v>-215.241432</v>
          </cell>
        </row>
        <row r="2612">
          <cell r="H2612">
            <v>-215.143688</v>
          </cell>
        </row>
        <row r="2613">
          <cell r="H2613">
            <v>-215.04594299999999</v>
          </cell>
        </row>
        <row r="2614">
          <cell r="H2614">
            <v>-214.94829900000002</v>
          </cell>
        </row>
        <row r="2615">
          <cell r="H2615">
            <v>-214.84955600000001</v>
          </cell>
        </row>
        <row r="2616">
          <cell r="H2616">
            <v>-214.75181199999997</v>
          </cell>
        </row>
        <row r="2617">
          <cell r="H2617">
            <v>-214.65406899999999</v>
          </cell>
        </row>
        <row r="2618">
          <cell r="H2618">
            <v>-214.55632600000001</v>
          </cell>
        </row>
        <row r="2619">
          <cell r="H2619">
            <v>-214.458584</v>
          </cell>
        </row>
        <row r="2620">
          <cell r="H2620">
            <v>-214.35984099999999</v>
          </cell>
        </row>
        <row r="2621">
          <cell r="H2621">
            <v>-214.26209900000001</v>
          </cell>
        </row>
        <row r="2622">
          <cell r="H2622">
            <v>-214.164458</v>
          </cell>
        </row>
        <row r="2623">
          <cell r="H2623">
            <v>-214.06671599999999</v>
          </cell>
        </row>
        <row r="2624">
          <cell r="H2624">
            <v>-213.968975</v>
          </cell>
        </row>
        <row r="2625">
          <cell r="H2625">
            <v>-213.87113499999998</v>
          </cell>
        </row>
        <row r="2626">
          <cell r="H2626">
            <v>-213.77249399999999</v>
          </cell>
        </row>
        <row r="2627">
          <cell r="H2627">
            <v>-213.67475400000001</v>
          </cell>
        </row>
        <row r="2628">
          <cell r="H2628">
            <v>-213.57701399999999</v>
          </cell>
        </row>
        <row r="2629">
          <cell r="H2629">
            <v>-213.47937500000003</v>
          </cell>
        </row>
        <row r="2630">
          <cell r="H2630">
            <v>-213.38163600000001</v>
          </cell>
        </row>
        <row r="2631">
          <cell r="H2631">
            <v>-213.28279700000002</v>
          </cell>
        </row>
        <row r="2632">
          <cell r="H2632">
            <v>-213.18505799999997</v>
          </cell>
        </row>
        <row r="2633">
          <cell r="H2633">
            <v>-213.08742000000001</v>
          </cell>
        </row>
        <row r="2634">
          <cell r="H2634">
            <v>-212.98968199999999</v>
          </cell>
        </row>
        <row r="2635">
          <cell r="H2635">
            <v>-212.89194400000002</v>
          </cell>
        </row>
        <row r="2636">
          <cell r="H2636">
            <v>-212.79420699999997</v>
          </cell>
        </row>
        <row r="2637">
          <cell r="H2637">
            <v>-212.69547</v>
          </cell>
        </row>
        <row r="2638">
          <cell r="H2638">
            <v>-212.59773300000001</v>
          </cell>
        </row>
        <row r="2639">
          <cell r="H2639">
            <v>-212.49999700000001</v>
          </cell>
        </row>
        <row r="2640">
          <cell r="H2640">
            <v>-212.40226100000001</v>
          </cell>
        </row>
        <row r="2641">
          <cell r="H2641">
            <v>-212.30462500000002</v>
          </cell>
        </row>
        <row r="2642">
          <cell r="H2642">
            <v>-212.20578899999998</v>
          </cell>
        </row>
        <row r="2643">
          <cell r="H2643">
            <v>-212.10805400000001</v>
          </cell>
        </row>
        <row r="2644">
          <cell r="H2644">
            <v>-212.01031900000001</v>
          </cell>
        </row>
        <row r="2645">
          <cell r="H2645">
            <v>-211.91268499999998</v>
          </cell>
        </row>
        <row r="2646">
          <cell r="H2646">
            <v>-211.81495000000001</v>
          </cell>
        </row>
        <row r="2647">
          <cell r="H2647">
            <v>-211.71711600000003</v>
          </cell>
        </row>
        <row r="2648">
          <cell r="H2648">
            <v>-211.61838299999999</v>
          </cell>
        </row>
        <row r="2649">
          <cell r="H2649">
            <v>-211.52074900000002</v>
          </cell>
        </row>
        <row r="2650">
          <cell r="H2650">
            <v>-211.42301599999999</v>
          </cell>
        </row>
        <row r="2651">
          <cell r="H2651">
            <v>-211.32528300000001</v>
          </cell>
        </row>
        <row r="2652">
          <cell r="H2652">
            <v>-211.227451</v>
          </cell>
        </row>
        <row r="2653">
          <cell r="H2653">
            <v>-211.12881900000002</v>
          </cell>
        </row>
        <row r="2654">
          <cell r="H2654">
            <v>-211.03108699999999</v>
          </cell>
        </row>
        <row r="2655">
          <cell r="H2655">
            <v>-210.933356</v>
          </cell>
        </row>
        <row r="2656">
          <cell r="H2656">
            <v>-210.835624</v>
          </cell>
        </row>
        <row r="2657">
          <cell r="H2657">
            <v>-210.73789300000001</v>
          </cell>
        </row>
        <row r="2658">
          <cell r="H2658">
            <v>-210.64016300000003</v>
          </cell>
        </row>
        <row r="2659">
          <cell r="H2659">
            <v>-210.54143300000001</v>
          </cell>
        </row>
        <row r="2660">
          <cell r="H2660">
            <v>-210.44370299999997</v>
          </cell>
        </row>
        <row r="2661">
          <cell r="H2661">
            <v>-210.34597300000001</v>
          </cell>
        </row>
        <row r="2662">
          <cell r="H2662">
            <v>-210.248243</v>
          </cell>
        </row>
        <row r="2663">
          <cell r="H2663">
            <v>-210.15051399999999</v>
          </cell>
        </row>
        <row r="2664">
          <cell r="H2664">
            <v>-210.05178599999999</v>
          </cell>
        </row>
        <row r="2665">
          <cell r="H2665">
            <v>-209.95405699999998</v>
          </cell>
        </row>
        <row r="2666">
          <cell r="H2666">
            <v>-209.85632899999999</v>
          </cell>
        </row>
        <row r="2667">
          <cell r="H2667">
            <v>-209.758601</v>
          </cell>
        </row>
        <row r="2668">
          <cell r="H2668">
            <v>-209.66087300000001</v>
          </cell>
        </row>
        <row r="2669">
          <cell r="H2669">
            <v>-209.56304599999999</v>
          </cell>
        </row>
        <row r="2670">
          <cell r="H2670">
            <v>-209.46441899999999</v>
          </cell>
        </row>
        <row r="2671">
          <cell r="H2671">
            <v>-209.36669300000003</v>
          </cell>
        </row>
        <row r="2672">
          <cell r="H2672">
            <v>-209.26896599999998</v>
          </cell>
        </row>
        <row r="2673">
          <cell r="H2673">
            <v>-209.17114000000001</v>
          </cell>
        </row>
        <row r="2674">
          <cell r="H2674">
            <v>-209.07351399999999</v>
          </cell>
        </row>
        <row r="2675">
          <cell r="H2675">
            <v>-208.97478900000002</v>
          </cell>
        </row>
        <row r="2676">
          <cell r="H2676">
            <v>-208.87706400000002</v>
          </cell>
        </row>
        <row r="2677">
          <cell r="H2677">
            <v>-208.77923900000002</v>
          </cell>
        </row>
        <row r="2678">
          <cell r="H2678">
            <v>-208.68161500000002</v>
          </cell>
        </row>
        <row r="2679">
          <cell r="H2679">
            <v>-208.58389000000003</v>
          </cell>
        </row>
        <row r="2680">
          <cell r="H2680">
            <v>-208.48616599999997</v>
          </cell>
        </row>
        <row r="2681">
          <cell r="H2681">
            <v>-208.38734299999999</v>
          </cell>
        </row>
        <row r="2682">
          <cell r="H2682">
            <v>-208.28972000000002</v>
          </cell>
        </row>
        <row r="2683">
          <cell r="H2683">
            <v>-208.19199700000001</v>
          </cell>
        </row>
        <row r="2684">
          <cell r="H2684">
            <v>-208.09417399999998</v>
          </cell>
        </row>
        <row r="2685">
          <cell r="H2685">
            <v>-207.99645099999998</v>
          </cell>
        </row>
        <row r="2686">
          <cell r="H2686">
            <v>-207.897729</v>
          </cell>
        </row>
        <row r="2687">
          <cell r="H2687">
            <v>-207.80010800000002</v>
          </cell>
        </row>
        <row r="2688">
          <cell r="H2688">
            <v>-207.70228599999999</v>
          </cell>
        </row>
        <row r="2689">
          <cell r="H2689">
            <v>-207.60456500000001</v>
          </cell>
        </row>
        <row r="2690">
          <cell r="H2690">
            <v>-207.506844</v>
          </cell>
        </row>
        <row r="2691">
          <cell r="H2691">
            <v>-207.40912400000002</v>
          </cell>
        </row>
        <row r="2692">
          <cell r="H2692">
            <v>-207.31040299999998</v>
          </cell>
        </row>
        <row r="2693">
          <cell r="H2693">
            <v>-207.212684</v>
          </cell>
        </row>
        <row r="2694">
          <cell r="H2694">
            <v>-207.11496399999999</v>
          </cell>
        </row>
        <row r="2695">
          <cell r="H2695">
            <v>-207.017245</v>
          </cell>
        </row>
        <row r="2696">
          <cell r="H2696">
            <v>-206.91952600000002</v>
          </cell>
        </row>
        <row r="2697">
          <cell r="H2697">
            <v>-206.820807</v>
          </cell>
        </row>
        <row r="2698">
          <cell r="H2698">
            <v>-206.72298800000002</v>
          </cell>
        </row>
        <row r="2699">
          <cell r="H2699">
            <v>-206.62527</v>
          </cell>
        </row>
        <row r="2700">
          <cell r="H2700">
            <v>-206.52765300000002</v>
          </cell>
        </row>
        <row r="2701">
          <cell r="H2701">
            <v>-206.42983500000003</v>
          </cell>
        </row>
        <row r="2702">
          <cell r="H2702">
            <v>-206.33211800000001</v>
          </cell>
        </row>
        <row r="2703">
          <cell r="H2703">
            <v>-206.23340100000001</v>
          </cell>
        </row>
        <row r="2704">
          <cell r="H2704">
            <v>-206.135684</v>
          </cell>
        </row>
        <row r="2705">
          <cell r="H2705">
            <v>-206.03796800000003</v>
          </cell>
        </row>
        <row r="2706">
          <cell r="H2706">
            <v>-205.94025200000002</v>
          </cell>
        </row>
        <row r="2707">
          <cell r="H2707">
            <v>-205.84243700000002</v>
          </cell>
        </row>
        <row r="2708">
          <cell r="H2708">
            <v>-205.74372099999999</v>
          </cell>
        </row>
        <row r="2709">
          <cell r="H2709">
            <v>-205.646106</v>
          </cell>
        </row>
        <row r="2710">
          <cell r="H2710">
            <v>-205.548292</v>
          </cell>
        </row>
        <row r="2711">
          <cell r="H2711">
            <v>-205.45057699999998</v>
          </cell>
        </row>
        <row r="2712">
          <cell r="H2712">
            <v>-205.35286300000001</v>
          </cell>
        </row>
        <row r="2713">
          <cell r="H2713">
            <v>-205.25414900000001</v>
          </cell>
        </row>
        <row r="2714">
          <cell r="H2714">
            <v>-205.15643600000001</v>
          </cell>
        </row>
        <row r="2715">
          <cell r="H2715">
            <v>-205.05872199999999</v>
          </cell>
        </row>
        <row r="2716">
          <cell r="H2716">
            <v>-204.96091000000001</v>
          </cell>
        </row>
        <row r="2717">
          <cell r="H2717">
            <v>-204.86319699999999</v>
          </cell>
        </row>
        <row r="2718">
          <cell r="H2718">
            <v>-204.76558499999999</v>
          </cell>
        </row>
        <row r="2719">
          <cell r="H2719">
            <v>-204.66677299999998</v>
          </cell>
        </row>
        <row r="2720">
          <cell r="H2720">
            <v>-204.56906099999998</v>
          </cell>
        </row>
        <row r="2721">
          <cell r="H2721">
            <v>-204.47135000000003</v>
          </cell>
        </row>
        <row r="2722">
          <cell r="H2722">
            <v>-204.373639</v>
          </cell>
        </row>
        <row r="2723">
          <cell r="H2723">
            <v>-204.27592800000002</v>
          </cell>
        </row>
        <row r="2724">
          <cell r="H2724">
            <v>-204.17721699999998</v>
          </cell>
        </row>
        <row r="2725">
          <cell r="H2725">
            <v>-204.079407</v>
          </cell>
        </row>
        <row r="2726">
          <cell r="H2726">
            <v>-203.981697</v>
          </cell>
        </row>
        <row r="2727">
          <cell r="H2727">
            <v>-203.88398799999999</v>
          </cell>
        </row>
        <row r="2728">
          <cell r="H2728">
            <v>-203.78627899999998</v>
          </cell>
        </row>
        <row r="2729">
          <cell r="H2729">
            <v>-203.68857</v>
          </cell>
        </row>
        <row r="2730">
          <cell r="H2730">
            <v>-203.58976100000001</v>
          </cell>
        </row>
        <row r="2731">
          <cell r="H2731">
            <v>-203.492053</v>
          </cell>
        </row>
        <row r="2732">
          <cell r="H2732">
            <v>-203.39444499999999</v>
          </cell>
        </row>
        <row r="2733">
          <cell r="H2733">
            <v>-203.29663700000003</v>
          </cell>
        </row>
        <row r="2734">
          <cell r="H2734">
            <v>-203.19892999999999</v>
          </cell>
        </row>
        <row r="2735">
          <cell r="H2735">
            <v>-203.100123</v>
          </cell>
        </row>
        <row r="2736">
          <cell r="H2736">
            <v>-203.00251599999999</v>
          </cell>
        </row>
        <row r="2737">
          <cell r="H2737">
            <v>-202.904809</v>
          </cell>
        </row>
        <row r="2738">
          <cell r="H2738">
            <v>-202.80700299999998</v>
          </cell>
        </row>
        <row r="2739">
          <cell r="H2739">
            <v>-202.70929700000002</v>
          </cell>
        </row>
        <row r="2740">
          <cell r="H2740">
            <v>-202.61049200000002</v>
          </cell>
        </row>
        <row r="2741">
          <cell r="H2741">
            <v>-202.51288700000001</v>
          </cell>
        </row>
        <row r="2742">
          <cell r="H2742">
            <v>-202.41518200000002</v>
          </cell>
        </row>
        <row r="2743">
          <cell r="H2743">
            <v>-202.31737699999999</v>
          </cell>
        </row>
        <row r="2744">
          <cell r="H2744">
            <v>-202.219673</v>
          </cell>
        </row>
        <row r="2745">
          <cell r="H2745">
            <v>-202.121869</v>
          </cell>
        </row>
        <row r="2746">
          <cell r="H2746">
            <v>-202.02326500000001</v>
          </cell>
        </row>
        <row r="2747">
          <cell r="H2747">
            <v>-201.92556099999999</v>
          </cell>
        </row>
        <row r="2748">
          <cell r="H2748">
            <v>-201.82775799999999</v>
          </cell>
        </row>
        <row r="2749">
          <cell r="H2749">
            <v>-201.73005599999999</v>
          </cell>
        </row>
        <row r="2750">
          <cell r="H2750">
            <v>-201.63225299999999</v>
          </cell>
        </row>
        <row r="2751">
          <cell r="H2751">
            <v>-201.53365100000002</v>
          </cell>
        </row>
        <row r="2752">
          <cell r="H2752">
            <v>-201.43584899999999</v>
          </cell>
        </row>
        <row r="2753">
          <cell r="H2753">
            <v>-201.33814700000002</v>
          </cell>
        </row>
        <row r="2754">
          <cell r="H2754">
            <v>-201.24044599999996</v>
          </cell>
        </row>
        <row r="2755">
          <cell r="H2755">
            <v>-201.14264499999999</v>
          </cell>
        </row>
        <row r="2756">
          <cell r="H2756">
            <v>-201.04504400000002</v>
          </cell>
        </row>
        <row r="2757">
          <cell r="H2757">
            <v>-200.94624400000001</v>
          </cell>
        </row>
        <row r="2758">
          <cell r="H2758">
            <v>-200.848544</v>
          </cell>
        </row>
        <row r="2759">
          <cell r="H2759">
            <v>-200.750744</v>
          </cell>
        </row>
        <row r="2760">
          <cell r="H2760">
            <v>-200.65304499999999</v>
          </cell>
        </row>
        <row r="2761">
          <cell r="H2761">
            <v>-200.55544599999999</v>
          </cell>
        </row>
        <row r="2762">
          <cell r="H2762">
            <v>-200.456647</v>
          </cell>
        </row>
        <row r="2763">
          <cell r="H2763">
            <v>-200.358948</v>
          </cell>
        </row>
        <row r="2764">
          <cell r="H2764">
            <v>-200.26114999999999</v>
          </cell>
        </row>
        <row r="2765">
          <cell r="H2765">
            <v>-200.16345200000001</v>
          </cell>
        </row>
        <row r="2766">
          <cell r="H2766">
            <v>-200.065755</v>
          </cell>
        </row>
        <row r="2767">
          <cell r="H2767">
            <v>-199.96705700000001</v>
          </cell>
        </row>
        <row r="2768">
          <cell r="H2768">
            <v>-199.86926</v>
          </cell>
        </row>
        <row r="2769">
          <cell r="H2769">
            <v>-199.77156399999998</v>
          </cell>
        </row>
        <row r="2770">
          <cell r="H2770">
            <v>-199.673767</v>
          </cell>
        </row>
        <row r="2771">
          <cell r="H2771">
            <v>-199.57617099999999</v>
          </cell>
        </row>
        <row r="2772">
          <cell r="H2772">
            <v>-199.478475</v>
          </cell>
        </row>
        <row r="2773">
          <cell r="H2773">
            <v>-199.37967999999998</v>
          </cell>
        </row>
        <row r="2774">
          <cell r="H2774">
            <v>-199.28198499999999</v>
          </cell>
        </row>
        <row r="2775">
          <cell r="H2775">
            <v>-199.18419</v>
          </cell>
        </row>
        <row r="2776">
          <cell r="H2776">
            <v>-199.08659499999999</v>
          </cell>
        </row>
        <row r="2777">
          <cell r="H2777">
            <v>-198.98880100000002</v>
          </cell>
        </row>
        <row r="2778">
          <cell r="H2778">
            <v>-198.890107</v>
          </cell>
        </row>
        <row r="2779">
          <cell r="H2779">
            <v>-198.792314</v>
          </cell>
        </row>
        <row r="2780">
          <cell r="H2780">
            <v>-198.69461999999999</v>
          </cell>
        </row>
        <row r="2781">
          <cell r="H2781">
            <v>-198.59692699999999</v>
          </cell>
        </row>
        <row r="2782">
          <cell r="H2782">
            <v>-198.499234</v>
          </cell>
        </row>
        <row r="2783">
          <cell r="H2783">
            <v>-198.400442</v>
          </cell>
        </row>
        <row r="2784">
          <cell r="H2784">
            <v>-198.30275</v>
          </cell>
        </row>
        <row r="2785">
          <cell r="H2785">
            <v>-198.20495799999998</v>
          </cell>
        </row>
        <row r="2786">
          <cell r="H2786">
            <v>-198.10726700000001</v>
          </cell>
        </row>
        <row r="2787">
          <cell r="H2787">
            <v>-198.00957499999998</v>
          </cell>
        </row>
        <row r="2788">
          <cell r="H2788">
            <v>-197.91188499999998</v>
          </cell>
        </row>
        <row r="2789">
          <cell r="H2789">
            <v>-197.81309400000001</v>
          </cell>
        </row>
        <row r="2790">
          <cell r="H2790">
            <v>-197.71540399999998</v>
          </cell>
        </row>
        <row r="2791">
          <cell r="H2791">
            <v>-197.617614</v>
          </cell>
        </row>
        <row r="2792">
          <cell r="H2792">
            <v>-197.52002399999998</v>
          </cell>
        </row>
        <row r="2793">
          <cell r="H2793">
            <v>-197.422235</v>
          </cell>
        </row>
        <row r="2794">
          <cell r="H2794">
            <v>-197.32354600000002</v>
          </cell>
        </row>
        <row r="2795">
          <cell r="H2795">
            <v>-197.22575699999999</v>
          </cell>
        </row>
        <row r="2796">
          <cell r="H2796">
            <v>-197.12806900000001</v>
          </cell>
        </row>
        <row r="2797">
          <cell r="H2797">
            <v>-197.03028</v>
          </cell>
        </row>
        <row r="2798">
          <cell r="H2798">
            <v>-196.932693</v>
          </cell>
        </row>
        <row r="2799">
          <cell r="H2799">
            <v>-196.83390500000002</v>
          </cell>
        </row>
        <row r="2800">
          <cell r="H2800">
            <v>-196.73621800000001</v>
          </cell>
        </row>
        <row r="2801">
          <cell r="H2801">
            <v>-196.63843100000003</v>
          </cell>
        </row>
        <row r="2802">
          <cell r="H2802">
            <v>-196.54074399999999</v>
          </cell>
        </row>
        <row r="2803">
          <cell r="H2803">
            <v>-196.44305800000001</v>
          </cell>
        </row>
        <row r="2804">
          <cell r="H2804">
            <v>-196.34427199999999</v>
          </cell>
        </row>
        <row r="2805">
          <cell r="H2805">
            <v>-196.24658599999998</v>
          </cell>
        </row>
        <row r="2806">
          <cell r="H2806">
            <v>-196.14880099999999</v>
          </cell>
        </row>
        <row r="2807">
          <cell r="H2807">
            <v>-196.05111599999998</v>
          </cell>
        </row>
        <row r="2808">
          <cell r="H2808">
            <v>-195.95333100000002</v>
          </cell>
        </row>
        <row r="2809">
          <cell r="H2809">
            <v>-195.85574699999998</v>
          </cell>
        </row>
        <row r="2810">
          <cell r="H2810">
            <v>-195.75696300000001</v>
          </cell>
        </row>
        <row r="2811">
          <cell r="H2811">
            <v>-195.65927900000003</v>
          </cell>
        </row>
        <row r="2812">
          <cell r="H2812">
            <v>-195.56149500000001</v>
          </cell>
        </row>
        <row r="2813">
          <cell r="H2813">
            <v>-195.46381199999996</v>
          </cell>
        </row>
        <row r="2814">
          <cell r="H2814">
            <v>-195.366029</v>
          </cell>
        </row>
        <row r="2815">
          <cell r="H2815">
            <v>-195.267346</v>
          </cell>
        </row>
        <row r="2816">
          <cell r="H2816">
            <v>-195.16966400000001</v>
          </cell>
        </row>
        <row r="2817">
          <cell r="H2817">
            <v>-195.07188199999999</v>
          </cell>
        </row>
        <row r="2818">
          <cell r="H2818">
            <v>-194.9742</v>
          </cell>
        </row>
        <row r="2819">
          <cell r="H2819">
            <v>-194.876419</v>
          </cell>
        </row>
        <row r="2820">
          <cell r="H2820">
            <v>-194.777838</v>
          </cell>
        </row>
        <row r="2821">
          <cell r="H2821">
            <v>-194.68005699999998</v>
          </cell>
        </row>
        <row r="2822">
          <cell r="H2822">
            <v>-194.58237700000001</v>
          </cell>
        </row>
        <row r="2823">
          <cell r="H2823">
            <v>-194.48459600000001</v>
          </cell>
        </row>
        <row r="2824">
          <cell r="H2824">
            <v>-194.38681699999998</v>
          </cell>
        </row>
        <row r="2825">
          <cell r="H2825">
            <v>-194.28913700000001</v>
          </cell>
        </row>
        <row r="2826">
          <cell r="H2826">
            <v>-194.19045800000001</v>
          </cell>
        </row>
        <row r="2827">
          <cell r="H2827">
            <v>-194.09277900000001</v>
          </cell>
        </row>
        <row r="2828">
          <cell r="H2828">
            <v>-193.995</v>
          </cell>
        </row>
        <row r="2829">
          <cell r="H2829">
            <v>-193.897222</v>
          </cell>
        </row>
        <row r="2830">
          <cell r="H2830">
            <v>-193.799544</v>
          </cell>
        </row>
        <row r="2831">
          <cell r="H2831">
            <v>-193.70076599999999</v>
          </cell>
        </row>
        <row r="2832">
          <cell r="H2832">
            <v>-193.60318900000001</v>
          </cell>
        </row>
        <row r="2833">
          <cell r="H2833">
            <v>-193.50541099999998</v>
          </cell>
        </row>
        <row r="2834">
          <cell r="H2834">
            <v>-193.407635</v>
          </cell>
        </row>
        <row r="2835">
          <cell r="H2835">
            <v>-193.30995800000002</v>
          </cell>
        </row>
        <row r="2836">
          <cell r="H2836">
            <v>-193.21118199999998</v>
          </cell>
        </row>
        <row r="2837">
          <cell r="H2837">
            <v>-193.113506</v>
          </cell>
        </row>
        <row r="2838">
          <cell r="H2838">
            <v>-193.01582999999999</v>
          </cell>
        </row>
        <row r="2839">
          <cell r="H2839">
            <v>-192.91805499999998</v>
          </cell>
        </row>
        <row r="2840">
          <cell r="H2840">
            <v>-192.82038</v>
          </cell>
        </row>
        <row r="2841">
          <cell r="H2841">
            <v>-192.72160599999998</v>
          </cell>
        </row>
        <row r="2842">
          <cell r="H2842">
            <v>-192.623931</v>
          </cell>
        </row>
        <row r="2843">
          <cell r="H2843">
            <v>-192.52615700000001</v>
          </cell>
        </row>
        <row r="2844">
          <cell r="H2844">
            <v>-192.428383</v>
          </cell>
        </row>
        <row r="2845">
          <cell r="H2845">
            <v>-192.33080999999999</v>
          </cell>
        </row>
        <row r="2846">
          <cell r="H2846">
            <v>-192.233037</v>
          </cell>
        </row>
        <row r="2847">
          <cell r="H2847">
            <v>-192.13436400000001</v>
          </cell>
        </row>
        <row r="2848">
          <cell r="H2848">
            <v>-192.03659099999999</v>
          </cell>
        </row>
        <row r="2849">
          <cell r="H2849">
            <v>-191.938819</v>
          </cell>
        </row>
        <row r="2850">
          <cell r="H2850">
            <v>-191.84114699999998</v>
          </cell>
        </row>
        <row r="2851">
          <cell r="H2851">
            <v>-191.74347599999999</v>
          </cell>
        </row>
        <row r="2852">
          <cell r="H2852">
            <v>-191.64470400000002</v>
          </cell>
        </row>
        <row r="2853">
          <cell r="H2853">
            <v>-191.547033</v>
          </cell>
        </row>
        <row r="2854">
          <cell r="H2854">
            <v>-191.449263</v>
          </cell>
        </row>
        <row r="2855">
          <cell r="H2855">
            <v>-191.35149200000001</v>
          </cell>
        </row>
        <row r="2856">
          <cell r="H2856">
            <v>-191.25382199999999</v>
          </cell>
        </row>
        <row r="2857">
          <cell r="H2857">
            <v>-191.15515200000002</v>
          </cell>
        </row>
        <row r="2858">
          <cell r="H2858">
            <v>-191.05748299999999</v>
          </cell>
        </row>
        <row r="2859">
          <cell r="H2859">
            <v>-190.95971399999999</v>
          </cell>
        </row>
        <row r="2860">
          <cell r="H2860">
            <v>-190.86194499999999</v>
          </cell>
        </row>
        <row r="2861">
          <cell r="H2861">
            <v>-190.764276</v>
          </cell>
        </row>
        <row r="2862">
          <cell r="H2862">
            <v>-190.66550800000002</v>
          </cell>
        </row>
        <row r="2863">
          <cell r="H2863">
            <v>-190.56774000000001</v>
          </cell>
        </row>
        <row r="2864">
          <cell r="H2864">
            <v>-190.47027200000002</v>
          </cell>
        </row>
        <row r="2865">
          <cell r="H2865">
            <v>-190.37230499999998</v>
          </cell>
        </row>
        <row r="2866">
          <cell r="H2866">
            <v>-190.274338</v>
          </cell>
        </row>
        <row r="2867">
          <cell r="H2867">
            <v>-190.17647099999999</v>
          </cell>
        </row>
        <row r="2868">
          <cell r="H2868">
            <v>-190.07850500000001</v>
          </cell>
        </row>
        <row r="2869">
          <cell r="H2869">
            <v>-189.98053899999999</v>
          </cell>
        </row>
        <row r="2870">
          <cell r="H2870">
            <v>-189.88277299999999</v>
          </cell>
        </row>
        <row r="2871">
          <cell r="H2871">
            <v>-189.784808</v>
          </cell>
        </row>
        <row r="2872">
          <cell r="H2872">
            <v>-189.68684200000001</v>
          </cell>
        </row>
        <row r="2873">
          <cell r="H2873">
            <v>-189.588977</v>
          </cell>
        </row>
        <row r="2874">
          <cell r="H2874">
            <v>-189.49111299999998</v>
          </cell>
        </row>
        <row r="2875">
          <cell r="H2875">
            <v>-189.39314899999999</v>
          </cell>
        </row>
        <row r="2876">
          <cell r="H2876">
            <v>-189.29528499999998</v>
          </cell>
        </row>
        <row r="2877">
          <cell r="H2877">
            <v>-189.19742099999999</v>
          </cell>
        </row>
        <row r="2878">
          <cell r="H2878">
            <v>-189.09945800000003</v>
          </cell>
        </row>
        <row r="2879">
          <cell r="H2879">
            <v>-189.00149500000001</v>
          </cell>
        </row>
        <row r="2880">
          <cell r="H2880">
            <v>-188.90363200000002</v>
          </cell>
        </row>
        <row r="2881">
          <cell r="H2881">
            <v>-188.80566899999999</v>
          </cell>
        </row>
        <row r="2882">
          <cell r="H2882">
            <v>-188.707707</v>
          </cell>
        </row>
        <row r="2883">
          <cell r="H2883">
            <v>-188.60984500000001</v>
          </cell>
        </row>
        <row r="2884">
          <cell r="H2884">
            <v>-188.51198400000001</v>
          </cell>
        </row>
        <row r="2885">
          <cell r="H2885">
            <v>-188.41402299999999</v>
          </cell>
        </row>
        <row r="2886">
          <cell r="H2886">
            <v>-188.31616199999999</v>
          </cell>
        </row>
        <row r="2887">
          <cell r="H2887">
            <v>-188.21820099999999</v>
          </cell>
        </row>
        <row r="2888">
          <cell r="H2888">
            <v>-188.120341</v>
          </cell>
        </row>
        <row r="2889">
          <cell r="H2889">
            <v>-188.022381</v>
          </cell>
        </row>
        <row r="2890">
          <cell r="H2890">
            <v>-187.92452100000003</v>
          </cell>
        </row>
        <row r="2891">
          <cell r="H2891">
            <v>-187.826662</v>
          </cell>
        </row>
        <row r="2892">
          <cell r="H2892">
            <v>-187.728703</v>
          </cell>
        </row>
        <row r="2893">
          <cell r="H2893">
            <v>-187.63084400000002</v>
          </cell>
        </row>
        <row r="2894">
          <cell r="H2894">
            <v>-187.53288599999999</v>
          </cell>
        </row>
        <row r="2895">
          <cell r="H2895">
            <v>-187.43492700000002</v>
          </cell>
        </row>
        <row r="2896">
          <cell r="H2896">
            <v>-187.33696999999998</v>
          </cell>
        </row>
        <row r="2897">
          <cell r="H2897">
            <v>-187.23911200000001</v>
          </cell>
        </row>
        <row r="2898">
          <cell r="H2898">
            <v>-187.14115500000003</v>
          </cell>
        </row>
        <row r="2899">
          <cell r="H2899">
            <v>-187.04329799999999</v>
          </cell>
        </row>
        <row r="2900">
          <cell r="H2900">
            <v>-186.94534100000001</v>
          </cell>
        </row>
        <row r="2901">
          <cell r="H2901">
            <v>-186.84748500000001</v>
          </cell>
        </row>
        <row r="2902">
          <cell r="H2902">
            <v>-186.74952900000002</v>
          </cell>
        </row>
        <row r="2903">
          <cell r="H2903">
            <v>-186.65157299999998</v>
          </cell>
        </row>
        <row r="2904">
          <cell r="H2904">
            <v>-186.553718</v>
          </cell>
        </row>
        <row r="2905">
          <cell r="H2905">
            <v>-186.45586299999999</v>
          </cell>
        </row>
        <row r="2906">
          <cell r="H2906">
            <v>-186.35800799999998</v>
          </cell>
        </row>
        <row r="2907">
          <cell r="H2907">
            <v>-186.260053</v>
          </cell>
        </row>
        <row r="2908">
          <cell r="H2908">
            <v>-186.16209900000001</v>
          </cell>
        </row>
        <row r="2909">
          <cell r="H2909">
            <v>-186.064245</v>
          </cell>
        </row>
        <row r="2910">
          <cell r="H2910">
            <v>-185.96629200000001</v>
          </cell>
        </row>
        <row r="2911">
          <cell r="H2911">
            <v>-185.86833799999999</v>
          </cell>
        </row>
        <row r="2912">
          <cell r="H2912">
            <v>-185.770386</v>
          </cell>
        </row>
        <row r="2913">
          <cell r="H2913">
            <v>-185.67253300000002</v>
          </cell>
        </row>
        <row r="2914">
          <cell r="H2914">
            <v>-185.574681</v>
          </cell>
        </row>
        <row r="2915">
          <cell r="H2915">
            <v>-185.47672799999998</v>
          </cell>
        </row>
        <row r="2916">
          <cell r="H2916">
            <v>-185.37877700000001</v>
          </cell>
        </row>
        <row r="2917">
          <cell r="H2917">
            <v>-185.280925</v>
          </cell>
        </row>
        <row r="2918">
          <cell r="H2918">
            <v>-185.18297400000003</v>
          </cell>
        </row>
        <row r="2919">
          <cell r="H2919">
            <v>-185.08502300000001</v>
          </cell>
        </row>
        <row r="2920">
          <cell r="H2920">
            <v>-184.98707300000001</v>
          </cell>
        </row>
        <row r="2921">
          <cell r="H2921">
            <v>-184.88922300000002</v>
          </cell>
        </row>
        <row r="2922">
          <cell r="H2922">
            <v>-184.791473</v>
          </cell>
        </row>
        <row r="2923">
          <cell r="H2923">
            <v>-184.693523</v>
          </cell>
        </row>
        <row r="2924">
          <cell r="H2924">
            <v>-184.595574</v>
          </cell>
        </row>
        <row r="2925">
          <cell r="H2925">
            <v>-184.497625</v>
          </cell>
        </row>
        <row r="2926">
          <cell r="H2926">
            <v>-184.39977600000003</v>
          </cell>
        </row>
        <row r="2927">
          <cell r="H2927">
            <v>-184.301828</v>
          </cell>
        </row>
        <row r="2928">
          <cell r="H2928">
            <v>-184.20388</v>
          </cell>
        </row>
        <row r="2929">
          <cell r="H2929">
            <v>-184.105932</v>
          </cell>
        </row>
        <row r="2930">
          <cell r="H2930">
            <v>-184.00808499999999</v>
          </cell>
        </row>
        <row r="2931">
          <cell r="H2931">
            <v>-183.910237</v>
          </cell>
        </row>
        <row r="2932">
          <cell r="H2932">
            <v>-183.81229099999999</v>
          </cell>
        </row>
        <row r="2933">
          <cell r="H2933">
            <v>-183.71434400000001</v>
          </cell>
        </row>
        <row r="2934">
          <cell r="H2934">
            <v>-183.616398</v>
          </cell>
        </row>
        <row r="2935">
          <cell r="H2935">
            <v>-183.518452</v>
          </cell>
        </row>
        <row r="2936">
          <cell r="H2936">
            <v>-183.42060600000002</v>
          </cell>
        </row>
        <row r="2937">
          <cell r="H2937">
            <v>-183.32266099999998</v>
          </cell>
        </row>
        <row r="2938">
          <cell r="H2938">
            <v>-183.224816</v>
          </cell>
        </row>
        <row r="2939">
          <cell r="H2939">
            <v>-183.12687100000002</v>
          </cell>
        </row>
        <row r="2940">
          <cell r="H2940">
            <v>-183.02892700000001</v>
          </cell>
        </row>
        <row r="2941">
          <cell r="H2941">
            <v>-182.930983</v>
          </cell>
        </row>
        <row r="2942">
          <cell r="H2942">
            <v>-182.83323899999999</v>
          </cell>
        </row>
        <row r="2943">
          <cell r="H2943">
            <v>-182.73529599999998</v>
          </cell>
        </row>
        <row r="2944">
          <cell r="H2944">
            <v>-182.63735200000002</v>
          </cell>
        </row>
        <row r="2945">
          <cell r="H2945">
            <v>-182.53940999999998</v>
          </cell>
        </row>
        <row r="2946">
          <cell r="H2946">
            <v>-182.44146699999999</v>
          </cell>
        </row>
        <row r="2947">
          <cell r="H2947">
            <v>-182.343625</v>
          </cell>
        </row>
        <row r="2948">
          <cell r="H2948">
            <v>-182.24578299999999</v>
          </cell>
        </row>
        <row r="2949">
          <cell r="H2949">
            <v>-182.147841</v>
          </cell>
        </row>
        <row r="2950">
          <cell r="H2950">
            <v>-182.04989999999998</v>
          </cell>
        </row>
        <row r="2951">
          <cell r="H2951">
            <v>-181.95195899999999</v>
          </cell>
        </row>
        <row r="2952">
          <cell r="H2952">
            <v>-181.854018</v>
          </cell>
        </row>
        <row r="2953">
          <cell r="H2953">
            <v>-181.756078</v>
          </cell>
        </row>
        <row r="2954">
          <cell r="H2954">
            <v>-181.65823800000001</v>
          </cell>
        </row>
        <row r="2955">
          <cell r="H2955">
            <v>-181.56029799999999</v>
          </cell>
        </row>
        <row r="2956">
          <cell r="H2956">
            <v>-181.462458</v>
          </cell>
        </row>
        <row r="2957">
          <cell r="H2957">
            <v>-181.364519</v>
          </cell>
        </row>
        <row r="2958">
          <cell r="H2958">
            <v>-181.26657999999998</v>
          </cell>
        </row>
        <row r="2959">
          <cell r="H2959">
            <v>-181.16864200000001</v>
          </cell>
        </row>
        <row r="2960">
          <cell r="H2960">
            <v>-181.07070299999998</v>
          </cell>
        </row>
        <row r="2961">
          <cell r="H2961">
            <v>-180.97286499999998</v>
          </cell>
        </row>
        <row r="2962">
          <cell r="H2962">
            <v>-180.87492799999998</v>
          </cell>
        </row>
        <row r="2963">
          <cell r="H2963">
            <v>-180.77699000000001</v>
          </cell>
        </row>
        <row r="2964">
          <cell r="H2964">
            <v>-180.67905299999998</v>
          </cell>
        </row>
        <row r="2965">
          <cell r="H2965">
            <v>-180.58121699999998</v>
          </cell>
        </row>
        <row r="2966">
          <cell r="H2966">
            <v>-180.48327999999998</v>
          </cell>
        </row>
        <row r="2967">
          <cell r="H2967">
            <v>-180.385344</v>
          </cell>
        </row>
        <row r="2968">
          <cell r="H2968">
            <v>-180.28740800000003</v>
          </cell>
        </row>
        <row r="2969">
          <cell r="H2969">
            <v>-180.189573</v>
          </cell>
        </row>
        <row r="2970">
          <cell r="H2970">
            <v>-180.09173699999999</v>
          </cell>
        </row>
        <row r="2971">
          <cell r="H2971">
            <v>-179.99380300000001</v>
          </cell>
        </row>
        <row r="2972">
          <cell r="H2972">
            <v>-179.89586799999998</v>
          </cell>
        </row>
        <row r="2973">
          <cell r="H2973">
            <v>-179.797934</v>
          </cell>
        </row>
        <row r="2974">
          <cell r="H2974">
            <v>-179.7</v>
          </cell>
        </row>
        <row r="2975">
          <cell r="H2975">
            <v>-179.60216599999998</v>
          </cell>
        </row>
        <row r="2976">
          <cell r="H2976">
            <v>-179.504233</v>
          </cell>
        </row>
        <row r="2977">
          <cell r="H2977">
            <v>-179.40629899999999</v>
          </cell>
        </row>
        <row r="2978">
          <cell r="H2978">
            <v>-179.308367</v>
          </cell>
        </row>
        <row r="2979">
          <cell r="H2979">
            <v>-179.210534</v>
          </cell>
        </row>
        <row r="2980">
          <cell r="H2980">
            <v>-179.11260199999998</v>
          </cell>
        </row>
        <row r="2981">
          <cell r="H2981">
            <v>-179.01467</v>
          </cell>
        </row>
        <row r="2982">
          <cell r="H2982">
            <v>-178.91673900000001</v>
          </cell>
        </row>
        <row r="2983">
          <cell r="H2983">
            <v>-178.81880699999999</v>
          </cell>
        </row>
        <row r="2984">
          <cell r="H2984">
            <v>-178.720877</v>
          </cell>
        </row>
        <row r="2985">
          <cell r="H2985">
            <v>-178.62304599999999</v>
          </cell>
        </row>
        <row r="2986">
          <cell r="H2986">
            <v>-178.525116</v>
          </cell>
        </row>
        <row r="2987">
          <cell r="H2987">
            <v>-178.42718600000001</v>
          </cell>
        </row>
        <row r="2988">
          <cell r="H2988">
            <v>-178.32925599999999</v>
          </cell>
        </row>
        <row r="2989">
          <cell r="H2989">
            <v>-178.231326</v>
          </cell>
        </row>
        <row r="2990">
          <cell r="H2990">
            <v>-178.13349699999998</v>
          </cell>
        </row>
        <row r="2991">
          <cell r="H2991">
            <v>-178.03556899999998</v>
          </cell>
        </row>
        <row r="2992">
          <cell r="H2992">
            <v>-177.93764000000002</v>
          </cell>
        </row>
        <row r="2993">
          <cell r="H2993">
            <v>-177.83971199999996</v>
          </cell>
        </row>
        <row r="2994">
          <cell r="H2994">
            <v>-177.741784</v>
          </cell>
        </row>
        <row r="2995">
          <cell r="H2995">
            <v>-177.64385600000003</v>
          </cell>
        </row>
        <row r="2996">
          <cell r="H2996">
            <v>-177.54602899999998</v>
          </cell>
        </row>
        <row r="2997">
          <cell r="H2997">
            <v>-177.44810200000001</v>
          </cell>
        </row>
        <row r="2998">
          <cell r="H2998">
            <v>-177.350176</v>
          </cell>
        </row>
        <row r="2999">
          <cell r="H2999">
            <v>-177.25224900000001</v>
          </cell>
        </row>
        <row r="3000">
          <cell r="H3000">
            <v>-177.15432300000001</v>
          </cell>
        </row>
        <row r="3001">
          <cell r="H3001">
            <v>-177.056398</v>
          </cell>
        </row>
        <row r="3002">
          <cell r="H3002">
            <v>-176.95847199999997</v>
          </cell>
        </row>
        <row r="3003">
          <cell r="H3003">
            <v>-176.860547</v>
          </cell>
        </row>
        <row r="3004">
          <cell r="H3004">
            <v>-176.76262200000002</v>
          </cell>
        </row>
        <row r="3005">
          <cell r="H3005">
            <v>-176.66469799999999</v>
          </cell>
        </row>
        <row r="3006">
          <cell r="H3006">
            <v>-176.56677300000001</v>
          </cell>
        </row>
        <row r="3007">
          <cell r="H3007">
            <v>-176.46884999999997</v>
          </cell>
        </row>
        <row r="3008">
          <cell r="H3008">
            <v>-176.371026</v>
          </cell>
        </row>
        <row r="3009">
          <cell r="H3009">
            <v>-176.27320300000002</v>
          </cell>
        </row>
        <row r="3010">
          <cell r="H3010">
            <v>-176.17527999999999</v>
          </cell>
        </row>
        <row r="3011">
          <cell r="H3011">
            <v>-176.07735699999998</v>
          </cell>
        </row>
        <row r="3012">
          <cell r="H3012">
            <v>-175.97943500000002</v>
          </cell>
        </row>
        <row r="3013">
          <cell r="H3013">
            <v>-175.88151299999998</v>
          </cell>
        </row>
        <row r="3014">
          <cell r="H3014">
            <v>-175.783591</v>
          </cell>
        </row>
        <row r="3015">
          <cell r="H3015">
            <v>-175.68566900000002</v>
          </cell>
        </row>
        <row r="3016">
          <cell r="H3016">
            <v>-175.587748</v>
          </cell>
        </row>
        <row r="3017">
          <cell r="H3017">
            <v>-175.48982700000002</v>
          </cell>
        </row>
        <row r="3018">
          <cell r="H3018">
            <v>-175.391907</v>
          </cell>
        </row>
        <row r="3019">
          <cell r="H3019">
            <v>-175.29398700000002</v>
          </cell>
        </row>
        <row r="3020">
          <cell r="H3020">
            <v>-175.196167</v>
          </cell>
        </row>
        <row r="3021">
          <cell r="H3021">
            <v>-175.09824699999999</v>
          </cell>
        </row>
        <row r="3022">
          <cell r="H3022">
            <v>-175.000328</v>
          </cell>
        </row>
        <row r="3023">
          <cell r="H3023">
            <v>-174.90240899999998</v>
          </cell>
        </row>
        <row r="3024">
          <cell r="H3024">
            <v>-174.80448999999999</v>
          </cell>
        </row>
        <row r="3025">
          <cell r="H3025">
            <v>-174.70657199999999</v>
          </cell>
        </row>
        <row r="3026">
          <cell r="H3026">
            <v>-174.608654</v>
          </cell>
        </row>
        <row r="3027">
          <cell r="H3027">
            <v>-174.51073600000001</v>
          </cell>
        </row>
        <row r="3028">
          <cell r="H3028">
            <v>-174.41281800000002</v>
          </cell>
        </row>
        <row r="3029">
          <cell r="H3029">
            <v>-174.31490099999999</v>
          </cell>
        </row>
        <row r="3030">
          <cell r="H3030">
            <v>-174.216984</v>
          </cell>
        </row>
        <row r="3031">
          <cell r="H3031">
            <v>-174.119068</v>
          </cell>
        </row>
        <row r="3032">
          <cell r="H3032">
            <v>-174.021152</v>
          </cell>
        </row>
        <row r="3033">
          <cell r="H3033">
            <v>-173.92333600000001</v>
          </cell>
        </row>
        <row r="3034">
          <cell r="H3034">
            <v>-173.82542000000001</v>
          </cell>
        </row>
        <row r="3035">
          <cell r="H3035">
            <v>-173.72750499999998</v>
          </cell>
        </row>
        <row r="3036">
          <cell r="H3036">
            <v>-173.62959000000001</v>
          </cell>
        </row>
        <row r="3037">
          <cell r="H3037">
            <v>-173.53167500000001</v>
          </cell>
        </row>
        <row r="3038">
          <cell r="H3038">
            <v>-173.433761</v>
          </cell>
        </row>
        <row r="3039">
          <cell r="H3039">
            <v>-173.335847</v>
          </cell>
        </row>
        <row r="3040">
          <cell r="H3040">
            <v>-173.23783300000002</v>
          </cell>
        </row>
        <row r="3041">
          <cell r="H3041">
            <v>-173.13991900000002</v>
          </cell>
        </row>
        <row r="3042">
          <cell r="H3042">
            <v>-173.04200600000001</v>
          </cell>
        </row>
        <row r="3043">
          <cell r="H3043">
            <v>-172.94409300000001</v>
          </cell>
        </row>
        <row r="3044">
          <cell r="H3044">
            <v>-172.846181</v>
          </cell>
        </row>
        <row r="3045">
          <cell r="H3045">
            <v>-172.748268</v>
          </cell>
        </row>
        <row r="3046">
          <cell r="H3046">
            <v>-172.65035599999999</v>
          </cell>
        </row>
        <row r="3047">
          <cell r="H3047">
            <v>-172.55254500000001</v>
          </cell>
        </row>
        <row r="3048">
          <cell r="H3048">
            <v>-172.454633</v>
          </cell>
        </row>
        <row r="3049">
          <cell r="H3049">
            <v>-172.35672199999999</v>
          </cell>
        </row>
        <row r="3050">
          <cell r="H3050">
            <v>-172.25881200000001</v>
          </cell>
        </row>
        <row r="3051">
          <cell r="H3051">
            <v>-172.16090100000002</v>
          </cell>
        </row>
        <row r="3052">
          <cell r="H3052">
            <v>-172.06299099999998</v>
          </cell>
        </row>
        <row r="3053">
          <cell r="H3053">
            <v>-171.965081</v>
          </cell>
        </row>
        <row r="3054">
          <cell r="H3054">
            <v>-171.86717199999998</v>
          </cell>
        </row>
        <row r="3055">
          <cell r="H3055">
            <v>-171.769262</v>
          </cell>
        </row>
        <row r="3056">
          <cell r="H3056">
            <v>-171.67135400000001</v>
          </cell>
        </row>
        <row r="3057">
          <cell r="H3057">
            <v>-171.57344499999999</v>
          </cell>
        </row>
        <row r="3058">
          <cell r="H3058">
            <v>-171.47553699999997</v>
          </cell>
        </row>
        <row r="3059">
          <cell r="H3059">
            <v>-171.37752900000001</v>
          </cell>
        </row>
        <row r="3060">
          <cell r="H3060">
            <v>-171.27962100000002</v>
          </cell>
        </row>
        <row r="3061">
          <cell r="H3061">
            <v>-171.181714</v>
          </cell>
        </row>
        <row r="3062">
          <cell r="H3062">
            <v>-171.08380700000001</v>
          </cell>
        </row>
        <row r="3063">
          <cell r="H3063">
            <v>-170.98599999999999</v>
          </cell>
        </row>
        <row r="3064">
          <cell r="H3064">
            <v>-170.888093</v>
          </cell>
        </row>
        <row r="3065">
          <cell r="H3065">
            <v>-170.790187</v>
          </cell>
        </row>
        <row r="3066">
          <cell r="H3066">
            <v>-170.69228099999998</v>
          </cell>
        </row>
        <row r="3067">
          <cell r="H3067">
            <v>-170.59437600000001</v>
          </cell>
        </row>
        <row r="3068">
          <cell r="H3068">
            <v>-170.49647099999999</v>
          </cell>
        </row>
        <row r="3069">
          <cell r="H3069">
            <v>-170.39856599999999</v>
          </cell>
        </row>
        <row r="3070">
          <cell r="H3070">
            <v>-170.30066099999999</v>
          </cell>
        </row>
        <row r="3071">
          <cell r="H3071">
            <v>-170.20265699999999</v>
          </cell>
        </row>
        <row r="3072">
          <cell r="H3072">
            <v>-170.10475299999999</v>
          </cell>
        </row>
        <row r="3073">
          <cell r="H3073">
            <v>-170.00684900000002</v>
          </cell>
        </row>
        <row r="3074">
          <cell r="H3074">
            <v>-169.90894600000001</v>
          </cell>
        </row>
        <row r="3075">
          <cell r="H3075">
            <v>-169.81104300000001</v>
          </cell>
        </row>
        <row r="3076">
          <cell r="H3076">
            <v>-169.71313999999998</v>
          </cell>
        </row>
        <row r="3077">
          <cell r="H3077">
            <v>-169.61523699999998</v>
          </cell>
        </row>
        <row r="3078">
          <cell r="H3078">
            <v>-169.517335</v>
          </cell>
        </row>
        <row r="3079">
          <cell r="H3079">
            <v>-169.419433</v>
          </cell>
        </row>
        <row r="3080">
          <cell r="H3080">
            <v>-169.32143200000002</v>
          </cell>
        </row>
        <row r="3081">
          <cell r="H3081">
            <v>-169.22363099999998</v>
          </cell>
        </row>
        <row r="3082">
          <cell r="H3082">
            <v>-169.12573</v>
          </cell>
        </row>
        <row r="3083">
          <cell r="H3083">
            <v>-169.02772900000002</v>
          </cell>
        </row>
        <row r="3084">
          <cell r="H3084">
            <v>-168.92982900000001</v>
          </cell>
        </row>
        <row r="3085">
          <cell r="H3085">
            <v>-168.831929</v>
          </cell>
        </row>
        <row r="3086">
          <cell r="H3086">
            <v>-168.73402899999999</v>
          </cell>
        </row>
        <row r="3087">
          <cell r="H3087">
            <v>-168.63612900000001</v>
          </cell>
        </row>
        <row r="3088">
          <cell r="H3088">
            <v>-168.53813</v>
          </cell>
        </row>
        <row r="3089">
          <cell r="H3089">
            <v>-168.44023199999998</v>
          </cell>
        </row>
        <row r="3090">
          <cell r="H3090">
            <v>-168.342333</v>
          </cell>
        </row>
        <row r="3091">
          <cell r="H3091">
            <v>-168.24443500000001</v>
          </cell>
        </row>
        <row r="3092">
          <cell r="H3092">
            <v>-168.146537</v>
          </cell>
        </row>
        <row r="3093">
          <cell r="H3093">
            <v>-168.04863900000001</v>
          </cell>
        </row>
        <row r="3094">
          <cell r="H3094">
            <v>-167.95074199999999</v>
          </cell>
        </row>
        <row r="3095">
          <cell r="H3095">
            <v>-167.852745</v>
          </cell>
        </row>
        <row r="3096">
          <cell r="H3096">
            <v>-167.75484799999998</v>
          </cell>
        </row>
        <row r="3097">
          <cell r="H3097">
            <v>-167.65695199999999</v>
          </cell>
        </row>
        <row r="3098">
          <cell r="H3098">
            <v>-167.559056</v>
          </cell>
        </row>
        <row r="3099">
          <cell r="H3099">
            <v>-167.46116000000001</v>
          </cell>
        </row>
        <row r="3100">
          <cell r="H3100">
            <v>-167.36326500000001</v>
          </cell>
        </row>
        <row r="3101">
          <cell r="H3101">
            <v>-167.26536999999999</v>
          </cell>
        </row>
        <row r="3102">
          <cell r="H3102">
            <v>-167.167475</v>
          </cell>
        </row>
        <row r="3103">
          <cell r="H3103">
            <v>-167.06957999999997</v>
          </cell>
        </row>
        <row r="3104">
          <cell r="H3104">
            <v>-166.97168600000001</v>
          </cell>
        </row>
        <row r="3105">
          <cell r="H3105">
            <v>-166.87379200000001</v>
          </cell>
        </row>
        <row r="3106">
          <cell r="H3106">
            <v>-166.77589899999998</v>
          </cell>
        </row>
        <row r="3107">
          <cell r="H3107">
            <v>-166.67800499999998</v>
          </cell>
        </row>
        <row r="3108">
          <cell r="H3108">
            <v>-166.58001200000001</v>
          </cell>
        </row>
        <row r="3109">
          <cell r="H3109">
            <v>-166.48212000000001</v>
          </cell>
        </row>
        <row r="3110">
          <cell r="H3110">
            <v>-166.38422700000001</v>
          </cell>
        </row>
        <row r="3111">
          <cell r="H3111">
            <v>-166.286235</v>
          </cell>
        </row>
        <row r="3112">
          <cell r="H3112">
            <v>-166.18834400000003</v>
          </cell>
        </row>
        <row r="3113">
          <cell r="H3113">
            <v>-166.090352</v>
          </cell>
        </row>
        <row r="3114">
          <cell r="H3114">
            <v>-165.99246099999999</v>
          </cell>
        </row>
        <row r="3115">
          <cell r="H3115">
            <v>-165.89456999999999</v>
          </cell>
        </row>
        <row r="3116">
          <cell r="H3116">
            <v>-165.79667999999998</v>
          </cell>
        </row>
        <row r="3117">
          <cell r="H3117">
            <v>-165.698789</v>
          </cell>
        </row>
        <row r="3118">
          <cell r="H3118">
            <v>-165.60079899999999</v>
          </cell>
        </row>
        <row r="3119">
          <cell r="H3119">
            <v>-165.50291000000001</v>
          </cell>
        </row>
        <row r="3120">
          <cell r="H3120">
            <v>-165.40502000000001</v>
          </cell>
        </row>
        <row r="3121">
          <cell r="H3121">
            <v>-165.30713100000003</v>
          </cell>
        </row>
        <row r="3122">
          <cell r="H3122">
            <v>-165.20924300000001</v>
          </cell>
        </row>
        <row r="3123">
          <cell r="H3123">
            <v>-165.111254</v>
          </cell>
        </row>
        <row r="3124">
          <cell r="H3124">
            <v>-165.01336600000002</v>
          </cell>
        </row>
        <row r="3125">
          <cell r="H3125">
            <v>-164.91547800000001</v>
          </cell>
        </row>
        <row r="3126">
          <cell r="H3126">
            <v>-164.81759099999999</v>
          </cell>
        </row>
        <row r="3127">
          <cell r="H3127">
            <v>-164.71970399999998</v>
          </cell>
        </row>
        <row r="3128">
          <cell r="H3128">
            <v>-164.62171699999999</v>
          </cell>
        </row>
        <row r="3129">
          <cell r="H3129">
            <v>-164.52383</v>
          </cell>
        </row>
        <row r="3130">
          <cell r="H3130">
            <v>-164.42594400000002</v>
          </cell>
        </row>
        <row r="3131">
          <cell r="H3131">
            <v>-164.328158</v>
          </cell>
        </row>
        <row r="3132">
          <cell r="H3132">
            <v>-164.230073</v>
          </cell>
        </row>
        <row r="3133">
          <cell r="H3133">
            <v>-164.13218699999999</v>
          </cell>
        </row>
        <row r="3134">
          <cell r="H3134">
            <v>-164.034302</v>
          </cell>
        </row>
        <row r="3135">
          <cell r="H3135">
            <v>-163.93641700000001</v>
          </cell>
        </row>
        <row r="3136">
          <cell r="H3136">
            <v>-163.83853300000001</v>
          </cell>
        </row>
        <row r="3137">
          <cell r="H3137">
            <v>-163.74054899999999</v>
          </cell>
        </row>
        <row r="3138">
          <cell r="H3138">
            <v>-163.64266499999999</v>
          </cell>
        </row>
        <row r="3139">
          <cell r="H3139">
            <v>-163.544782</v>
          </cell>
        </row>
        <row r="3140">
          <cell r="H3140">
            <v>-163.446898</v>
          </cell>
        </row>
        <row r="3141">
          <cell r="H3141">
            <v>-163.348916</v>
          </cell>
        </row>
        <row r="3142">
          <cell r="H3142">
            <v>-163.25103300000001</v>
          </cell>
        </row>
        <row r="3143">
          <cell r="H3143">
            <v>-163.15315100000001</v>
          </cell>
        </row>
        <row r="3144">
          <cell r="H3144">
            <v>-163.05526900000001</v>
          </cell>
        </row>
        <row r="3145">
          <cell r="H3145">
            <v>-162.95728700000001</v>
          </cell>
        </row>
        <row r="3146">
          <cell r="H3146">
            <v>-162.85940599999998</v>
          </cell>
        </row>
        <row r="3147">
          <cell r="H3147">
            <v>-162.76152500000001</v>
          </cell>
        </row>
        <row r="3148">
          <cell r="H3148">
            <v>-162.66364399999998</v>
          </cell>
        </row>
        <row r="3149">
          <cell r="H3149">
            <v>-162.565663</v>
          </cell>
        </row>
        <row r="3150">
          <cell r="H3150">
            <v>-162.46768300000002</v>
          </cell>
        </row>
        <row r="3151">
          <cell r="H3151">
            <v>-162.36980299999999</v>
          </cell>
        </row>
        <row r="3152">
          <cell r="H3152">
            <v>-162.27192399999998</v>
          </cell>
        </row>
        <row r="3153">
          <cell r="H3153">
            <v>-162.173945</v>
          </cell>
        </row>
        <row r="3154">
          <cell r="H3154">
            <v>-162.07606600000003</v>
          </cell>
        </row>
        <row r="3155">
          <cell r="H3155">
            <v>-161.97818699999999</v>
          </cell>
        </row>
        <row r="3156">
          <cell r="H3156">
            <v>-161.88020900000001</v>
          </cell>
        </row>
        <row r="3157">
          <cell r="H3157">
            <v>-161.782331</v>
          </cell>
        </row>
        <row r="3158">
          <cell r="H3158">
            <v>-161.68445300000002</v>
          </cell>
        </row>
        <row r="3159">
          <cell r="H3159">
            <v>-161.58657600000001</v>
          </cell>
        </row>
        <row r="3160">
          <cell r="H3160">
            <v>-161.48859900000002</v>
          </cell>
        </row>
        <row r="3161">
          <cell r="H3161">
            <v>-161.39072200000001</v>
          </cell>
        </row>
        <row r="3162">
          <cell r="H3162">
            <v>-161.292846</v>
          </cell>
        </row>
        <row r="3163">
          <cell r="H3163">
            <v>-161.19486899999998</v>
          </cell>
        </row>
        <row r="3164">
          <cell r="H3164">
            <v>-161.096994</v>
          </cell>
        </row>
        <row r="3165">
          <cell r="H3165">
            <v>-160.99901800000001</v>
          </cell>
        </row>
        <row r="3166">
          <cell r="H3166">
            <v>-160.90114299999999</v>
          </cell>
        </row>
        <row r="3167">
          <cell r="H3167">
            <v>-160.803168</v>
          </cell>
        </row>
        <row r="3168">
          <cell r="H3168">
            <v>-160.70529299999998</v>
          </cell>
        </row>
        <row r="3169">
          <cell r="H3169">
            <v>-160.60741899999999</v>
          </cell>
        </row>
        <row r="3170">
          <cell r="H3170">
            <v>-160.509445</v>
          </cell>
        </row>
        <row r="3171">
          <cell r="H3171">
            <v>-160.41157100000001</v>
          </cell>
        </row>
        <row r="3172">
          <cell r="H3172">
            <v>-160.31369799999999</v>
          </cell>
        </row>
        <row r="3173">
          <cell r="H3173">
            <v>-160.21572499999999</v>
          </cell>
        </row>
        <row r="3174">
          <cell r="H3174">
            <v>-160.117852</v>
          </cell>
        </row>
        <row r="3175">
          <cell r="H3175">
            <v>-160.01997899999998</v>
          </cell>
        </row>
        <row r="3176">
          <cell r="H3176">
            <v>-159.92200699999998</v>
          </cell>
        </row>
        <row r="3177">
          <cell r="H3177">
            <v>-159.82413500000001</v>
          </cell>
        </row>
        <row r="3178">
          <cell r="H3178">
            <v>-159.72626399999999</v>
          </cell>
        </row>
        <row r="3179">
          <cell r="H3179">
            <v>-159.62819300000001</v>
          </cell>
        </row>
        <row r="3180">
          <cell r="H3180">
            <v>-159.53032200000001</v>
          </cell>
        </row>
        <row r="3181">
          <cell r="H3181">
            <v>-159.43245100000001</v>
          </cell>
        </row>
        <row r="3182">
          <cell r="H3182">
            <v>-159.33448099999998</v>
          </cell>
        </row>
        <row r="3183">
          <cell r="H3183">
            <v>-159.23661099999998</v>
          </cell>
        </row>
        <row r="3184">
          <cell r="H3184">
            <v>-159.13874100000001</v>
          </cell>
        </row>
        <row r="3185">
          <cell r="H3185">
            <v>-159.04077100000001</v>
          </cell>
        </row>
        <row r="3186">
          <cell r="H3186">
            <v>-158.942902</v>
          </cell>
        </row>
        <row r="3187">
          <cell r="H3187">
            <v>-158.84503400000003</v>
          </cell>
        </row>
        <row r="3188">
          <cell r="H3188">
            <v>-158.74706500000002</v>
          </cell>
        </row>
        <row r="3189">
          <cell r="H3189">
            <v>-158.64919699999999</v>
          </cell>
        </row>
        <row r="3190">
          <cell r="H3190">
            <v>-158.55132899999998</v>
          </cell>
        </row>
        <row r="3191">
          <cell r="H3191">
            <v>-158.453261</v>
          </cell>
        </row>
        <row r="3192">
          <cell r="H3192">
            <v>-158.35539399999999</v>
          </cell>
        </row>
        <row r="3193">
          <cell r="H3193">
            <v>-158.25752700000001</v>
          </cell>
        </row>
        <row r="3194">
          <cell r="H3194">
            <v>-158.15956</v>
          </cell>
        </row>
        <row r="3195">
          <cell r="H3195">
            <v>-158.06169399999999</v>
          </cell>
        </row>
        <row r="3196">
          <cell r="H3196">
            <v>-157.96382800000001</v>
          </cell>
        </row>
        <row r="3197">
          <cell r="H3197">
            <v>-157.86586200000002</v>
          </cell>
        </row>
        <row r="3198">
          <cell r="H3198">
            <v>-157.76799700000001</v>
          </cell>
        </row>
        <row r="3199">
          <cell r="H3199">
            <v>-157.67013200000002</v>
          </cell>
        </row>
        <row r="3200">
          <cell r="H3200">
            <v>-157.57216700000001</v>
          </cell>
        </row>
        <row r="3201">
          <cell r="H3201">
            <v>-157.47430199999999</v>
          </cell>
        </row>
        <row r="3202">
          <cell r="H3202">
            <v>-157.37633799999998</v>
          </cell>
        </row>
        <row r="3203">
          <cell r="H3203">
            <v>-157.27837400000001</v>
          </cell>
        </row>
        <row r="3204">
          <cell r="H3204">
            <v>-157.180511</v>
          </cell>
        </row>
        <row r="3205">
          <cell r="H3205">
            <v>-157.08254699999998</v>
          </cell>
        </row>
        <row r="3206">
          <cell r="H3206">
            <v>-156.98468399999999</v>
          </cell>
        </row>
        <row r="3207">
          <cell r="H3207">
            <v>-156.88672200000002</v>
          </cell>
        </row>
        <row r="3208">
          <cell r="H3208">
            <v>-156.788859</v>
          </cell>
        </row>
        <row r="3209">
          <cell r="H3209">
            <v>-156.69099700000001</v>
          </cell>
        </row>
        <row r="3210">
          <cell r="H3210">
            <v>-156.59303499999999</v>
          </cell>
        </row>
        <row r="3211">
          <cell r="H3211">
            <v>-156.49517399999999</v>
          </cell>
        </row>
        <row r="3212">
          <cell r="H3212">
            <v>-156.397313</v>
          </cell>
        </row>
        <row r="3213">
          <cell r="H3213">
            <v>-156.299352</v>
          </cell>
        </row>
        <row r="3214">
          <cell r="H3214">
            <v>-156.201391</v>
          </cell>
        </row>
        <row r="3215">
          <cell r="H3215">
            <v>-156.103431</v>
          </cell>
        </row>
        <row r="3216">
          <cell r="H3216">
            <v>-156.005571</v>
          </cell>
        </row>
        <row r="3217">
          <cell r="H3217">
            <v>-155.907712</v>
          </cell>
        </row>
        <row r="3218">
          <cell r="H3218">
            <v>-155.809752</v>
          </cell>
        </row>
        <row r="3219">
          <cell r="H3219">
            <v>-155.711893</v>
          </cell>
        </row>
        <row r="3220">
          <cell r="H3220">
            <v>-155.61393500000003</v>
          </cell>
        </row>
        <row r="3221">
          <cell r="H3221">
            <v>-155.516076</v>
          </cell>
        </row>
        <row r="3222">
          <cell r="H3222">
            <v>-155.41811799999999</v>
          </cell>
        </row>
        <row r="3223">
          <cell r="H3223">
            <v>-155.32026000000002</v>
          </cell>
        </row>
        <row r="3224">
          <cell r="H3224">
            <v>-155.22230300000001</v>
          </cell>
        </row>
        <row r="3225">
          <cell r="H3225">
            <v>-155.124346</v>
          </cell>
        </row>
        <row r="3226">
          <cell r="H3226">
            <v>-155.026489</v>
          </cell>
        </row>
        <row r="3227">
          <cell r="H3227">
            <v>-154.92853200000002</v>
          </cell>
        </row>
        <row r="3228">
          <cell r="H3228">
            <v>-154.83067600000001</v>
          </cell>
        </row>
        <row r="3229">
          <cell r="H3229">
            <v>-154.73272000000003</v>
          </cell>
        </row>
        <row r="3230">
          <cell r="H3230">
            <v>-154.63486399999999</v>
          </cell>
        </row>
        <row r="3231">
          <cell r="H3231">
            <v>-154.53700900000001</v>
          </cell>
        </row>
        <row r="3232">
          <cell r="H3232">
            <v>-154.439054</v>
          </cell>
        </row>
        <row r="3233">
          <cell r="H3233">
            <v>-154.34119899999999</v>
          </cell>
        </row>
        <row r="3234">
          <cell r="H3234">
            <v>-154.243145</v>
          </cell>
        </row>
        <row r="3235">
          <cell r="H3235">
            <v>-154.14529099999999</v>
          </cell>
        </row>
        <row r="3236">
          <cell r="H3236">
            <v>-154.047337</v>
          </cell>
        </row>
        <row r="3237">
          <cell r="H3237">
            <v>-153.94948299999999</v>
          </cell>
        </row>
        <row r="3238">
          <cell r="H3238">
            <v>-153.85153</v>
          </cell>
        </row>
        <row r="3239">
          <cell r="H3239">
            <v>-153.75367700000001</v>
          </cell>
        </row>
        <row r="3240">
          <cell r="H3240">
            <v>-153.65582499999999</v>
          </cell>
        </row>
        <row r="3241">
          <cell r="H3241">
            <v>-153.557873</v>
          </cell>
        </row>
        <row r="3242">
          <cell r="H3242">
            <v>-153.46002099999998</v>
          </cell>
        </row>
        <row r="3243">
          <cell r="H3243">
            <v>-153.36196899999999</v>
          </cell>
        </row>
        <row r="3244">
          <cell r="H3244">
            <v>-153.264118</v>
          </cell>
        </row>
        <row r="3245">
          <cell r="H3245">
            <v>-153.166166</v>
          </cell>
        </row>
        <row r="3246">
          <cell r="H3246">
            <v>-153.06831599999998</v>
          </cell>
        </row>
        <row r="3247">
          <cell r="H3247">
            <v>-152.97036499999999</v>
          </cell>
        </row>
        <row r="3248">
          <cell r="H3248">
            <v>-152.87251499999999</v>
          </cell>
        </row>
        <row r="3249">
          <cell r="H3249">
            <v>-152.774565</v>
          </cell>
        </row>
        <row r="3250">
          <cell r="H3250">
            <v>-152.676716</v>
          </cell>
        </row>
        <row r="3251">
          <cell r="H3251">
            <v>-152.578767</v>
          </cell>
        </row>
        <row r="3252">
          <cell r="H3252">
            <v>-152.480718</v>
          </cell>
        </row>
        <row r="3253">
          <cell r="H3253">
            <v>-152.382769</v>
          </cell>
        </row>
        <row r="3254">
          <cell r="H3254">
            <v>-152.284921</v>
          </cell>
        </row>
        <row r="3255">
          <cell r="H3255">
            <v>-152.187073</v>
          </cell>
        </row>
        <row r="3256">
          <cell r="H3256">
            <v>-152.089125</v>
          </cell>
        </row>
        <row r="3257">
          <cell r="H3257">
            <v>-151.99127800000002</v>
          </cell>
        </row>
        <row r="3258">
          <cell r="H3258">
            <v>-151.89333100000002</v>
          </cell>
        </row>
        <row r="3259">
          <cell r="H3259">
            <v>-151.79548400000002</v>
          </cell>
        </row>
        <row r="3260">
          <cell r="H3260">
            <v>-151.69753700000001</v>
          </cell>
        </row>
        <row r="3261">
          <cell r="H3261">
            <v>-151.599591</v>
          </cell>
        </row>
        <row r="3262">
          <cell r="H3262">
            <v>-151.501645</v>
          </cell>
        </row>
        <row r="3263">
          <cell r="H3263">
            <v>-151.40379999999999</v>
          </cell>
        </row>
        <row r="3264">
          <cell r="H3264">
            <v>-151.30585500000001</v>
          </cell>
        </row>
        <row r="3265">
          <cell r="H3265">
            <v>-151.20801</v>
          </cell>
        </row>
        <row r="3266">
          <cell r="H3266">
            <v>-151.11006499999999</v>
          </cell>
        </row>
        <row r="3267">
          <cell r="H3267">
            <v>-151.01222100000001</v>
          </cell>
        </row>
        <row r="3268">
          <cell r="H3268">
            <v>-150.914277</v>
          </cell>
        </row>
        <row r="3269">
          <cell r="H3269">
            <v>-150.81623300000001</v>
          </cell>
        </row>
        <row r="3270">
          <cell r="H3270">
            <v>-150.71839</v>
          </cell>
        </row>
        <row r="3271">
          <cell r="H3271">
            <v>-150.62044700000001</v>
          </cell>
        </row>
        <row r="3272">
          <cell r="H3272">
            <v>-150.522604</v>
          </cell>
        </row>
        <row r="3273">
          <cell r="H3273">
            <v>-150.42466100000001</v>
          </cell>
        </row>
        <row r="3274">
          <cell r="H3274">
            <v>-150.326819</v>
          </cell>
        </row>
        <row r="3275">
          <cell r="H3275">
            <v>-150.22887700000001</v>
          </cell>
        </row>
        <row r="3276">
          <cell r="H3276">
            <v>-150.13103599999999</v>
          </cell>
        </row>
        <row r="3277">
          <cell r="H3277">
            <v>-150.032994</v>
          </cell>
        </row>
        <row r="3278">
          <cell r="H3278">
            <v>-149.93515399999998</v>
          </cell>
        </row>
        <row r="3279">
          <cell r="H3279">
            <v>-149.83721299999999</v>
          </cell>
        </row>
        <row r="3280">
          <cell r="H3280">
            <v>-149.739373</v>
          </cell>
        </row>
        <row r="3281">
          <cell r="H3281">
            <v>-149.641333</v>
          </cell>
        </row>
        <row r="3282">
          <cell r="H3282">
            <v>-149.54349300000001</v>
          </cell>
        </row>
        <row r="3283">
          <cell r="H3283">
            <v>-149.44555299999999</v>
          </cell>
        </row>
        <row r="3284">
          <cell r="H3284">
            <v>-149.34761400000002</v>
          </cell>
        </row>
        <row r="3285">
          <cell r="H3285">
            <v>-149.249675</v>
          </cell>
        </row>
        <row r="3286">
          <cell r="H3286">
            <v>-149.151737</v>
          </cell>
        </row>
        <row r="3287">
          <cell r="H3287">
            <v>-149.053899</v>
          </cell>
        </row>
        <row r="3288">
          <cell r="H3288">
            <v>-148.955961</v>
          </cell>
        </row>
        <row r="3289">
          <cell r="H3289">
            <v>-148.85812300000003</v>
          </cell>
        </row>
        <row r="3290">
          <cell r="H3290">
            <v>-148.760186</v>
          </cell>
        </row>
        <row r="3291">
          <cell r="H3291">
            <v>-148.66234900000001</v>
          </cell>
        </row>
        <row r="3292">
          <cell r="H3292">
            <v>-148.564412</v>
          </cell>
        </row>
        <row r="3293">
          <cell r="H3293">
            <v>-148.466376</v>
          </cell>
        </row>
        <row r="3294">
          <cell r="H3294">
            <v>-148.36854</v>
          </cell>
        </row>
        <row r="3295">
          <cell r="H3295">
            <v>-148.27060399999999</v>
          </cell>
        </row>
        <row r="3296">
          <cell r="H3296">
            <v>-148.17276899999999</v>
          </cell>
        </row>
        <row r="3297">
          <cell r="H3297">
            <v>-148.07483400000001</v>
          </cell>
        </row>
        <row r="3298">
          <cell r="H3298">
            <v>-147.97699900000001</v>
          </cell>
        </row>
        <row r="3299">
          <cell r="H3299">
            <v>-147.879064</v>
          </cell>
        </row>
        <row r="3300">
          <cell r="H3300">
            <v>-147.78102999999999</v>
          </cell>
        </row>
        <row r="3301">
          <cell r="H3301">
            <v>-147.68319600000001</v>
          </cell>
        </row>
        <row r="3302">
          <cell r="H3302">
            <v>-147.58516300000002</v>
          </cell>
        </row>
        <row r="3303">
          <cell r="H3303">
            <v>-147.48732899999999</v>
          </cell>
        </row>
        <row r="3304">
          <cell r="H3304">
            <v>-147.389396</v>
          </cell>
        </row>
        <row r="3305">
          <cell r="H3305">
            <v>-147.29146399999999</v>
          </cell>
        </row>
        <row r="3306">
          <cell r="H3306">
            <v>-147.19363100000001</v>
          </cell>
        </row>
        <row r="3307">
          <cell r="H3307">
            <v>-147.09559899999999</v>
          </cell>
        </row>
        <row r="3308">
          <cell r="H3308">
            <v>-146.99776700000001</v>
          </cell>
        </row>
        <row r="3309">
          <cell r="H3309">
            <v>-146.89983599999999</v>
          </cell>
        </row>
        <row r="3310">
          <cell r="H3310">
            <v>-146.801905</v>
          </cell>
        </row>
        <row r="3311">
          <cell r="H3311">
            <v>-146.70407399999999</v>
          </cell>
        </row>
        <row r="3312">
          <cell r="H3312">
            <v>-146.606143</v>
          </cell>
        </row>
        <row r="3313">
          <cell r="H3313">
            <v>-146.50831299999999</v>
          </cell>
        </row>
        <row r="3314">
          <cell r="H3314">
            <v>-146.41028299999999</v>
          </cell>
        </row>
        <row r="3315">
          <cell r="H3315">
            <v>-146.312354</v>
          </cell>
        </row>
        <row r="3316">
          <cell r="H3316">
            <v>-146.21452399999998</v>
          </cell>
        </row>
        <row r="3317">
          <cell r="H3317">
            <v>-146.11659499999999</v>
          </cell>
        </row>
        <row r="3318">
          <cell r="H3318">
            <v>-146.018767</v>
          </cell>
        </row>
        <row r="3319">
          <cell r="H3319">
            <v>-145.920838</v>
          </cell>
        </row>
        <row r="3320">
          <cell r="H3320">
            <v>-145.82281</v>
          </cell>
        </row>
        <row r="3321">
          <cell r="H3321">
            <v>-145.72488199999998</v>
          </cell>
        </row>
        <row r="3322">
          <cell r="H3322">
            <v>-145.62695500000001</v>
          </cell>
        </row>
        <row r="3323">
          <cell r="H3323">
            <v>-145.52902799999998</v>
          </cell>
        </row>
        <row r="3324">
          <cell r="H3324">
            <v>-145.43120100000002</v>
          </cell>
        </row>
        <row r="3325">
          <cell r="H3325">
            <v>-145.33327400000002</v>
          </cell>
        </row>
        <row r="3326">
          <cell r="H3326">
            <v>-145.23544799999999</v>
          </cell>
        </row>
        <row r="3327">
          <cell r="H3327">
            <v>-145.13752199999999</v>
          </cell>
        </row>
        <row r="3328">
          <cell r="H3328">
            <v>-145.03949599999999</v>
          </cell>
        </row>
        <row r="3329">
          <cell r="H3329">
            <v>-144.94167100000001</v>
          </cell>
        </row>
        <row r="3330">
          <cell r="H3330">
            <v>-144.84374600000001</v>
          </cell>
        </row>
        <row r="3331">
          <cell r="H3331">
            <v>-144.74582100000001</v>
          </cell>
        </row>
        <row r="3332">
          <cell r="H3332">
            <v>-144.647997</v>
          </cell>
        </row>
        <row r="3333">
          <cell r="H3333">
            <v>-144.550073</v>
          </cell>
        </row>
        <row r="3334">
          <cell r="H3334">
            <v>-144.45204899999999</v>
          </cell>
        </row>
        <row r="3335">
          <cell r="H3335">
            <v>-144.35422599999998</v>
          </cell>
        </row>
        <row r="3336">
          <cell r="H3336">
            <v>-144.256202</v>
          </cell>
        </row>
        <row r="3337">
          <cell r="H3337">
            <v>-144.15828000000002</v>
          </cell>
        </row>
        <row r="3338">
          <cell r="H3338">
            <v>-144.06045700000001</v>
          </cell>
        </row>
        <row r="3339">
          <cell r="H3339">
            <v>-143.962535</v>
          </cell>
        </row>
        <row r="3340">
          <cell r="H3340">
            <v>-143.86461300000002</v>
          </cell>
        </row>
        <row r="3341">
          <cell r="H3341">
            <v>-143.76669099999998</v>
          </cell>
        </row>
        <row r="3342">
          <cell r="H3342">
            <v>-143.66876999999999</v>
          </cell>
        </row>
        <row r="3343">
          <cell r="H3343">
            <v>-143.57084900000001</v>
          </cell>
        </row>
        <row r="3344">
          <cell r="H3344">
            <v>-143.473028</v>
          </cell>
        </row>
        <row r="3345">
          <cell r="H3345">
            <v>-143.37510699999999</v>
          </cell>
        </row>
        <row r="3346">
          <cell r="H3346">
            <v>-143.277187</v>
          </cell>
        </row>
        <row r="3347">
          <cell r="H3347">
            <v>-143.17926800000001</v>
          </cell>
        </row>
        <row r="3348">
          <cell r="H3348">
            <v>-143.08134799999999</v>
          </cell>
        </row>
        <row r="3349">
          <cell r="H3349">
            <v>-142.983429</v>
          </cell>
        </row>
        <row r="3350">
          <cell r="H3350">
            <v>-142.88551000000001</v>
          </cell>
        </row>
        <row r="3351">
          <cell r="H3351">
            <v>-142.78759099999999</v>
          </cell>
        </row>
        <row r="3352">
          <cell r="H3352">
            <v>-142.68967300000003</v>
          </cell>
        </row>
        <row r="3353">
          <cell r="H3353">
            <v>-142.59175500000001</v>
          </cell>
        </row>
        <row r="3354">
          <cell r="H3354">
            <v>-142.49383700000001</v>
          </cell>
        </row>
        <row r="3355">
          <cell r="H3355">
            <v>-142.39591999999999</v>
          </cell>
        </row>
        <row r="3356">
          <cell r="H3356">
            <v>-142.29800299999999</v>
          </cell>
        </row>
        <row r="3357">
          <cell r="H3357">
            <v>-142.200186</v>
          </cell>
        </row>
        <row r="3358">
          <cell r="H3358">
            <v>-142.10227</v>
          </cell>
        </row>
        <row r="3359">
          <cell r="H3359">
            <v>-142.004254</v>
          </cell>
        </row>
        <row r="3360">
          <cell r="H3360">
            <v>-141.90643800000001</v>
          </cell>
        </row>
        <row r="3361">
          <cell r="H3361">
            <v>-141.80852200000001</v>
          </cell>
        </row>
        <row r="3362">
          <cell r="H3362">
            <v>-141.71060699999998</v>
          </cell>
        </row>
        <row r="3363">
          <cell r="H3363">
            <v>-141.61269199999998</v>
          </cell>
        </row>
        <row r="3364">
          <cell r="H3364">
            <v>-141.51477699999998</v>
          </cell>
        </row>
        <row r="3365">
          <cell r="H3365">
            <v>-141.416763</v>
          </cell>
        </row>
        <row r="3366">
          <cell r="H3366">
            <v>-141.318849</v>
          </cell>
        </row>
        <row r="3367">
          <cell r="H3367">
            <v>-141.221035</v>
          </cell>
        </row>
        <row r="3368">
          <cell r="H3368">
            <v>-141.123122</v>
          </cell>
        </row>
        <row r="3369">
          <cell r="H3369">
            <v>-141.02520900000002</v>
          </cell>
        </row>
        <row r="3370">
          <cell r="H3370">
            <v>-140.92729600000001</v>
          </cell>
        </row>
        <row r="3371">
          <cell r="H3371">
            <v>-140.829384</v>
          </cell>
        </row>
        <row r="3372">
          <cell r="H3372">
            <v>-140.731472</v>
          </cell>
        </row>
        <row r="3373">
          <cell r="H3373">
            <v>-140.63356000000002</v>
          </cell>
        </row>
        <row r="3374">
          <cell r="H3374">
            <v>-140.53574800000001</v>
          </cell>
        </row>
        <row r="3375">
          <cell r="H3375">
            <v>-140.437737</v>
          </cell>
        </row>
        <row r="3376">
          <cell r="H3376">
            <v>-140.33972600000001</v>
          </cell>
        </row>
        <row r="3377">
          <cell r="H3377">
            <v>-140.241815</v>
          </cell>
        </row>
        <row r="3378">
          <cell r="H3378">
            <v>-140.14400500000002</v>
          </cell>
        </row>
        <row r="3379">
          <cell r="H3379">
            <v>-140.04609500000001</v>
          </cell>
        </row>
        <row r="3380">
          <cell r="H3380">
            <v>-139.948185</v>
          </cell>
        </row>
        <row r="3381">
          <cell r="H3381">
            <v>-139.85027599999998</v>
          </cell>
        </row>
        <row r="3382">
          <cell r="H3382">
            <v>-139.75236699999999</v>
          </cell>
        </row>
        <row r="3383">
          <cell r="H3383">
            <v>-139.65445800000001</v>
          </cell>
        </row>
        <row r="3384">
          <cell r="H3384">
            <v>-139.55654899999999</v>
          </cell>
        </row>
        <row r="3385">
          <cell r="H3385">
            <v>-139.458641</v>
          </cell>
        </row>
        <row r="3386">
          <cell r="H3386">
            <v>-139.36073300000001</v>
          </cell>
        </row>
        <row r="3387">
          <cell r="H3387">
            <v>-139.26272599999999</v>
          </cell>
        </row>
        <row r="3388">
          <cell r="H3388">
            <v>-139.16481899999999</v>
          </cell>
        </row>
        <row r="3389">
          <cell r="H3389">
            <v>-139.066912</v>
          </cell>
        </row>
        <row r="3390">
          <cell r="H3390">
            <v>-138.96900499999998</v>
          </cell>
        </row>
        <row r="3391">
          <cell r="H3391">
            <v>-138.87119900000002</v>
          </cell>
        </row>
        <row r="3392">
          <cell r="H3392">
            <v>-138.773293</v>
          </cell>
        </row>
        <row r="3393">
          <cell r="H3393">
            <v>-138.675287</v>
          </cell>
        </row>
        <row r="3394">
          <cell r="H3394">
            <v>-138.577381</v>
          </cell>
        </row>
        <row r="3395">
          <cell r="H3395">
            <v>-138.47957600000001</v>
          </cell>
        </row>
        <row r="3396">
          <cell r="H3396">
            <v>-138.38167099999998</v>
          </cell>
        </row>
        <row r="3397">
          <cell r="H3397">
            <v>-138.28366700000001</v>
          </cell>
        </row>
        <row r="3398">
          <cell r="H3398">
            <v>-138.18566300000001</v>
          </cell>
        </row>
        <row r="3399">
          <cell r="H3399">
            <v>-138.08775900000001</v>
          </cell>
        </row>
        <row r="3400">
          <cell r="H3400">
            <v>-137.98995500000001</v>
          </cell>
        </row>
        <row r="3401">
          <cell r="H3401">
            <v>-137.89205199999998</v>
          </cell>
        </row>
        <row r="3402">
          <cell r="H3402">
            <v>-137.794149</v>
          </cell>
        </row>
        <row r="3403">
          <cell r="H3403">
            <v>-137.696246</v>
          </cell>
        </row>
        <row r="3404">
          <cell r="H3404">
            <v>-137.59824399999999</v>
          </cell>
        </row>
        <row r="3405">
          <cell r="H3405">
            <v>-137.50044199999999</v>
          </cell>
        </row>
        <row r="3406">
          <cell r="H3406">
            <v>-137.40254000000002</v>
          </cell>
        </row>
        <row r="3407">
          <cell r="H3407">
            <v>-137.30453900000001</v>
          </cell>
        </row>
        <row r="3408">
          <cell r="H3408">
            <v>-137.206638</v>
          </cell>
        </row>
        <row r="3409">
          <cell r="H3409">
            <v>-137.10863699999999</v>
          </cell>
        </row>
        <row r="3410">
          <cell r="H3410">
            <v>-137.01083599999998</v>
          </cell>
        </row>
        <row r="3411">
          <cell r="H3411">
            <v>-136.912936</v>
          </cell>
        </row>
        <row r="3412">
          <cell r="H3412">
            <v>-136.81503609999999</v>
          </cell>
        </row>
        <row r="3413">
          <cell r="H3413">
            <v>-136.71713650000001</v>
          </cell>
        </row>
        <row r="3414">
          <cell r="H3414">
            <v>-136.61913720000001</v>
          </cell>
        </row>
        <row r="3415">
          <cell r="H3415">
            <v>-136.5212382</v>
          </cell>
        </row>
        <row r="3416">
          <cell r="H3416">
            <v>-136.4234395</v>
          </cell>
        </row>
        <row r="3417">
          <cell r="H3417">
            <v>-136.32544110000001</v>
          </cell>
        </row>
        <row r="3418">
          <cell r="H3418">
            <v>-136.227543</v>
          </cell>
        </row>
        <row r="3419">
          <cell r="H3419">
            <v>-136.12954529999999</v>
          </cell>
        </row>
        <row r="3420">
          <cell r="H3420">
            <v>-136.0316478</v>
          </cell>
        </row>
        <row r="3421">
          <cell r="H3421">
            <v>-135.93375070000002</v>
          </cell>
        </row>
        <row r="3422">
          <cell r="H3422">
            <v>-135.8359538</v>
          </cell>
        </row>
        <row r="3423">
          <cell r="H3423">
            <v>-135.73805730000001</v>
          </cell>
        </row>
        <row r="3424">
          <cell r="H3424">
            <v>-135.640061</v>
          </cell>
        </row>
        <row r="3425">
          <cell r="H3425">
            <v>-135.54216510000001</v>
          </cell>
        </row>
        <row r="3426">
          <cell r="H3426">
            <v>-135.44426949999999</v>
          </cell>
        </row>
        <row r="3427">
          <cell r="H3427">
            <v>-135.34627409999999</v>
          </cell>
        </row>
        <row r="3428">
          <cell r="H3428">
            <v>-135.24837909999999</v>
          </cell>
        </row>
        <row r="3429">
          <cell r="H3429">
            <v>-135.15048440000001</v>
          </cell>
        </row>
        <row r="3430">
          <cell r="H3430">
            <v>-135.05258999999998</v>
          </cell>
        </row>
        <row r="3431">
          <cell r="H3431">
            <v>-134.95469589999999</v>
          </cell>
        </row>
        <row r="3432">
          <cell r="H3432">
            <v>-134.85680210000001</v>
          </cell>
        </row>
        <row r="3433">
          <cell r="H3433">
            <v>-134.75890870000001</v>
          </cell>
        </row>
        <row r="3434">
          <cell r="H3434">
            <v>-134.66091549999999</v>
          </cell>
        </row>
        <row r="3435">
          <cell r="H3435">
            <v>-134.56292260000001</v>
          </cell>
        </row>
        <row r="3436">
          <cell r="H3436">
            <v>-134.46513010000001</v>
          </cell>
        </row>
        <row r="3437">
          <cell r="H3437">
            <v>-134.3672378</v>
          </cell>
        </row>
        <row r="3438">
          <cell r="H3438">
            <v>-134.26934590000002</v>
          </cell>
        </row>
        <row r="3439">
          <cell r="H3439">
            <v>-134.1713542</v>
          </cell>
        </row>
        <row r="3440">
          <cell r="H3440">
            <v>-134.07346290000001</v>
          </cell>
        </row>
        <row r="3441">
          <cell r="H3441">
            <v>-133.97557180000001</v>
          </cell>
        </row>
        <row r="3442">
          <cell r="H3442">
            <v>-133.87768109999999</v>
          </cell>
        </row>
        <row r="3443">
          <cell r="H3443">
            <v>-133.7796907</v>
          </cell>
        </row>
        <row r="3444">
          <cell r="H3444">
            <v>-133.6818006</v>
          </cell>
        </row>
        <row r="3445">
          <cell r="H3445">
            <v>-133.58391080000001</v>
          </cell>
        </row>
        <row r="3446">
          <cell r="H3446">
            <v>-133.4860213</v>
          </cell>
        </row>
        <row r="3447">
          <cell r="H3447">
            <v>-133.38813210000001</v>
          </cell>
        </row>
        <row r="3448">
          <cell r="H3448">
            <v>-133.29014319999999</v>
          </cell>
        </row>
        <row r="3449">
          <cell r="H3449">
            <v>-133.19225460000001</v>
          </cell>
        </row>
        <row r="3450">
          <cell r="H3450">
            <v>-133.09436629999999</v>
          </cell>
        </row>
        <row r="3451">
          <cell r="H3451">
            <v>-132.9964784</v>
          </cell>
        </row>
        <row r="3452">
          <cell r="H3452">
            <v>-132.8984907</v>
          </cell>
        </row>
        <row r="3453">
          <cell r="H3453">
            <v>-132.8005034</v>
          </cell>
        </row>
        <row r="3454">
          <cell r="H3454">
            <v>-132.70271629999999</v>
          </cell>
        </row>
        <row r="3455">
          <cell r="H3455">
            <v>-132.60482959999999</v>
          </cell>
        </row>
        <row r="3456">
          <cell r="H3456">
            <v>-132.5069431</v>
          </cell>
        </row>
        <row r="3457">
          <cell r="H3457">
            <v>-132.40895699999999</v>
          </cell>
        </row>
        <row r="3458">
          <cell r="H3458">
            <v>-132.31107119999999</v>
          </cell>
        </row>
        <row r="3459">
          <cell r="H3459">
            <v>-132.2131857</v>
          </cell>
        </row>
        <row r="3460">
          <cell r="H3460">
            <v>-132.11530049999999</v>
          </cell>
        </row>
        <row r="3461">
          <cell r="H3461">
            <v>-132.0173155</v>
          </cell>
        </row>
        <row r="3462">
          <cell r="H3462">
            <v>-131.919331</v>
          </cell>
        </row>
        <row r="3463">
          <cell r="H3463">
            <v>-131.8214467</v>
          </cell>
        </row>
        <row r="3464">
          <cell r="H3464">
            <v>-131.7235627</v>
          </cell>
        </row>
        <row r="3465">
          <cell r="H3465">
            <v>-131.62567899999999</v>
          </cell>
        </row>
        <row r="3466">
          <cell r="H3466">
            <v>-131.52779560000002</v>
          </cell>
        </row>
        <row r="3467">
          <cell r="H3467">
            <v>-131.42991259999999</v>
          </cell>
        </row>
        <row r="3468">
          <cell r="H3468">
            <v>-131.33192980000001</v>
          </cell>
        </row>
        <row r="3469">
          <cell r="H3469">
            <v>-131.23404729999999</v>
          </cell>
        </row>
        <row r="3470">
          <cell r="H3470">
            <v>-131.13616519999999</v>
          </cell>
        </row>
        <row r="3471">
          <cell r="H3471">
            <v>-131.03818339999998</v>
          </cell>
        </row>
        <row r="3472">
          <cell r="H3472">
            <v>-130.94030180000001</v>
          </cell>
        </row>
        <row r="3473">
          <cell r="H3473">
            <v>-130.8424206</v>
          </cell>
        </row>
        <row r="3474">
          <cell r="H3474">
            <v>-130.74453969999999</v>
          </cell>
        </row>
        <row r="3475">
          <cell r="H3475">
            <v>-130.64655909999999</v>
          </cell>
        </row>
        <row r="3476">
          <cell r="H3476">
            <v>-130.54857870000001</v>
          </cell>
        </row>
        <row r="3477">
          <cell r="H3477">
            <v>-130.45069869999998</v>
          </cell>
        </row>
        <row r="3478">
          <cell r="H3478">
            <v>-130.35281899999998</v>
          </cell>
        </row>
        <row r="3479">
          <cell r="H3479">
            <v>-130.25493969999999</v>
          </cell>
        </row>
        <row r="3480">
          <cell r="H3480">
            <v>-130.15696059999999</v>
          </cell>
        </row>
        <row r="3481">
          <cell r="H3481">
            <v>-130.0590818</v>
          </cell>
        </row>
        <row r="3482">
          <cell r="H3482">
            <v>-129.96120329999999</v>
          </cell>
        </row>
        <row r="3483">
          <cell r="H3483">
            <v>-129.86332520000002</v>
          </cell>
        </row>
        <row r="3484">
          <cell r="H3484">
            <v>-129.7652473</v>
          </cell>
        </row>
        <row r="3485">
          <cell r="H3485">
            <v>-129.66736969999999</v>
          </cell>
        </row>
        <row r="3486">
          <cell r="H3486">
            <v>-129.5694925</v>
          </cell>
        </row>
        <row r="3487">
          <cell r="H3487">
            <v>-129.47161560000001</v>
          </cell>
        </row>
        <row r="3488">
          <cell r="H3488">
            <v>-129.3736389</v>
          </cell>
        </row>
        <row r="3489">
          <cell r="H3489">
            <v>-129.27576260000001</v>
          </cell>
        </row>
        <row r="3490">
          <cell r="H3490">
            <v>-129.1779866</v>
          </cell>
        </row>
        <row r="3491">
          <cell r="H3491">
            <v>-129.08001090000002</v>
          </cell>
        </row>
        <row r="3492">
          <cell r="H3492">
            <v>-128.9821355</v>
          </cell>
        </row>
        <row r="3493">
          <cell r="H3493">
            <v>-128.88416039999998</v>
          </cell>
        </row>
        <row r="3494">
          <cell r="H3494">
            <v>-128.78628560000001</v>
          </cell>
        </row>
        <row r="3495">
          <cell r="H3495">
            <v>-128.6884111</v>
          </cell>
        </row>
        <row r="3496">
          <cell r="H3496">
            <v>-128.59053689999999</v>
          </cell>
        </row>
        <row r="3497">
          <cell r="H3497">
            <v>-128.49256299999999</v>
          </cell>
        </row>
        <row r="3498">
          <cell r="H3498">
            <v>-128.3945894</v>
          </cell>
        </row>
        <row r="3499">
          <cell r="H3499">
            <v>-128.29671619999999</v>
          </cell>
        </row>
        <row r="3500">
          <cell r="H3500">
            <v>-128.1988432</v>
          </cell>
        </row>
        <row r="3501">
          <cell r="H3501">
            <v>-128.10087060000001</v>
          </cell>
        </row>
        <row r="3502">
          <cell r="H3502">
            <v>-128.00299820000001</v>
          </cell>
        </row>
        <row r="3503">
          <cell r="H3503">
            <v>-127.9051262</v>
          </cell>
        </row>
        <row r="3504">
          <cell r="H3504">
            <v>-127.8072545</v>
          </cell>
        </row>
        <row r="3505">
          <cell r="H3505">
            <v>-127.70908299999999</v>
          </cell>
        </row>
        <row r="3506">
          <cell r="H3506">
            <v>-127.6112119</v>
          </cell>
        </row>
        <row r="3507">
          <cell r="H3507">
            <v>-127.51334109999999</v>
          </cell>
        </row>
        <row r="3508">
          <cell r="H3508">
            <v>-127.41547059999999</v>
          </cell>
        </row>
        <row r="3509">
          <cell r="H3509">
            <v>-127.31750039999999</v>
          </cell>
        </row>
        <row r="3510">
          <cell r="H3510">
            <v>-127.21963049999999</v>
          </cell>
        </row>
        <row r="3511">
          <cell r="H3511">
            <v>-127.1217609</v>
          </cell>
        </row>
        <row r="3512">
          <cell r="H3512">
            <v>-127.02379160000001</v>
          </cell>
        </row>
        <row r="3513">
          <cell r="H3513">
            <v>-126.9258227</v>
          </cell>
        </row>
        <row r="3514">
          <cell r="H3514">
            <v>-126.82795400000001</v>
          </cell>
        </row>
        <row r="3515">
          <cell r="H3515">
            <v>-126.7300856</v>
          </cell>
        </row>
        <row r="3516">
          <cell r="H3516">
            <v>-126.6322176</v>
          </cell>
        </row>
        <row r="3517">
          <cell r="H3517">
            <v>-126.5342498</v>
          </cell>
        </row>
        <row r="3518">
          <cell r="H3518">
            <v>-126.43628240000001</v>
          </cell>
        </row>
        <row r="3519">
          <cell r="H3519">
            <v>-126.33841520000001</v>
          </cell>
        </row>
        <row r="3520">
          <cell r="H3520">
            <v>-126.24054839999999</v>
          </cell>
        </row>
        <row r="3521">
          <cell r="H3521">
            <v>-126.14258190000001</v>
          </cell>
        </row>
        <row r="3522">
          <cell r="H3522">
            <v>-126.04471570000001</v>
          </cell>
        </row>
        <row r="3523">
          <cell r="H3523">
            <v>-125.9468498</v>
          </cell>
        </row>
        <row r="3524">
          <cell r="H3524">
            <v>-125.84898419999999</v>
          </cell>
        </row>
        <row r="3525">
          <cell r="H3525">
            <v>-125.75091890000002</v>
          </cell>
        </row>
        <row r="3526">
          <cell r="H3526">
            <v>-125.65305389999999</v>
          </cell>
        </row>
        <row r="3527">
          <cell r="H3527">
            <v>-125.5551892</v>
          </cell>
        </row>
        <row r="3528">
          <cell r="H3528">
            <v>-125.45732480000001</v>
          </cell>
        </row>
        <row r="3529">
          <cell r="H3529">
            <v>-125.35926069999999</v>
          </cell>
        </row>
        <row r="3530">
          <cell r="H3530">
            <v>-125.26139699999999</v>
          </cell>
        </row>
        <row r="3531">
          <cell r="H3531">
            <v>-125.1634335</v>
          </cell>
        </row>
        <row r="3532">
          <cell r="H3532">
            <v>-125.06557029999999</v>
          </cell>
        </row>
        <row r="3533">
          <cell r="H3533">
            <v>-124.9676075</v>
          </cell>
        </row>
        <row r="3534">
          <cell r="H3534">
            <v>-124.86974499999999</v>
          </cell>
        </row>
        <row r="3535">
          <cell r="H3535">
            <v>-124.77188270000001</v>
          </cell>
        </row>
        <row r="3536">
          <cell r="H3536">
            <v>-124.67402079999999</v>
          </cell>
        </row>
        <row r="3537">
          <cell r="H3537">
            <v>-124.57595918</v>
          </cell>
        </row>
        <row r="3538">
          <cell r="H3538">
            <v>-124.47809785999999</v>
          </cell>
        </row>
        <row r="3539">
          <cell r="H3539">
            <v>-124.38023685</v>
          </cell>
        </row>
        <row r="3540">
          <cell r="H3540">
            <v>-124.28237615</v>
          </cell>
        </row>
        <row r="3541">
          <cell r="H3541">
            <v>-124.18441576000001</v>
          </cell>
        </row>
        <row r="3542">
          <cell r="H3542">
            <v>-124.08645566999999</v>
          </cell>
        </row>
        <row r="3543">
          <cell r="H3543">
            <v>-123.98849588</v>
          </cell>
        </row>
        <row r="3544">
          <cell r="H3544">
            <v>-123.89063641000001</v>
          </cell>
        </row>
        <row r="3545">
          <cell r="H3545">
            <v>-123.79267723999999</v>
          </cell>
        </row>
        <row r="3546">
          <cell r="H3546">
            <v>-123.69481837000001</v>
          </cell>
        </row>
        <row r="3547">
          <cell r="H3547">
            <v>-123.59695981</v>
          </cell>
        </row>
        <row r="3548">
          <cell r="H3548">
            <v>-123.49900156</v>
          </cell>
        </row>
        <row r="3549">
          <cell r="H3549">
            <v>-123.40104361900001</v>
          </cell>
        </row>
        <row r="3550">
          <cell r="H3550">
            <v>-123.30318598140001</v>
          </cell>
        </row>
        <row r="3551">
          <cell r="H3551">
            <v>-123.205228651</v>
          </cell>
        </row>
        <row r="3552">
          <cell r="H3552">
            <v>-123.10727162000001</v>
          </cell>
        </row>
        <row r="3553">
          <cell r="H3553">
            <v>-123.0094149</v>
          </cell>
        </row>
        <row r="3554">
          <cell r="H3554">
            <v>-122.91155848999999</v>
          </cell>
        </row>
        <row r="3555">
          <cell r="H3555">
            <v>-122.81360239</v>
          </cell>
        </row>
        <row r="3556">
          <cell r="H3556">
            <v>-122.71564658999999</v>
          </cell>
        </row>
        <row r="3557">
          <cell r="H3557">
            <v>-122.61779109</v>
          </cell>
        </row>
        <row r="3558">
          <cell r="H3558">
            <v>-122.51993591</v>
          </cell>
        </row>
        <row r="3559">
          <cell r="H3559">
            <v>-122.42208102000001</v>
          </cell>
        </row>
        <row r="3560">
          <cell r="H3560">
            <v>-122.32402644999999</v>
          </cell>
        </row>
        <row r="3561">
          <cell r="H3561">
            <v>-122.22607218</v>
          </cell>
        </row>
        <row r="3562">
          <cell r="H3562">
            <v>-122.12821822000001</v>
          </cell>
        </row>
        <row r="3563">
          <cell r="H3563">
            <v>-122.03026456999999</v>
          </cell>
        </row>
        <row r="3564">
          <cell r="H3564">
            <v>-121.93241119999999</v>
          </cell>
        </row>
        <row r="3565">
          <cell r="H3565">
            <v>-121.83455819999999</v>
          </cell>
        </row>
        <row r="3566">
          <cell r="H3566">
            <v>-121.73670540000001</v>
          </cell>
        </row>
        <row r="3567">
          <cell r="H3567">
            <v>-121.638553</v>
          </cell>
        </row>
        <row r="3568">
          <cell r="H3568">
            <v>-121.54070089999999</v>
          </cell>
        </row>
        <row r="3569">
          <cell r="H3569">
            <v>-121.44284909999999</v>
          </cell>
        </row>
        <row r="3570">
          <cell r="H3570">
            <v>-121.3449976</v>
          </cell>
        </row>
        <row r="3571">
          <cell r="H3571">
            <v>-121.24704639999999</v>
          </cell>
        </row>
        <row r="3572">
          <cell r="H3572">
            <v>-121.1491955</v>
          </cell>
        </row>
        <row r="3573">
          <cell r="H3573">
            <v>-121.0511449</v>
          </cell>
        </row>
        <row r="3574">
          <cell r="H3574">
            <v>-120.9531946</v>
          </cell>
        </row>
        <row r="3575">
          <cell r="H3575">
            <v>-120.8553446</v>
          </cell>
        </row>
        <row r="3576">
          <cell r="H3576">
            <v>-120.7574949</v>
          </cell>
        </row>
        <row r="3577">
          <cell r="H3577">
            <v>-120.65964560000002</v>
          </cell>
        </row>
        <row r="3578">
          <cell r="H3578">
            <v>-120.56159650000001</v>
          </cell>
        </row>
        <row r="3579">
          <cell r="H3579">
            <v>-120.4636478</v>
          </cell>
        </row>
        <row r="3580">
          <cell r="H3580">
            <v>-120.36579930000002</v>
          </cell>
        </row>
        <row r="3581">
          <cell r="H3581">
            <v>-120.26785120000001</v>
          </cell>
        </row>
        <row r="3582">
          <cell r="H3582">
            <v>-120.17000330000002</v>
          </cell>
        </row>
        <row r="3583">
          <cell r="H3583">
            <v>-120.0721558</v>
          </cell>
        </row>
        <row r="3584">
          <cell r="H3584">
            <v>-119.9742086</v>
          </cell>
        </row>
        <row r="3585">
          <cell r="H3585">
            <v>-119.87616170000001</v>
          </cell>
        </row>
        <row r="3586">
          <cell r="H3586">
            <v>-119.77831510000001</v>
          </cell>
        </row>
        <row r="3587">
          <cell r="H3587">
            <v>-119.68046879999999</v>
          </cell>
        </row>
        <row r="3588">
          <cell r="H3588">
            <v>-119.58252280000001</v>
          </cell>
        </row>
        <row r="3589">
          <cell r="H3589">
            <v>-119.4845771</v>
          </cell>
        </row>
        <row r="3590">
          <cell r="H3590">
            <v>-119.3866317</v>
          </cell>
        </row>
        <row r="3591">
          <cell r="H3591">
            <v>-119.28878659999998</v>
          </cell>
        </row>
        <row r="3592">
          <cell r="H3592">
            <v>-119.1908419</v>
          </cell>
        </row>
        <row r="3593">
          <cell r="H3593">
            <v>-119.0929974</v>
          </cell>
        </row>
        <row r="3594">
          <cell r="H3594">
            <v>-118.99505319999999</v>
          </cell>
        </row>
        <row r="3595">
          <cell r="H3595">
            <v>-118.8970094</v>
          </cell>
        </row>
        <row r="3596">
          <cell r="H3596">
            <v>-118.79916589999999</v>
          </cell>
        </row>
        <row r="3597">
          <cell r="H3597">
            <v>-118.7013226</v>
          </cell>
        </row>
        <row r="3598">
          <cell r="H3598">
            <v>-118.60347969999999</v>
          </cell>
        </row>
        <row r="3599">
          <cell r="H3599">
            <v>-118.5055371</v>
          </cell>
        </row>
        <row r="3600">
          <cell r="H3600">
            <v>-118.4074947</v>
          </cell>
        </row>
        <row r="3601">
          <cell r="H3601">
            <v>-118.3096527</v>
          </cell>
        </row>
        <row r="3602">
          <cell r="H3602">
            <v>-118.21171100000001</v>
          </cell>
        </row>
        <row r="3603">
          <cell r="H3603">
            <v>-118.11386959999999</v>
          </cell>
        </row>
        <row r="3604">
          <cell r="H3604">
            <v>-118.0159285</v>
          </cell>
        </row>
        <row r="3605">
          <cell r="H3605">
            <v>-117.91798780000002</v>
          </cell>
        </row>
        <row r="3606">
          <cell r="H3606">
            <v>-117.82004729999998</v>
          </cell>
        </row>
        <row r="3607">
          <cell r="H3607">
            <v>-117.72220709999999</v>
          </cell>
        </row>
        <row r="3608">
          <cell r="H3608">
            <v>-117.62436719999999</v>
          </cell>
        </row>
        <row r="3609">
          <cell r="H3609">
            <v>-117.5263277</v>
          </cell>
        </row>
        <row r="3610">
          <cell r="H3610">
            <v>-117.4283884</v>
          </cell>
        </row>
        <row r="3611">
          <cell r="H3611">
            <v>-117.3305495</v>
          </cell>
        </row>
        <row r="3612">
          <cell r="H3612">
            <v>-117.23261079999999</v>
          </cell>
        </row>
        <row r="3613">
          <cell r="H3613">
            <v>-117.13467249999999</v>
          </cell>
        </row>
        <row r="3614">
          <cell r="H3614">
            <v>-117.0368345</v>
          </cell>
        </row>
        <row r="3615">
          <cell r="H3615">
            <v>-116.93889679999999</v>
          </cell>
        </row>
        <row r="3616">
          <cell r="H3616">
            <v>-116.84095930000001</v>
          </cell>
        </row>
        <row r="3617">
          <cell r="H3617">
            <v>-116.7430222</v>
          </cell>
        </row>
        <row r="3618">
          <cell r="H3618">
            <v>-116.6451854</v>
          </cell>
        </row>
        <row r="3619">
          <cell r="H3619">
            <v>-116.5472489</v>
          </cell>
        </row>
        <row r="3620">
          <cell r="H3620">
            <v>-116.4493128</v>
          </cell>
        </row>
        <row r="3621">
          <cell r="H3621">
            <v>-116.35137690000002</v>
          </cell>
        </row>
        <row r="3622">
          <cell r="H3622">
            <v>-116.25344130000001</v>
          </cell>
        </row>
        <row r="3623">
          <cell r="H3623">
            <v>-116.15560600000001</v>
          </cell>
        </row>
        <row r="3624">
          <cell r="H3624">
            <v>-116.05777110000001</v>
          </cell>
        </row>
        <row r="3625">
          <cell r="H3625">
            <v>-115.95973640000001</v>
          </cell>
        </row>
        <row r="3626">
          <cell r="H3626">
            <v>-115.86180210000001</v>
          </cell>
        </row>
        <row r="3627">
          <cell r="H3627">
            <v>-115.76396800000001</v>
          </cell>
        </row>
        <row r="3628">
          <cell r="H3628">
            <v>-115.66603430000001</v>
          </cell>
        </row>
        <row r="3629">
          <cell r="H3629">
            <v>-115.56810080000001</v>
          </cell>
        </row>
        <row r="3630">
          <cell r="H3630">
            <v>-115.4701677</v>
          </cell>
        </row>
        <row r="3631">
          <cell r="H3631">
            <v>-115.3723349</v>
          </cell>
        </row>
        <row r="3632">
          <cell r="H3632">
            <v>-115.2743024</v>
          </cell>
        </row>
        <row r="3633">
          <cell r="H3633">
            <v>-115.17647019999998</v>
          </cell>
        </row>
        <row r="3634">
          <cell r="H3634">
            <v>-115.07863829999999</v>
          </cell>
        </row>
        <row r="3635">
          <cell r="H3635">
            <v>-114.98050670000001</v>
          </cell>
        </row>
        <row r="3636">
          <cell r="H3636">
            <v>-114.88267539999998</v>
          </cell>
        </row>
        <row r="3637">
          <cell r="H3637">
            <v>-114.7848444</v>
          </cell>
        </row>
        <row r="3638">
          <cell r="H3638">
            <v>-114.68701379999999</v>
          </cell>
        </row>
        <row r="3639">
          <cell r="H3639">
            <v>-114.58898339999999</v>
          </cell>
        </row>
        <row r="3640">
          <cell r="H3640">
            <v>-114.4910533</v>
          </cell>
        </row>
        <row r="3641">
          <cell r="H3641">
            <v>-114.3932236</v>
          </cell>
        </row>
        <row r="3642">
          <cell r="H3642">
            <v>-114.2951941</v>
          </cell>
        </row>
        <row r="3643">
          <cell r="H3643">
            <v>-114.19736499999999</v>
          </cell>
        </row>
        <row r="3644">
          <cell r="H3644">
            <v>-114.0994362</v>
          </cell>
        </row>
        <row r="3645">
          <cell r="H3645">
            <v>-114.00140759999999</v>
          </cell>
        </row>
        <row r="3646">
          <cell r="H3646">
            <v>-113.9035794</v>
          </cell>
        </row>
        <row r="3647">
          <cell r="H3647">
            <v>-113.80575150000001</v>
          </cell>
        </row>
        <row r="3648">
          <cell r="H3648">
            <v>-113.7077239</v>
          </cell>
        </row>
        <row r="3649">
          <cell r="H3649">
            <v>-113.60979660000001</v>
          </cell>
        </row>
        <row r="3650">
          <cell r="H3650">
            <v>-113.5119696</v>
          </cell>
        </row>
        <row r="3651">
          <cell r="H3651">
            <v>-113.4139429</v>
          </cell>
        </row>
        <row r="3652">
          <cell r="H3652">
            <v>-113.31611649999999</v>
          </cell>
        </row>
        <row r="3653">
          <cell r="H3653">
            <v>-113.21829049999999</v>
          </cell>
        </row>
        <row r="3654">
          <cell r="H3654">
            <v>-113.12026469999998</v>
          </cell>
        </row>
        <row r="3655">
          <cell r="H3655">
            <v>-113.0223392</v>
          </cell>
        </row>
        <row r="3656">
          <cell r="H3656">
            <v>-112.9245141</v>
          </cell>
        </row>
        <row r="3657">
          <cell r="H3657">
            <v>-112.8265892</v>
          </cell>
        </row>
        <row r="3658">
          <cell r="H3658">
            <v>-112.72856469999999</v>
          </cell>
        </row>
        <row r="3659">
          <cell r="H3659">
            <v>-112.63074040000001</v>
          </cell>
        </row>
        <row r="3660">
          <cell r="H3660">
            <v>-112.5328165</v>
          </cell>
        </row>
        <row r="3661">
          <cell r="H3661">
            <v>-112.43489289999999</v>
          </cell>
        </row>
        <row r="3662">
          <cell r="H3662">
            <v>-112.33706960000001</v>
          </cell>
        </row>
        <row r="3663">
          <cell r="H3663">
            <v>-112.23904659999999</v>
          </cell>
        </row>
        <row r="3664">
          <cell r="H3664">
            <v>-112.14112390000001</v>
          </cell>
        </row>
        <row r="3665">
          <cell r="H3665">
            <v>-112.0433015</v>
          </cell>
        </row>
        <row r="3666">
          <cell r="H3666">
            <v>-111.94537940000001</v>
          </cell>
        </row>
        <row r="3667">
          <cell r="H3667">
            <v>-111.84735760000001</v>
          </cell>
        </row>
        <row r="3668">
          <cell r="H3668">
            <v>-111.7495361</v>
          </cell>
        </row>
        <row r="3669">
          <cell r="H3669">
            <v>-111.65161490000001</v>
          </cell>
        </row>
        <row r="3670">
          <cell r="H3670">
            <v>-111.5536941</v>
          </cell>
        </row>
        <row r="3671">
          <cell r="H3671">
            <v>-111.45587350000001</v>
          </cell>
        </row>
        <row r="3672">
          <cell r="H3672">
            <v>-111.35785330000002</v>
          </cell>
        </row>
        <row r="3673">
          <cell r="H3673">
            <v>-111.2599333</v>
          </cell>
        </row>
        <row r="3674">
          <cell r="H3674">
            <v>-111.1620137</v>
          </cell>
        </row>
        <row r="3675">
          <cell r="H3675">
            <v>-111.06419439999999</v>
          </cell>
        </row>
        <row r="3676">
          <cell r="H3676">
            <v>-110.96617530000002</v>
          </cell>
        </row>
        <row r="3677">
          <cell r="H3677">
            <v>-110.86825660000002</v>
          </cell>
        </row>
        <row r="3678">
          <cell r="H3678">
            <v>-110.77043820000002</v>
          </cell>
        </row>
        <row r="3679">
          <cell r="H3679">
            <v>-110.67252009999999</v>
          </cell>
        </row>
        <row r="3680">
          <cell r="H3680">
            <v>-110.5746023</v>
          </cell>
        </row>
        <row r="3681">
          <cell r="H3681">
            <v>-110.47668480000002</v>
          </cell>
        </row>
        <row r="3682">
          <cell r="H3682">
            <v>-110.378668</v>
          </cell>
        </row>
        <row r="3683">
          <cell r="H3683">
            <v>-110.280851</v>
          </cell>
        </row>
        <row r="3684">
          <cell r="H3684">
            <v>-110.18303399999999</v>
          </cell>
        </row>
        <row r="3685">
          <cell r="H3685">
            <v>-110.084918</v>
          </cell>
        </row>
        <row r="3686">
          <cell r="H3686">
            <v>-109.98710200000001</v>
          </cell>
        </row>
        <row r="3687">
          <cell r="H3687">
            <v>-109.889186</v>
          </cell>
        </row>
        <row r="3688">
          <cell r="H3688">
            <v>-109.79127100000001</v>
          </cell>
        </row>
        <row r="3689">
          <cell r="H3689">
            <v>-109.69335599999999</v>
          </cell>
        </row>
        <row r="3690">
          <cell r="H3690">
            <v>-109.59544099999999</v>
          </cell>
        </row>
        <row r="3691">
          <cell r="H3691">
            <v>-109.49752700000001</v>
          </cell>
        </row>
        <row r="3692">
          <cell r="H3692">
            <v>-109.399613</v>
          </cell>
        </row>
        <row r="3693">
          <cell r="H3693">
            <v>-109.30179899999999</v>
          </cell>
        </row>
        <row r="3694">
          <cell r="H3694">
            <v>-109.203785</v>
          </cell>
        </row>
        <row r="3695">
          <cell r="H3695">
            <v>-109.10587200000001</v>
          </cell>
        </row>
        <row r="3696">
          <cell r="H3696">
            <v>-109.008059</v>
          </cell>
        </row>
        <row r="3697">
          <cell r="H3697">
            <v>-108.91004700000001</v>
          </cell>
        </row>
        <row r="3698">
          <cell r="H3698">
            <v>-108.812134</v>
          </cell>
        </row>
        <row r="3699">
          <cell r="H3699">
            <v>-108.71422200000001</v>
          </cell>
        </row>
        <row r="3700">
          <cell r="H3700">
            <v>-108.616311</v>
          </cell>
        </row>
        <row r="3701">
          <cell r="H3701">
            <v>-108.51849899999999</v>
          </cell>
        </row>
        <row r="3702">
          <cell r="H3702">
            <v>-108.420388</v>
          </cell>
        </row>
        <row r="3703">
          <cell r="H3703">
            <v>-108.32257699999998</v>
          </cell>
        </row>
        <row r="3704">
          <cell r="H3704">
            <v>-108.224667</v>
          </cell>
        </row>
        <row r="3705">
          <cell r="H3705">
            <v>-108.126757</v>
          </cell>
        </row>
        <row r="3706">
          <cell r="H3706">
            <v>-108.02874699999998</v>
          </cell>
        </row>
        <row r="3707">
          <cell r="H3707">
            <v>-107.930938</v>
          </cell>
        </row>
        <row r="3708">
          <cell r="H3708">
            <v>-107.83292800000001</v>
          </cell>
        </row>
        <row r="3709">
          <cell r="H3709">
            <v>-107.735119</v>
          </cell>
        </row>
        <row r="3710">
          <cell r="H3710">
            <v>-107.63721099999998</v>
          </cell>
        </row>
        <row r="3711">
          <cell r="H3711">
            <v>-107.53920299999999</v>
          </cell>
        </row>
        <row r="3712">
          <cell r="H3712">
            <v>-107.441395</v>
          </cell>
        </row>
        <row r="3713">
          <cell r="H3713">
            <v>-107.34348699999998</v>
          </cell>
        </row>
        <row r="3714">
          <cell r="H3714">
            <v>-107.24557899999999</v>
          </cell>
        </row>
        <row r="3715">
          <cell r="H3715">
            <v>-107.147572</v>
          </cell>
        </row>
        <row r="3716">
          <cell r="H3716">
            <v>-107.04976599999999</v>
          </cell>
        </row>
        <row r="3717">
          <cell r="H3717">
            <v>-106.951759</v>
          </cell>
        </row>
        <row r="3718">
          <cell r="H3718">
            <v>-106.85395299999999</v>
          </cell>
        </row>
        <row r="3719">
          <cell r="H3719">
            <v>-106.75594699999999</v>
          </cell>
        </row>
        <row r="3720">
          <cell r="H3720">
            <v>-106.65804199999999</v>
          </cell>
        </row>
        <row r="3721">
          <cell r="H3721">
            <v>-106.560136</v>
          </cell>
        </row>
        <row r="3722">
          <cell r="H3722">
            <v>-106.462231</v>
          </cell>
        </row>
        <row r="3723">
          <cell r="H3723">
            <v>-106.364327</v>
          </cell>
        </row>
        <row r="3724">
          <cell r="H3724">
            <v>-106.266423</v>
          </cell>
        </row>
        <row r="3725">
          <cell r="H3725">
            <v>-106.168519</v>
          </cell>
        </row>
        <row r="3726">
          <cell r="H3726">
            <v>-106.070615</v>
          </cell>
        </row>
        <row r="3727">
          <cell r="H3727">
            <v>-105.972711</v>
          </cell>
        </row>
        <row r="3728">
          <cell r="H3728">
            <v>-105.874708</v>
          </cell>
        </row>
        <row r="3729">
          <cell r="H3729">
            <v>-105.776906</v>
          </cell>
        </row>
        <row r="3730">
          <cell r="H3730">
            <v>-105.67900300000001</v>
          </cell>
        </row>
        <row r="3731">
          <cell r="H3731">
            <v>-105.58100100000001</v>
          </cell>
        </row>
        <row r="3732">
          <cell r="H3732">
            <v>-105.48309899999998</v>
          </cell>
        </row>
        <row r="3733">
          <cell r="H3733">
            <v>-105.38529800000001</v>
          </cell>
        </row>
        <row r="3734">
          <cell r="H3734">
            <v>-105.287296</v>
          </cell>
        </row>
        <row r="3735">
          <cell r="H3735">
            <v>-105.189395</v>
          </cell>
        </row>
        <row r="3736">
          <cell r="H3736">
            <v>-105.09139499999999</v>
          </cell>
        </row>
        <row r="3737">
          <cell r="H3737">
            <v>-104.993594</v>
          </cell>
        </row>
        <row r="3738">
          <cell r="H3738">
            <v>-104.89559399999999</v>
          </cell>
        </row>
        <row r="3739">
          <cell r="H3739">
            <v>-104.797695</v>
          </cell>
        </row>
        <row r="3740">
          <cell r="H3740">
            <v>-104.69979499999999</v>
          </cell>
        </row>
        <row r="3741">
          <cell r="H3741">
            <v>-104.601996</v>
          </cell>
        </row>
        <row r="3742">
          <cell r="H3742">
            <v>-104.50389700000001</v>
          </cell>
        </row>
        <row r="3743">
          <cell r="H3743">
            <v>-104.406099</v>
          </cell>
        </row>
        <row r="3744">
          <cell r="H3744">
            <v>-104.308201</v>
          </cell>
        </row>
        <row r="3745">
          <cell r="H3745">
            <v>-104.21030300000001</v>
          </cell>
        </row>
        <row r="3746">
          <cell r="H3746">
            <v>-104.11230499999999</v>
          </cell>
        </row>
        <row r="3747">
          <cell r="H3747">
            <v>-104.014308</v>
          </cell>
        </row>
        <row r="3748">
          <cell r="H3748">
            <v>-103.91651100000001</v>
          </cell>
        </row>
        <row r="3749">
          <cell r="H3749">
            <v>-103.818614</v>
          </cell>
        </row>
        <row r="3750">
          <cell r="H3750">
            <v>-103.720618</v>
          </cell>
        </row>
        <row r="3751">
          <cell r="H3751">
            <v>-103.62272200000001</v>
          </cell>
        </row>
        <row r="3752">
          <cell r="H3752">
            <v>-103.52492600000001</v>
          </cell>
        </row>
        <row r="3753">
          <cell r="H3753">
            <v>-103.42693100000001</v>
          </cell>
        </row>
        <row r="3754">
          <cell r="H3754">
            <v>-103.329036</v>
          </cell>
        </row>
        <row r="3755">
          <cell r="H3755">
            <v>-103.231041</v>
          </cell>
        </row>
        <row r="3756">
          <cell r="H3756">
            <v>-103.13324600000001</v>
          </cell>
        </row>
        <row r="3757">
          <cell r="H3757">
            <v>-103.035352</v>
          </cell>
        </row>
        <row r="3758">
          <cell r="H3758">
            <v>-102.937358</v>
          </cell>
        </row>
        <row r="3759">
          <cell r="H3759">
            <v>-102.83946500000002</v>
          </cell>
        </row>
        <row r="3760">
          <cell r="H3760">
            <v>-102.74157099999999</v>
          </cell>
        </row>
        <row r="3761">
          <cell r="H3761">
            <v>-102.643579</v>
          </cell>
        </row>
        <row r="3762">
          <cell r="H3762">
            <v>-102.54568600000002</v>
          </cell>
        </row>
        <row r="3763">
          <cell r="H3763">
            <v>-102.447793</v>
          </cell>
        </row>
        <row r="3764">
          <cell r="H3764">
            <v>-102.349901</v>
          </cell>
        </row>
        <row r="3765">
          <cell r="H3765">
            <v>-102.25201</v>
          </cell>
        </row>
        <row r="3766">
          <cell r="H3766">
            <v>-102.15401800000001</v>
          </cell>
        </row>
        <row r="3767">
          <cell r="H3767">
            <v>-102.056127</v>
          </cell>
        </row>
        <row r="3768">
          <cell r="H3768">
            <v>-101.95833599999999</v>
          </cell>
        </row>
        <row r="3769">
          <cell r="H3769">
            <v>-101.860246</v>
          </cell>
        </row>
        <row r="3770">
          <cell r="H3770">
            <v>-101.762456</v>
          </cell>
        </row>
        <row r="3771">
          <cell r="H3771">
            <v>-101.66446599999999</v>
          </cell>
        </row>
        <row r="3772">
          <cell r="H3772">
            <v>-101.566676</v>
          </cell>
        </row>
        <row r="3773">
          <cell r="H3773">
            <v>-101.468687</v>
          </cell>
        </row>
        <row r="3774">
          <cell r="H3774">
            <v>-101.37069799999999</v>
          </cell>
        </row>
        <row r="3775">
          <cell r="H3775">
            <v>-101.27290900000001</v>
          </cell>
        </row>
        <row r="3776">
          <cell r="H3776">
            <v>-101.174921</v>
          </cell>
        </row>
        <row r="3777">
          <cell r="H3777">
            <v>-101.077033</v>
          </cell>
        </row>
        <row r="3778">
          <cell r="H3778">
            <v>-100.979145</v>
          </cell>
        </row>
        <row r="3779">
          <cell r="H3779">
            <v>-100.881157</v>
          </cell>
        </row>
        <row r="3780">
          <cell r="H3780">
            <v>-100.78327</v>
          </cell>
        </row>
        <row r="3781">
          <cell r="H3781">
            <v>-100.685383</v>
          </cell>
        </row>
        <row r="3782">
          <cell r="H3782">
            <v>-100.587497</v>
          </cell>
        </row>
        <row r="3783">
          <cell r="H3783">
            <v>-100.48951099999999</v>
          </cell>
        </row>
        <row r="3784">
          <cell r="H3784">
            <v>-100.391525</v>
          </cell>
        </row>
        <row r="3785">
          <cell r="H3785">
            <v>-100.293739</v>
          </cell>
        </row>
        <row r="3786">
          <cell r="H3786">
            <v>-100.195854</v>
          </cell>
        </row>
        <row r="3787">
          <cell r="H3787">
            <v>-100.09786900000002</v>
          </cell>
        </row>
        <row r="3788">
          <cell r="H3788">
            <v>-99.999983999999984</v>
          </cell>
        </row>
        <row r="3789">
          <cell r="H3789">
            <v>-99.90209999999999</v>
          </cell>
        </row>
        <row r="3790">
          <cell r="H3790">
            <v>-99.804216000000011</v>
          </cell>
        </row>
        <row r="3791">
          <cell r="H3791">
            <v>-99.706231999999986</v>
          </cell>
        </row>
        <row r="3792">
          <cell r="H3792">
            <v>-99.608248000000003</v>
          </cell>
        </row>
        <row r="3793">
          <cell r="H3793">
            <v>-99.510464999999996</v>
          </cell>
        </row>
        <row r="3794">
          <cell r="H3794">
            <v>-99.412481999999997</v>
          </cell>
        </row>
        <row r="3795">
          <cell r="H3795">
            <v>-99.314599999999999</v>
          </cell>
        </row>
        <row r="3796">
          <cell r="H3796">
            <v>-99.216718</v>
          </cell>
        </row>
        <row r="3797">
          <cell r="H3797">
            <v>-99.118735999999998</v>
          </cell>
        </row>
        <row r="3798">
          <cell r="H3798">
            <v>-99.020854</v>
          </cell>
        </row>
        <row r="3799">
          <cell r="H3799">
            <v>-98.922972999999999</v>
          </cell>
        </row>
        <row r="3800">
          <cell r="H3800">
            <v>-98.824991999999995</v>
          </cell>
        </row>
        <row r="3801">
          <cell r="H3801">
            <v>-98.727110999999994</v>
          </cell>
        </row>
        <row r="3802">
          <cell r="H3802">
            <v>-98.629131000000015</v>
          </cell>
        </row>
        <row r="3803">
          <cell r="H3803">
            <v>-98.531250999999983</v>
          </cell>
        </row>
        <row r="3804">
          <cell r="H3804">
            <v>-98.433470999999997</v>
          </cell>
        </row>
        <row r="3805">
          <cell r="H3805">
            <v>-98.335391000000001</v>
          </cell>
        </row>
        <row r="3806">
          <cell r="H3806">
            <v>-98.237611999999984</v>
          </cell>
        </row>
        <row r="3807">
          <cell r="H3807">
            <v>-98.139633000000003</v>
          </cell>
        </row>
        <row r="3808">
          <cell r="H3808">
            <v>-98.041654999999992</v>
          </cell>
        </row>
        <row r="3809">
          <cell r="H3809">
            <v>-97.943876000000003</v>
          </cell>
        </row>
        <row r="3810">
          <cell r="H3810">
            <v>-97.845899000000003</v>
          </cell>
        </row>
        <row r="3811">
          <cell r="H3811">
            <v>-97.748020999999994</v>
          </cell>
        </row>
        <row r="3812">
          <cell r="H3812">
            <v>-97.650044000000008</v>
          </cell>
        </row>
        <row r="3813">
          <cell r="H3813">
            <v>-97.552166999999997</v>
          </cell>
        </row>
        <row r="3814">
          <cell r="H3814">
            <v>-97.45429</v>
          </cell>
        </row>
        <row r="3815">
          <cell r="H3815">
            <v>-97.356313</v>
          </cell>
        </row>
        <row r="3816">
          <cell r="H3816">
            <v>-97.258437000000001</v>
          </cell>
        </row>
        <row r="3817">
          <cell r="H3817">
            <v>-97.160461000000012</v>
          </cell>
        </row>
        <row r="3818">
          <cell r="H3818">
            <v>-97.062585999999996</v>
          </cell>
        </row>
        <row r="3819">
          <cell r="H3819">
            <v>-96.964710999999994</v>
          </cell>
        </row>
        <row r="3820">
          <cell r="H3820">
            <v>-96.866736000000003</v>
          </cell>
        </row>
        <row r="3821">
          <cell r="H3821">
            <v>-96.768860999999987</v>
          </cell>
        </row>
        <row r="3822">
          <cell r="H3822">
            <v>-96.670887000000008</v>
          </cell>
        </row>
        <row r="3823">
          <cell r="H3823">
            <v>-96.573013000000003</v>
          </cell>
        </row>
        <row r="3824">
          <cell r="H3824">
            <v>-96.475138999999984</v>
          </cell>
        </row>
        <row r="3825">
          <cell r="H3825">
            <v>-96.377166000000003</v>
          </cell>
        </row>
        <row r="3826">
          <cell r="H3826">
            <v>-96.279292999999996</v>
          </cell>
        </row>
        <row r="3827">
          <cell r="H3827">
            <v>-96.181319999999999</v>
          </cell>
        </row>
        <row r="3828">
          <cell r="H3828">
            <v>-96.083547999999993</v>
          </cell>
        </row>
        <row r="3829">
          <cell r="H3829">
            <v>-95.985476000000006</v>
          </cell>
        </row>
        <row r="3830">
          <cell r="H3830">
            <v>-95.88760400000001</v>
          </cell>
        </row>
        <row r="3831">
          <cell r="H3831">
            <v>-95.78983199999999</v>
          </cell>
        </row>
        <row r="3832">
          <cell r="H3832">
            <v>-95.691761000000014</v>
          </cell>
        </row>
        <row r="3833">
          <cell r="H3833">
            <v>-95.593889999999988</v>
          </cell>
        </row>
        <row r="3834">
          <cell r="H3834">
            <v>-95.495919999999998</v>
          </cell>
        </row>
        <row r="3835">
          <cell r="H3835">
            <v>-95.398049999999998</v>
          </cell>
        </row>
        <row r="3836">
          <cell r="H3836">
            <v>-95.300179999999983</v>
          </cell>
        </row>
        <row r="3837">
          <cell r="H3837">
            <v>-95.202209999999994</v>
          </cell>
        </row>
        <row r="3838">
          <cell r="H3838">
            <v>-95.104440999999994</v>
          </cell>
        </row>
        <row r="3839">
          <cell r="H3839">
            <v>-95.006371000000001</v>
          </cell>
        </row>
        <row r="3840">
          <cell r="H3840">
            <v>-94.908502999999996</v>
          </cell>
        </row>
        <row r="3841">
          <cell r="H3841">
            <v>-94.810534000000004</v>
          </cell>
        </row>
        <row r="3842">
          <cell r="H3842">
            <v>-94.712666000000013</v>
          </cell>
        </row>
        <row r="3843">
          <cell r="H3843">
            <v>-94.614797999999993</v>
          </cell>
        </row>
        <row r="3844">
          <cell r="H3844">
            <v>-94.516830999999996</v>
          </cell>
        </row>
        <row r="3845">
          <cell r="H3845">
            <v>-94.418863999999999</v>
          </cell>
        </row>
        <row r="3846">
          <cell r="H3846">
            <v>-94.320996999999991</v>
          </cell>
        </row>
        <row r="3847">
          <cell r="H3847">
            <v>-94.223129999999998</v>
          </cell>
        </row>
        <row r="3848">
          <cell r="H3848">
            <v>-94.125164000000012</v>
          </cell>
        </row>
        <row r="3849">
          <cell r="H3849">
            <v>-94.027197999999999</v>
          </cell>
        </row>
        <row r="3850">
          <cell r="H3850">
            <v>-93.929431999999991</v>
          </cell>
        </row>
        <row r="3851">
          <cell r="H3851">
            <v>-93.831467000000004</v>
          </cell>
        </row>
        <row r="3852">
          <cell r="H3852">
            <v>-93.733502000000016</v>
          </cell>
        </row>
        <row r="3853">
          <cell r="H3853">
            <v>-93.635536999999999</v>
          </cell>
        </row>
        <row r="3854">
          <cell r="H3854">
            <v>-93.537772000000004</v>
          </cell>
        </row>
        <row r="3855">
          <cell r="H3855">
            <v>-93.439807999999999</v>
          </cell>
        </row>
        <row r="3856">
          <cell r="H3856">
            <v>-93.341843999999995</v>
          </cell>
        </row>
        <row r="3857">
          <cell r="H3857">
            <v>-93.243981000000005</v>
          </cell>
        </row>
        <row r="3858">
          <cell r="H3858">
            <v>-93.146017999999998</v>
          </cell>
        </row>
        <row r="3859">
          <cell r="H3859">
            <v>-93.048154999999994</v>
          </cell>
        </row>
        <row r="3860">
          <cell r="H3860">
            <v>-92.950192000000001</v>
          </cell>
        </row>
        <row r="3861">
          <cell r="H3861">
            <v>-92.852230000000006</v>
          </cell>
        </row>
        <row r="3862">
          <cell r="H3862">
            <v>-92.754468000000003</v>
          </cell>
        </row>
        <row r="3863">
          <cell r="H3863">
            <v>-92.656505999999993</v>
          </cell>
        </row>
        <row r="3864">
          <cell r="H3864">
            <v>-92.558545000000009</v>
          </cell>
        </row>
        <row r="3865">
          <cell r="H3865">
            <v>-92.460584000000011</v>
          </cell>
        </row>
        <row r="3866">
          <cell r="H3866">
            <v>-92.362723000000003</v>
          </cell>
        </row>
        <row r="3867">
          <cell r="H3867">
            <v>-92.264862000000008</v>
          </cell>
        </row>
        <row r="3868">
          <cell r="H3868">
            <v>-92.166901999999993</v>
          </cell>
        </row>
        <row r="3869">
          <cell r="H3869">
            <v>-92.069041999999996</v>
          </cell>
        </row>
        <row r="3870">
          <cell r="H3870">
            <v>-91.971082999999993</v>
          </cell>
        </row>
        <row r="3871">
          <cell r="H3871">
            <v>-91.873224000000008</v>
          </cell>
        </row>
        <row r="3872">
          <cell r="H3872">
            <v>-91.77526499999999</v>
          </cell>
        </row>
        <row r="3873">
          <cell r="H3873">
            <v>-91.677406000000005</v>
          </cell>
        </row>
        <row r="3874">
          <cell r="H3874">
            <v>-91.579347999999996</v>
          </cell>
        </row>
        <row r="3875">
          <cell r="H3875">
            <v>-91.481490000000008</v>
          </cell>
        </row>
        <row r="3876">
          <cell r="H3876">
            <v>-91.383732000000009</v>
          </cell>
        </row>
        <row r="3877">
          <cell r="H3877">
            <v>-91.285674999999998</v>
          </cell>
        </row>
        <row r="3878">
          <cell r="H3878">
            <v>-91.187816999999995</v>
          </cell>
        </row>
        <row r="3879">
          <cell r="H3879">
            <v>-91.089860999999999</v>
          </cell>
        </row>
        <row r="3880">
          <cell r="H3880">
            <v>-90.991904000000005</v>
          </cell>
        </row>
        <row r="3881">
          <cell r="H3881">
            <v>-90.894048000000012</v>
          </cell>
        </row>
        <row r="3882">
          <cell r="H3882">
            <v>-90.796191999999991</v>
          </cell>
        </row>
        <row r="3883">
          <cell r="H3883">
            <v>-90.698137000000003</v>
          </cell>
        </row>
        <row r="3884">
          <cell r="H3884">
            <v>-90.600280999999995</v>
          </cell>
        </row>
        <row r="3885">
          <cell r="H3885">
            <v>-90.502426000000014</v>
          </cell>
        </row>
        <row r="3886">
          <cell r="H3886">
            <v>-90.404371999999995</v>
          </cell>
        </row>
        <row r="3887">
          <cell r="H3887">
            <v>-90.306577000000004</v>
          </cell>
        </row>
        <row r="3888">
          <cell r="H3888">
            <v>-90.208642999999995</v>
          </cell>
        </row>
        <row r="3889">
          <cell r="H3889">
            <v>-90.11069999999998</v>
          </cell>
        </row>
        <row r="3890">
          <cell r="H3890">
            <v>-90.012765999999999</v>
          </cell>
        </row>
        <row r="3891">
          <cell r="H3891">
            <v>-89.914932999999991</v>
          </cell>
        </row>
        <row r="3892">
          <cell r="H3892">
            <v>-89.816990000000004</v>
          </cell>
        </row>
        <row r="3893">
          <cell r="H3893">
            <v>-89.719058000000004</v>
          </cell>
        </row>
        <row r="3894">
          <cell r="H3894">
            <v>-89.621225999999993</v>
          </cell>
        </row>
        <row r="3895">
          <cell r="H3895">
            <v>-89.523184000000001</v>
          </cell>
        </row>
        <row r="3896">
          <cell r="H3896">
            <v>-89.42535199999999</v>
          </cell>
        </row>
        <row r="3897">
          <cell r="H3897">
            <v>-89.327411000000012</v>
          </cell>
        </row>
        <row r="3898">
          <cell r="H3898">
            <v>-89.229480000000009</v>
          </cell>
        </row>
        <row r="3899">
          <cell r="H3899">
            <v>-89.131538999999989</v>
          </cell>
        </row>
        <row r="3900">
          <cell r="H3900">
            <v>-89.033709000000002</v>
          </cell>
        </row>
        <row r="3901">
          <cell r="H3901">
            <v>-88.93566899999999</v>
          </cell>
        </row>
        <row r="3902">
          <cell r="H3902">
            <v>-88.837839000000002</v>
          </cell>
        </row>
        <row r="3903">
          <cell r="H3903">
            <v>-88.740000000000009</v>
          </cell>
        </row>
        <row r="3904">
          <cell r="H3904">
            <v>-88.641961000000009</v>
          </cell>
        </row>
        <row r="3905">
          <cell r="H3905">
            <v>-88.544132000000005</v>
          </cell>
        </row>
        <row r="3906">
          <cell r="H3906">
            <v>-88.446192999999994</v>
          </cell>
        </row>
        <row r="3907">
          <cell r="H3907">
            <v>-88.348255000000009</v>
          </cell>
        </row>
        <row r="3908">
          <cell r="H3908">
            <v>-88.250326999999999</v>
          </cell>
        </row>
        <row r="3909">
          <cell r="H3909">
            <v>-88.15249</v>
          </cell>
        </row>
        <row r="3910">
          <cell r="H3910">
            <v>-88.054451999999998</v>
          </cell>
        </row>
        <row r="3911">
          <cell r="H3911">
            <v>-87.956625000000003</v>
          </cell>
        </row>
        <row r="3912">
          <cell r="H3912">
            <v>-87.858789000000002</v>
          </cell>
        </row>
        <row r="3913">
          <cell r="H3913">
            <v>-87.760752000000011</v>
          </cell>
        </row>
        <row r="3914">
          <cell r="H3914">
            <v>-87.662915999999996</v>
          </cell>
        </row>
        <row r="3915">
          <cell r="H3915">
            <v>-87.564981000000003</v>
          </cell>
        </row>
        <row r="3916">
          <cell r="H3916">
            <v>-87.467044999999999</v>
          </cell>
        </row>
        <row r="3917">
          <cell r="H3917">
            <v>-87.369119999999981</v>
          </cell>
        </row>
        <row r="3918">
          <cell r="H3918">
            <v>-87.271285000000006</v>
          </cell>
        </row>
        <row r="3919">
          <cell r="H3919">
            <v>-87.173250999999993</v>
          </cell>
        </row>
        <row r="3920">
          <cell r="H3920">
            <v>-87.075416000000004</v>
          </cell>
        </row>
        <row r="3921">
          <cell r="H3921">
            <v>-86.977481999999995</v>
          </cell>
        </row>
        <row r="3922">
          <cell r="H3922">
            <v>-86.879548999999997</v>
          </cell>
        </row>
        <row r="3923">
          <cell r="H3923">
            <v>-86.781616</v>
          </cell>
        </row>
        <row r="3924">
          <cell r="H3924">
            <v>-86.683782999999991</v>
          </cell>
        </row>
        <row r="3925">
          <cell r="H3925">
            <v>-86.585850000000008</v>
          </cell>
        </row>
        <row r="3926">
          <cell r="H3926">
            <v>-86.487917999999993</v>
          </cell>
        </row>
        <row r="3927">
          <cell r="H3927">
            <v>-86.390084999999999</v>
          </cell>
        </row>
        <row r="3928">
          <cell r="H3928">
            <v>-86.292044000000004</v>
          </cell>
        </row>
        <row r="3929">
          <cell r="H3929">
            <v>-86.194212000000007</v>
          </cell>
        </row>
        <row r="3930">
          <cell r="H3930">
            <v>-86.096281000000005</v>
          </cell>
        </row>
        <row r="3931">
          <cell r="H3931">
            <v>-85.998349999999988</v>
          </cell>
        </row>
        <row r="3932">
          <cell r="H3932">
            <v>-85.900420000000011</v>
          </cell>
        </row>
        <row r="3933">
          <cell r="H3933">
            <v>-85.802579999999992</v>
          </cell>
        </row>
        <row r="3934">
          <cell r="H3934">
            <v>-85.704549999999998</v>
          </cell>
        </row>
        <row r="3935">
          <cell r="H3935">
            <v>-85.606719999999996</v>
          </cell>
        </row>
        <row r="3936">
          <cell r="H3936">
            <v>-85.508690999999999</v>
          </cell>
        </row>
        <row r="3937">
          <cell r="H3937">
            <v>-85.410852000000006</v>
          </cell>
        </row>
        <row r="3938">
          <cell r="H3938">
            <v>-85.313022999999987</v>
          </cell>
        </row>
        <row r="3939">
          <cell r="H3939">
            <v>-85.214995000000002</v>
          </cell>
        </row>
        <row r="3940">
          <cell r="H3940">
            <v>-85.117156999999992</v>
          </cell>
        </row>
        <row r="3941">
          <cell r="H3941">
            <v>-85.019228999999996</v>
          </cell>
        </row>
        <row r="3942">
          <cell r="H3942">
            <v>-84.921301</v>
          </cell>
        </row>
        <row r="3943">
          <cell r="H3943">
            <v>-84.823363999999998</v>
          </cell>
        </row>
        <row r="3944">
          <cell r="H3944">
            <v>-84.725537000000003</v>
          </cell>
        </row>
        <row r="3945">
          <cell r="H3945">
            <v>-84.627501000000009</v>
          </cell>
        </row>
        <row r="3946">
          <cell r="H3946">
            <v>-84.529674</v>
          </cell>
        </row>
        <row r="3947">
          <cell r="H3947">
            <v>-84.431739000000007</v>
          </cell>
        </row>
        <row r="3948">
          <cell r="H3948">
            <v>-84.333812999999992</v>
          </cell>
        </row>
        <row r="3949">
          <cell r="H3949">
            <v>-84.235878</v>
          </cell>
        </row>
        <row r="3950">
          <cell r="H3950">
            <v>-84.13804300000001</v>
          </cell>
        </row>
        <row r="3951">
          <cell r="H3951">
            <v>-84.040017999999989</v>
          </cell>
        </row>
        <row r="3952">
          <cell r="H3952">
            <v>-83.942183</v>
          </cell>
        </row>
        <row r="3953">
          <cell r="H3953">
            <v>-83.844159000000005</v>
          </cell>
        </row>
        <row r="3954">
          <cell r="H3954">
            <v>-83.746325999999996</v>
          </cell>
        </row>
        <row r="3955">
          <cell r="H3955">
            <v>-83.648392000000001</v>
          </cell>
        </row>
        <row r="3956">
          <cell r="H3956">
            <v>-83.550459000000004</v>
          </cell>
        </row>
        <row r="3957">
          <cell r="H3957">
            <v>-83.452635999999998</v>
          </cell>
        </row>
        <row r="3958">
          <cell r="H3958">
            <v>-83.354703999999998</v>
          </cell>
        </row>
        <row r="3959">
          <cell r="H3959">
            <v>-83.256771000000001</v>
          </cell>
        </row>
        <row r="3960">
          <cell r="H3960">
            <v>-83.158839000000015</v>
          </cell>
        </row>
        <row r="3961">
          <cell r="H3961">
            <v>-83.061018000000004</v>
          </cell>
        </row>
        <row r="3962">
          <cell r="H3962">
            <v>-82.962986000000001</v>
          </cell>
        </row>
        <row r="3963">
          <cell r="H3963">
            <v>-82.865155000000001</v>
          </cell>
        </row>
        <row r="3964">
          <cell r="H3964">
            <v>-82.767124999999993</v>
          </cell>
        </row>
        <row r="3965">
          <cell r="H3965">
            <v>-82.669294000000008</v>
          </cell>
        </row>
        <row r="3966">
          <cell r="H3966">
            <v>-82.571364000000003</v>
          </cell>
        </row>
        <row r="3967">
          <cell r="H3967">
            <v>-82.473434000000012</v>
          </cell>
        </row>
        <row r="3968">
          <cell r="H3968">
            <v>-82.37550499999999</v>
          </cell>
        </row>
        <row r="3969">
          <cell r="H3969">
            <v>-82.277676</v>
          </cell>
        </row>
        <row r="3970">
          <cell r="H3970">
            <v>-82.179647000000003</v>
          </cell>
        </row>
        <row r="3971">
          <cell r="H3971">
            <v>-82.081818000000013</v>
          </cell>
        </row>
        <row r="3972">
          <cell r="H3972">
            <v>-81.983890000000002</v>
          </cell>
        </row>
        <row r="3973">
          <cell r="H3973">
            <v>-81.885962000000006</v>
          </cell>
        </row>
        <row r="3974">
          <cell r="H3974">
            <v>-81.78803400000001</v>
          </cell>
        </row>
        <row r="3975">
          <cell r="H3975">
            <v>-81.690107000000012</v>
          </cell>
        </row>
        <row r="3976">
          <cell r="H3976">
            <v>-81.592179999999999</v>
          </cell>
        </row>
        <row r="3977">
          <cell r="H3977">
            <v>-81.494353000000004</v>
          </cell>
        </row>
        <row r="3978">
          <cell r="H3978">
            <v>-81.396316999999996</v>
          </cell>
        </row>
        <row r="3979">
          <cell r="H3979">
            <v>-81.298490999999999</v>
          </cell>
        </row>
        <row r="3980">
          <cell r="H3980">
            <v>-81.200565000000012</v>
          </cell>
        </row>
        <row r="3981">
          <cell r="H3981">
            <v>-81.102638999999982</v>
          </cell>
        </row>
        <row r="3982">
          <cell r="H3982">
            <v>-81.004704000000004</v>
          </cell>
        </row>
        <row r="3983">
          <cell r="H3983">
            <v>-80.906779</v>
          </cell>
        </row>
        <row r="3984">
          <cell r="H3984">
            <v>-80.808854999999994</v>
          </cell>
        </row>
        <row r="3985">
          <cell r="H3985">
            <v>-80.711029999999994</v>
          </cell>
        </row>
        <row r="3986">
          <cell r="H3986">
            <v>-80.61299600000001</v>
          </cell>
        </row>
        <row r="3987">
          <cell r="H3987">
            <v>-80.51517299999999</v>
          </cell>
        </row>
        <row r="3988">
          <cell r="H3988">
            <v>-80.417239000000009</v>
          </cell>
        </row>
        <row r="3989">
          <cell r="H3989">
            <v>-80.319316000000001</v>
          </cell>
        </row>
        <row r="3990">
          <cell r="H3990">
            <v>-80.221394000000004</v>
          </cell>
        </row>
        <row r="3991">
          <cell r="H3991">
            <v>-80.123461000000006</v>
          </cell>
        </row>
        <row r="3992">
          <cell r="H3992">
            <v>-80.025538999999995</v>
          </cell>
        </row>
        <row r="3993">
          <cell r="H3993">
            <v>-79.927706999999998</v>
          </cell>
        </row>
        <row r="3994">
          <cell r="H3994">
            <v>-79.829685999999995</v>
          </cell>
        </row>
        <row r="3995">
          <cell r="H3995">
            <v>-79.731853999999998</v>
          </cell>
        </row>
        <row r="3996">
          <cell r="H3996">
            <v>-79.633934000000011</v>
          </cell>
        </row>
        <row r="3997">
          <cell r="H3997">
            <v>-79.536002999999994</v>
          </cell>
        </row>
        <row r="3998">
          <cell r="H3998">
            <v>-79.438073000000003</v>
          </cell>
        </row>
        <row r="3999">
          <cell r="H3999">
            <v>-79.340153000000001</v>
          </cell>
        </row>
        <row r="4000">
          <cell r="H4000">
            <v>-79.242222999999996</v>
          </cell>
        </row>
        <row r="4001">
          <cell r="H4001">
            <v>-79.144394000000005</v>
          </cell>
        </row>
        <row r="4002">
          <cell r="H4002">
            <v>-79.046374999999998</v>
          </cell>
        </row>
        <row r="4003">
          <cell r="H4003">
            <v>-78.948545999999993</v>
          </cell>
        </row>
        <row r="4004">
          <cell r="H4004">
            <v>-78.850617</v>
          </cell>
        </row>
        <row r="4005">
          <cell r="H4005">
            <v>-78.752698999999993</v>
          </cell>
        </row>
        <row r="4006">
          <cell r="H4006">
            <v>-78.654770999999997</v>
          </cell>
        </row>
        <row r="4007">
          <cell r="H4007">
            <v>-78.556843999999998</v>
          </cell>
        </row>
        <row r="4008">
          <cell r="H4008">
            <v>-78.458917</v>
          </cell>
        </row>
        <row r="4009">
          <cell r="H4009">
            <v>-78.361090000000004</v>
          </cell>
        </row>
        <row r="4010">
          <cell r="H4010">
            <v>-78.263063000000002</v>
          </cell>
        </row>
        <row r="4011">
          <cell r="H4011">
            <v>-78.165246999999994</v>
          </cell>
        </row>
        <row r="4012">
          <cell r="H4012">
            <v>-78.067220999999989</v>
          </cell>
        </row>
        <row r="4013">
          <cell r="H4013">
            <v>-77.969394999999992</v>
          </cell>
        </row>
        <row r="4014">
          <cell r="H4014">
            <v>-77.871469999999988</v>
          </cell>
        </row>
        <row r="4015">
          <cell r="H4015">
            <v>-77.773544999999984</v>
          </cell>
        </row>
        <row r="4016">
          <cell r="H4016">
            <v>-77.675619999999995</v>
          </cell>
        </row>
        <row r="4017">
          <cell r="H4017">
            <v>-77.577794999999995</v>
          </cell>
        </row>
        <row r="4018">
          <cell r="H4018">
            <v>-77.479771</v>
          </cell>
        </row>
        <row r="4019">
          <cell r="H4019">
            <v>-77.381946999999997</v>
          </cell>
        </row>
        <row r="4020">
          <cell r="H4020">
            <v>-77.283923999999985</v>
          </cell>
        </row>
        <row r="4021">
          <cell r="H4021">
            <v>-77.186100999999994</v>
          </cell>
        </row>
        <row r="4022">
          <cell r="H4022">
            <v>-77.088177999999999</v>
          </cell>
        </row>
        <row r="4023">
          <cell r="H4023">
            <v>-76.990244999999987</v>
          </cell>
        </row>
        <row r="4024">
          <cell r="H4024">
            <v>-76.892323000000005</v>
          </cell>
        </row>
        <row r="4025">
          <cell r="H4025">
            <v>-76.794400999999993</v>
          </cell>
        </row>
        <row r="4026">
          <cell r="H4026">
            <v>-76.696478999999997</v>
          </cell>
        </row>
        <row r="4027">
          <cell r="H4027">
            <v>-76.598658</v>
          </cell>
        </row>
        <row r="4028">
          <cell r="H4028">
            <v>-76.500626999999994</v>
          </cell>
        </row>
        <row r="4029">
          <cell r="H4029">
            <v>-76.402805999999998</v>
          </cell>
        </row>
        <row r="4030">
          <cell r="H4030">
            <v>-76.304784999999995</v>
          </cell>
        </row>
        <row r="4031">
          <cell r="H4031">
            <v>-76.206964999999997</v>
          </cell>
        </row>
        <row r="4032">
          <cell r="H4032">
            <v>-76.109035000000006</v>
          </cell>
        </row>
        <row r="4033">
          <cell r="H4033">
            <v>-76.011116000000001</v>
          </cell>
        </row>
        <row r="4034">
          <cell r="H4034">
            <v>-75.913187000000008</v>
          </cell>
        </row>
        <row r="4035">
          <cell r="H4035">
            <v>-75.815268000000003</v>
          </cell>
        </row>
        <row r="4036">
          <cell r="H4036">
            <v>-75.717348999999999</v>
          </cell>
        </row>
        <row r="4037">
          <cell r="H4037">
            <v>-75.619521000000006</v>
          </cell>
        </row>
        <row r="4038">
          <cell r="H4038">
            <v>-75.52150300000001</v>
          </cell>
        </row>
        <row r="4039">
          <cell r="H4039">
            <v>-75.423674999999989</v>
          </cell>
        </row>
        <row r="4040">
          <cell r="H4040">
            <v>-75.32565799999999</v>
          </cell>
        </row>
        <row r="4041">
          <cell r="H4041">
            <v>-75.227729999999994</v>
          </cell>
        </row>
        <row r="4042">
          <cell r="H4042">
            <v>-75.129913999999999</v>
          </cell>
        </row>
        <row r="4043">
          <cell r="H4043">
            <v>-75.031886999999998</v>
          </cell>
        </row>
        <row r="4044">
          <cell r="H4044">
            <v>-74.934071000000003</v>
          </cell>
        </row>
        <row r="4045">
          <cell r="H4045">
            <v>-74.836045000000013</v>
          </cell>
        </row>
        <row r="4046">
          <cell r="H4046">
            <v>-74.738220000000013</v>
          </cell>
        </row>
        <row r="4047">
          <cell r="H4047">
            <v>-74.640304000000015</v>
          </cell>
        </row>
        <row r="4048">
          <cell r="H4048">
            <v>-74.542379000000011</v>
          </cell>
        </row>
        <row r="4049">
          <cell r="H4049">
            <v>-74.444455000000005</v>
          </cell>
        </row>
        <row r="4050">
          <cell r="H4050">
            <v>-74.346540000000005</v>
          </cell>
        </row>
        <row r="4051">
          <cell r="H4051">
            <v>-74.248615999999998</v>
          </cell>
        </row>
        <row r="4052">
          <cell r="H4052">
            <v>-74.150792999999993</v>
          </cell>
        </row>
        <row r="4053">
          <cell r="H4053">
            <v>-74.052768999999998</v>
          </cell>
        </row>
        <row r="4054">
          <cell r="H4054">
            <v>-73.954955999999996</v>
          </cell>
        </row>
        <row r="4055">
          <cell r="H4055">
            <v>-73.856932999999998</v>
          </cell>
        </row>
        <row r="4056">
          <cell r="H4056">
            <v>-73.759111000000004</v>
          </cell>
        </row>
        <row r="4057">
          <cell r="H4057">
            <v>-73.661188999999993</v>
          </cell>
        </row>
        <row r="4058">
          <cell r="H4058">
            <v>-73.563166999999993</v>
          </cell>
        </row>
        <row r="4059">
          <cell r="H4059">
            <v>-73.465345000000013</v>
          </cell>
        </row>
        <row r="4060">
          <cell r="H4060">
            <v>-73.367324000000011</v>
          </cell>
        </row>
        <row r="4061">
          <cell r="H4061">
            <v>-73.269513000000003</v>
          </cell>
        </row>
        <row r="4062">
          <cell r="H4062">
            <v>-73.171592000000004</v>
          </cell>
        </row>
        <row r="4063">
          <cell r="H4063">
            <v>-73.073672000000002</v>
          </cell>
        </row>
        <row r="4064">
          <cell r="H4064">
            <v>-72.975752</v>
          </cell>
        </row>
        <row r="4065">
          <cell r="H4065">
            <v>-72.877832000000012</v>
          </cell>
        </row>
        <row r="4066">
          <cell r="H4066">
            <v>-72.779913000000008</v>
          </cell>
        </row>
        <row r="4067">
          <cell r="H4067">
            <v>-72.682083999999989</v>
          </cell>
        </row>
        <row r="4068">
          <cell r="H4068">
            <v>-72.584064999999995</v>
          </cell>
        </row>
        <row r="4069">
          <cell r="H4069">
            <v>-72.486246000000008</v>
          </cell>
        </row>
        <row r="4070">
          <cell r="H4070">
            <v>-72.388227999999998</v>
          </cell>
        </row>
        <row r="4071">
          <cell r="H4071">
            <v>-72.290410000000008</v>
          </cell>
        </row>
        <row r="4072">
          <cell r="H4072">
            <v>-72.192392999999996</v>
          </cell>
        </row>
        <row r="4073">
          <cell r="H4073">
            <v>-72.094474999999989</v>
          </cell>
        </row>
        <row r="4074">
          <cell r="H4074">
            <v>-71.996648000000008</v>
          </cell>
        </row>
        <row r="4075">
          <cell r="H4075">
            <v>-71.898632000000006</v>
          </cell>
        </row>
        <row r="4076">
          <cell r="H4076">
            <v>-71.800815</v>
          </cell>
        </row>
        <row r="4077">
          <cell r="H4077">
            <v>-71.702798999999999</v>
          </cell>
        </row>
        <row r="4078">
          <cell r="H4078">
            <v>-71.604973000000001</v>
          </cell>
        </row>
        <row r="4079">
          <cell r="H4079">
            <v>-71.507058000000001</v>
          </cell>
        </row>
        <row r="4080">
          <cell r="H4080">
            <v>-71.409143</v>
          </cell>
        </row>
        <row r="4081">
          <cell r="H4081">
            <v>-71.311218000000011</v>
          </cell>
        </row>
        <row r="4082">
          <cell r="H4082">
            <v>-71.213304000000008</v>
          </cell>
        </row>
        <row r="4083">
          <cell r="H4083">
            <v>-71.115379000000004</v>
          </cell>
        </row>
        <row r="4084">
          <cell r="H4084">
            <v>-71.017364999999998</v>
          </cell>
        </row>
        <row r="4085">
          <cell r="H4085">
            <v>-70.91955200000001</v>
          </cell>
        </row>
        <row r="4086">
          <cell r="H4086">
            <v>-70.821629000000001</v>
          </cell>
        </row>
        <row r="4087">
          <cell r="H4087">
            <v>-70.723715999999996</v>
          </cell>
        </row>
        <row r="4088">
          <cell r="H4088">
            <v>-70.625793000000016</v>
          </cell>
        </row>
        <row r="4089">
          <cell r="H4089">
            <v>-70.527880999999994</v>
          </cell>
        </row>
        <row r="4090">
          <cell r="H4090">
            <v>-70.429957999999999</v>
          </cell>
        </row>
        <row r="4091">
          <cell r="H4091">
            <v>-70.332037000000014</v>
          </cell>
        </row>
        <row r="4092">
          <cell r="H4092">
            <v>-70.234125000000006</v>
          </cell>
        </row>
        <row r="4093">
          <cell r="H4093">
            <v>-70.136303999999996</v>
          </cell>
        </row>
        <row r="4094">
          <cell r="H4094">
            <v>-70.038292999999996</v>
          </cell>
        </row>
        <row r="4095">
          <cell r="H4095">
            <v>-69.940373000000008</v>
          </cell>
        </row>
        <row r="4096">
          <cell r="H4096">
            <v>-69.842452999999992</v>
          </cell>
        </row>
        <row r="4097">
          <cell r="H4097">
            <v>-69.744542999999993</v>
          </cell>
        </row>
        <row r="4098">
          <cell r="H4098">
            <v>-69.646620999999996</v>
          </cell>
        </row>
        <row r="4099">
          <cell r="H4099">
            <v>-69.548704999999984</v>
          </cell>
        </row>
        <row r="4100">
          <cell r="H4100">
            <v>-69.450887999999992</v>
          </cell>
        </row>
        <row r="4101">
          <cell r="H4101">
            <v>-69.352870999999993</v>
          </cell>
        </row>
        <row r="4102">
          <cell r="H4102">
            <v>-69.255054999999999</v>
          </cell>
        </row>
        <row r="4103">
          <cell r="H4103">
            <v>-69.157039000000012</v>
          </cell>
        </row>
        <row r="4104">
          <cell r="H4104">
            <v>-69.059122000000002</v>
          </cell>
        </row>
        <row r="4105">
          <cell r="H4105">
            <v>-68.961205000000007</v>
          </cell>
        </row>
        <row r="4106">
          <cell r="H4106">
            <v>-68.863289999999992</v>
          </cell>
        </row>
        <row r="4107">
          <cell r="H4107">
            <v>-68.765473</v>
          </cell>
        </row>
        <row r="4108">
          <cell r="H4108">
            <v>-68.667457999999996</v>
          </cell>
        </row>
        <row r="4109">
          <cell r="H4109">
            <v>-68.569642000000002</v>
          </cell>
        </row>
        <row r="4110">
          <cell r="H4110">
            <v>-68.471626999999998</v>
          </cell>
        </row>
        <row r="4111">
          <cell r="H4111">
            <v>-68.373811000000003</v>
          </cell>
        </row>
        <row r="4112">
          <cell r="H4112">
            <v>-68.275794999999988</v>
          </cell>
        </row>
        <row r="4113">
          <cell r="H4113">
            <v>-68.177880000000002</v>
          </cell>
        </row>
        <row r="4114">
          <cell r="H4114">
            <v>-68.080063999999993</v>
          </cell>
        </row>
        <row r="4115">
          <cell r="H4115">
            <v>-67.982049000000004</v>
          </cell>
        </row>
        <row r="4116">
          <cell r="H4116">
            <v>-67.884233999999992</v>
          </cell>
        </row>
        <row r="4117">
          <cell r="H4117">
            <v>-67.786219000000017</v>
          </cell>
        </row>
        <row r="4118">
          <cell r="H4118">
            <v>-67.688403000000008</v>
          </cell>
        </row>
        <row r="4119">
          <cell r="H4119">
            <v>-67.590388799999999</v>
          </cell>
        </row>
        <row r="4120">
          <cell r="H4120">
            <v>-67.492473799999999</v>
          </cell>
        </row>
        <row r="4121">
          <cell r="H4121">
            <v>-67.394659689999997</v>
          </cell>
        </row>
        <row r="4122">
          <cell r="H4122">
            <v>-67.296644299999997</v>
          </cell>
        </row>
        <row r="4123">
          <cell r="H4123">
            <v>-67.198830799999996</v>
          </cell>
        </row>
        <row r="4124">
          <cell r="H4124">
            <v>-67.100816000000009</v>
          </cell>
        </row>
        <row r="4125">
          <cell r="H4125">
            <v>-67.003002000000009</v>
          </cell>
        </row>
        <row r="4126">
          <cell r="H4126">
            <v>-66.904988000000003</v>
          </cell>
        </row>
        <row r="4127">
          <cell r="H4127">
            <v>-66.807172999999992</v>
          </cell>
        </row>
        <row r="4128">
          <cell r="H4128">
            <v>-66.709159</v>
          </cell>
        </row>
        <row r="4129">
          <cell r="H4129">
            <v>-66.611245000000011</v>
          </cell>
        </row>
        <row r="4130">
          <cell r="H4130">
            <v>-66.513432000000009</v>
          </cell>
        </row>
        <row r="4131">
          <cell r="H4131">
            <v>-66.415418000000003</v>
          </cell>
        </row>
        <row r="4132">
          <cell r="H4132">
            <v>-66.317604000000003</v>
          </cell>
        </row>
        <row r="4133">
          <cell r="H4133">
            <v>-66.219589999999997</v>
          </cell>
        </row>
        <row r="4134">
          <cell r="H4134">
            <v>-66.121777000000009</v>
          </cell>
        </row>
        <row r="4135">
          <cell r="H4135">
            <v>-66.023762999999988</v>
          </cell>
        </row>
        <row r="4136">
          <cell r="H4136">
            <v>-65.925849999999997</v>
          </cell>
        </row>
        <row r="4137">
          <cell r="H4137">
            <v>-65.827937999999989</v>
          </cell>
        </row>
        <row r="4138">
          <cell r="H4138">
            <v>-65.730024</v>
          </cell>
        </row>
        <row r="4139">
          <cell r="H4139">
            <v>-65.632210999999998</v>
          </cell>
        </row>
        <row r="4140">
          <cell r="H4140">
            <v>-65.534199000000001</v>
          </cell>
        </row>
        <row r="4141">
          <cell r="H4141">
            <v>-65.436385000000001</v>
          </cell>
        </row>
        <row r="4142">
          <cell r="H4142">
            <v>-65.338373000000004</v>
          </cell>
        </row>
        <row r="4143">
          <cell r="H4143">
            <v>-65.240459999999999</v>
          </cell>
        </row>
        <row r="4144">
          <cell r="H4144">
            <v>-65.142548000000005</v>
          </cell>
        </row>
        <row r="4145">
          <cell r="H4145">
            <v>-65.044638000000006</v>
          </cell>
        </row>
        <row r="4146">
          <cell r="H4146">
            <v>-64.946723000000006</v>
          </cell>
        </row>
        <row r="4147">
          <cell r="H4147">
            <v>-64.848807999999991</v>
          </cell>
        </row>
        <row r="4148">
          <cell r="H4148">
            <v>-64.750894000000002</v>
          </cell>
        </row>
        <row r="4149">
          <cell r="H4149">
            <v>-64.652989999999988</v>
          </cell>
        </row>
        <row r="4150">
          <cell r="H4150">
            <v>-64.555076</v>
          </cell>
        </row>
        <row r="4151">
          <cell r="H4151">
            <v>-64.457163000000008</v>
          </cell>
        </row>
        <row r="4152">
          <cell r="H4152">
            <v>-64.359250000000003</v>
          </cell>
        </row>
        <row r="4153">
          <cell r="H4153">
            <v>-64.261336999999997</v>
          </cell>
        </row>
        <row r="4154">
          <cell r="H4154">
            <v>-64.163425000000004</v>
          </cell>
        </row>
        <row r="4155">
          <cell r="H4155">
            <v>-64.065413000000007</v>
          </cell>
        </row>
        <row r="4156">
          <cell r="H4156">
            <v>-63.967601000000009</v>
          </cell>
        </row>
        <row r="4157">
          <cell r="H4157">
            <v>-63.869588999999998</v>
          </cell>
        </row>
        <row r="4158">
          <cell r="H4158">
            <v>-63.771777999999998</v>
          </cell>
        </row>
        <row r="4159">
          <cell r="H4159">
            <v>-63.673867000000008</v>
          </cell>
        </row>
        <row r="4160">
          <cell r="H4160">
            <v>-63.575857000000006</v>
          </cell>
        </row>
        <row r="4161">
          <cell r="H4161">
            <v>-63.478046000000006</v>
          </cell>
        </row>
        <row r="4162">
          <cell r="H4162">
            <v>-63.380035999999997</v>
          </cell>
        </row>
        <row r="4163">
          <cell r="H4163">
            <v>-63.282226999999992</v>
          </cell>
        </row>
        <row r="4164">
          <cell r="H4164">
            <v>-63.184217000000004</v>
          </cell>
        </row>
        <row r="4165">
          <cell r="H4165">
            <v>-63.086407999999999</v>
          </cell>
        </row>
        <row r="4166">
          <cell r="H4166">
            <v>-62.988399000000001</v>
          </cell>
        </row>
        <row r="4167">
          <cell r="H4167">
            <v>-62.890481000000008</v>
          </cell>
        </row>
        <row r="4168">
          <cell r="H4168">
            <v>-62.792572999999997</v>
          </cell>
        </row>
        <row r="4169">
          <cell r="H4169">
            <v>-62.694665000000008</v>
          </cell>
        </row>
        <row r="4170">
          <cell r="H4170">
            <v>-62.596757999999994</v>
          </cell>
        </row>
        <row r="4171">
          <cell r="H4171">
            <v>-62.498849999999997</v>
          </cell>
        </row>
        <row r="4172">
          <cell r="H4172">
            <v>-62.400933000000002</v>
          </cell>
        </row>
        <row r="4173">
          <cell r="H4173">
            <v>-62.303027</v>
          </cell>
        </row>
        <row r="4174">
          <cell r="H4174">
            <v>-62.205120999999998</v>
          </cell>
        </row>
        <row r="4175">
          <cell r="H4175">
            <v>-62.107205</v>
          </cell>
        </row>
        <row r="4176">
          <cell r="H4176">
            <v>-62.009298999999999</v>
          </cell>
        </row>
        <row r="4177">
          <cell r="H4177">
            <v>-61.909676999999988</v>
          </cell>
        </row>
        <row r="4178">
          <cell r="H4178">
            <v>-61.809994000000003</v>
          </cell>
        </row>
        <row r="4179">
          <cell r="H4179">
            <v>-61.710210000000004</v>
          </cell>
        </row>
        <row r="4180">
          <cell r="H4180">
            <v>-61.610526999999998</v>
          </cell>
        </row>
        <row r="4181">
          <cell r="H4181">
            <v>-61.510845000000003</v>
          </cell>
        </row>
        <row r="4182">
          <cell r="H4182">
            <v>-61.411162000000012</v>
          </cell>
        </row>
        <row r="4183">
          <cell r="H4183">
            <v>-61.311480999999993</v>
          </cell>
        </row>
        <row r="4184">
          <cell r="H4184">
            <v>-61.211699000000003</v>
          </cell>
        </row>
        <row r="4185">
          <cell r="H4185">
            <v>-61.112017999999999</v>
          </cell>
        </row>
        <row r="4186">
          <cell r="H4186">
            <v>-61.012336999999995</v>
          </cell>
        </row>
        <row r="4187">
          <cell r="H4187">
            <v>-60.912647</v>
          </cell>
        </row>
        <row r="4188">
          <cell r="H4188">
            <v>-60.812966999999993</v>
          </cell>
        </row>
        <row r="4189">
          <cell r="H4189">
            <v>-60.713187000000005</v>
          </cell>
        </row>
        <row r="4190">
          <cell r="H4190">
            <v>-60.613507999999996</v>
          </cell>
        </row>
        <row r="4191">
          <cell r="H4191">
            <v>-60.513818999999998</v>
          </cell>
        </row>
        <row r="4192">
          <cell r="H4192">
            <v>-60.414139999999996</v>
          </cell>
        </row>
        <row r="4193">
          <cell r="H4193">
            <v>-60.314461999999999</v>
          </cell>
        </row>
        <row r="4194">
          <cell r="H4194">
            <v>-60.214674000000002</v>
          </cell>
        </row>
        <row r="4195">
          <cell r="H4195">
            <v>-60.114997000000002</v>
          </cell>
        </row>
        <row r="4196">
          <cell r="H4196">
            <v>-60.015310000000007</v>
          </cell>
        </row>
        <row r="4197">
          <cell r="H4197">
            <v>-59.915633</v>
          </cell>
        </row>
        <row r="4198">
          <cell r="H4198">
            <v>-59.815746999999995</v>
          </cell>
        </row>
        <row r="4199">
          <cell r="H4199">
            <v>-59.716070999999999</v>
          </cell>
        </row>
        <row r="4200">
          <cell r="H4200">
            <v>-59.616385000000001</v>
          </cell>
        </row>
        <row r="4201">
          <cell r="H4201">
            <v>-59.516709999999989</v>
          </cell>
        </row>
        <row r="4202">
          <cell r="H4202">
            <v>-59.417025000000002</v>
          </cell>
        </row>
        <row r="4203">
          <cell r="H4203">
            <v>-59.31724100000001</v>
          </cell>
        </row>
        <row r="4204">
          <cell r="H4204">
            <v>-59.217567000000003</v>
          </cell>
        </row>
        <row r="4205">
          <cell r="H4205">
            <v>-59.117882999999992</v>
          </cell>
        </row>
        <row r="4206">
          <cell r="H4206">
            <v>-59.018200000000007</v>
          </cell>
        </row>
        <row r="4207">
          <cell r="H4207">
            <v>-58.918516999999994</v>
          </cell>
        </row>
        <row r="4208">
          <cell r="H4208">
            <v>-58.818744000000009</v>
          </cell>
        </row>
        <row r="4209">
          <cell r="H4209">
            <v>-58.719062000000001</v>
          </cell>
        </row>
        <row r="4210">
          <cell r="H4210">
            <v>-58.619380000000007</v>
          </cell>
        </row>
        <row r="4211">
          <cell r="H4211">
            <v>-58.519698999999996</v>
          </cell>
        </row>
        <row r="4212">
          <cell r="H4212">
            <v>-58.420017999999999</v>
          </cell>
        </row>
        <row r="4213">
          <cell r="H4213">
            <v>-58.320237000000006</v>
          </cell>
        </row>
        <row r="4214">
          <cell r="H4214">
            <v>-58.220556999999992</v>
          </cell>
        </row>
        <row r="4215">
          <cell r="H4215">
            <v>-58.120877000000007</v>
          </cell>
        </row>
        <row r="4216">
          <cell r="H4216">
            <v>-58.021196999999994</v>
          </cell>
        </row>
        <row r="4217">
          <cell r="H4217">
            <v>-57.921417999999996</v>
          </cell>
        </row>
        <row r="4218">
          <cell r="H4218">
            <v>-57.821738999999994</v>
          </cell>
        </row>
        <row r="4219">
          <cell r="H4219">
            <v>-57.722061000000004</v>
          </cell>
        </row>
        <row r="4220">
          <cell r="H4220">
            <v>-57.622382999999999</v>
          </cell>
        </row>
        <row r="4221">
          <cell r="H4221">
            <v>-57.522704999999995</v>
          </cell>
        </row>
        <row r="4222">
          <cell r="H4222">
            <v>-57.422917999999996</v>
          </cell>
        </row>
        <row r="4223">
          <cell r="H4223">
            <v>-57.323241000000003</v>
          </cell>
        </row>
        <row r="4224">
          <cell r="H4224">
            <v>-57.223564000000003</v>
          </cell>
        </row>
        <row r="4225">
          <cell r="H4225">
            <v>-57.123877999999998</v>
          </cell>
        </row>
        <row r="4226">
          <cell r="H4226">
            <v>-57.024202000000002</v>
          </cell>
        </row>
        <row r="4227">
          <cell r="H4227">
            <v>-56.924426000000004</v>
          </cell>
        </row>
        <row r="4228">
          <cell r="H4228">
            <v>-56.824740999999996</v>
          </cell>
        </row>
        <row r="4229">
          <cell r="H4229">
            <v>-56.725066999999996</v>
          </cell>
        </row>
        <row r="4230">
          <cell r="H4230">
            <v>-56.625282000000006</v>
          </cell>
        </row>
        <row r="4231">
          <cell r="H4231">
            <v>-56.525507999999995</v>
          </cell>
        </row>
        <row r="4232">
          <cell r="H4232">
            <v>-56.425825000000003</v>
          </cell>
        </row>
        <row r="4233">
          <cell r="H4233">
            <v>-56.326152</v>
          </cell>
        </row>
        <row r="4234">
          <cell r="H4234">
            <v>-56.226469000000009</v>
          </cell>
        </row>
        <row r="4235">
          <cell r="H4235">
            <v>-56.126796000000006</v>
          </cell>
        </row>
        <row r="4236">
          <cell r="H4236">
            <v>-56.027014000000001</v>
          </cell>
        </row>
        <row r="4237">
          <cell r="H4237">
            <v>-55.927332</v>
          </cell>
        </row>
        <row r="4238">
          <cell r="H4238">
            <v>-55.827660999999999</v>
          </cell>
        </row>
        <row r="4239">
          <cell r="H4239">
            <v>-55.727980000000002</v>
          </cell>
        </row>
        <row r="4240">
          <cell r="H4240">
            <v>-55.628298999999991</v>
          </cell>
        </row>
        <row r="4241">
          <cell r="H4241">
            <v>-55.528519000000003</v>
          </cell>
        </row>
        <row r="4242">
          <cell r="H4242">
            <v>-55.428849</v>
          </cell>
        </row>
        <row r="4243">
          <cell r="H4243">
            <v>-55.329169999999998</v>
          </cell>
        </row>
        <row r="4244">
          <cell r="H4244">
            <v>-55.229491000000003</v>
          </cell>
        </row>
        <row r="4245">
          <cell r="H4245">
            <v>-55.129712000000005</v>
          </cell>
        </row>
        <row r="4246">
          <cell r="H4246">
            <v>-55.030033999999993</v>
          </cell>
        </row>
        <row r="4247">
          <cell r="H4247">
            <v>-54.930355999999996</v>
          </cell>
        </row>
        <row r="4248">
          <cell r="H4248">
            <v>-54.830677999999999</v>
          </cell>
        </row>
        <row r="4249">
          <cell r="H4249">
            <v>-54.731000999999999</v>
          </cell>
        </row>
        <row r="4250">
          <cell r="H4250">
            <v>-54.631223999999996</v>
          </cell>
        </row>
        <row r="4251">
          <cell r="H4251">
            <v>-54.531447</v>
          </cell>
        </row>
        <row r="4252">
          <cell r="H4252">
            <v>-54.431770999999998</v>
          </cell>
        </row>
        <row r="4253">
          <cell r="H4253">
            <v>-54.332094999999995</v>
          </cell>
        </row>
        <row r="4254">
          <cell r="H4254">
            <v>-54.232420000000005</v>
          </cell>
        </row>
        <row r="4255">
          <cell r="H4255">
            <v>-54.132634999999993</v>
          </cell>
        </row>
        <row r="4256">
          <cell r="H4256">
            <v>-54.032960000000003</v>
          </cell>
        </row>
        <row r="4257">
          <cell r="H4257">
            <v>-53.933286000000003</v>
          </cell>
        </row>
        <row r="4258">
          <cell r="H4258">
            <v>-53.833612000000002</v>
          </cell>
        </row>
        <row r="4259">
          <cell r="H4259">
            <v>-53.733829</v>
          </cell>
        </row>
        <row r="4260">
          <cell r="H4260">
            <v>-53.634155999999997</v>
          </cell>
        </row>
        <row r="4261">
          <cell r="H4261">
            <v>-53.534472999999998</v>
          </cell>
        </row>
        <row r="4262">
          <cell r="H4262">
            <v>-53.434799999999996</v>
          </cell>
        </row>
        <row r="4263">
          <cell r="H4263">
            <v>-53.335127999999997</v>
          </cell>
        </row>
        <row r="4264">
          <cell r="H4264">
            <v>-53.235347000000004</v>
          </cell>
        </row>
        <row r="4265">
          <cell r="H4265">
            <v>-53.135674999999999</v>
          </cell>
        </row>
        <row r="4266">
          <cell r="H4266">
            <v>-53.035994999999993</v>
          </cell>
        </row>
        <row r="4267">
          <cell r="H4267">
            <v>-52.936223999999996</v>
          </cell>
        </row>
        <row r="4268">
          <cell r="H4268">
            <v>-52.836444</v>
          </cell>
        </row>
        <row r="4269">
          <cell r="H4269">
            <v>-52.736764000000001</v>
          </cell>
        </row>
        <row r="4270">
          <cell r="H4270">
            <v>-52.637095000000002</v>
          </cell>
        </row>
        <row r="4271">
          <cell r="H4271">
            <v>-52.537416</v>
          </cell>
        </row>
        <row r="4272">
          <cell r="H4272">
            <v>-52.437736999999998</v>
          </cell>
        </row>
        <row r="4273">
          <cell r="H4273">
            <v>-52.337969000000001</v>
          </cell>
        </row>
        <row r="4274">
          <cell r="H4274">
            <v>-52.238290999999997</v>
          </cell>
        </row>
        <row r="4275">
          <cell r="H4275">
            <v>-52.138613000000007</v>
          </cell>
        </row>
        <row r="4276">
          <cell r="H4276">
            <v>-52.038936000000007</v>
          </cell>
        </row>
        <row r="4277">
          <cell r="H4277">
            <v>-51.939159000000004</v>
          </cell>
        </row>
        <row r="4278">
          <cell r="H4278">
            <v>-51.839483000000001</v>
          </cell>
        </row>
        <row r="4279">
          <cell r="H4279">
            <v>-51.739817000000002</v>
          </cell>
        </row>
        <row r="4280">
          <cell r="H4280">
            <v>-51.640141000000007</v>
          </cell>
        </row>
        <row r="4281">
          <cell r="H4281">
            <v>-51.540365999999999</v>
          </cell>
        </row>
        <row r="4282">
          <cell r="H4282">
            <v>-51.440591000000005</v>
          </cell>
        </row>
        <row r="4283">
          <cell r="H4283">
            <v>-51.340915999999993</v>
          </cell>
        </row>
        <row r="4284">
          <cell r="H4284">
            <v>-51.241242</v>
          </cell>
        </row>
        <row r="4285">
          <cell r="H4285">
            <v>-51.141558000000003</v>
          </cell>
        </row>
        <row r="4286">
          <cell r="H4286">
            <v>-51.041784999999997</v>
          </cell>
        </row>
        <row r="4287">
          <cell r="H4287">
            <v>-50.942111999999995</v>
          </cell>
        </row>
        <row r="4288">
          <cell r="H4288">
            <v>-50.842439000000006</v>
          </cell>
        </row>
        <row r="4289">
          <cell r="H4289">
            <v>-50.742767000000001</v>
          </cell>
        </row>
        <row r="4290">
          <cell r="H4290">
            <v>-50.643094999999995</v>
          </cell>
        </row>
        <row r="4291">
          <cell r="H4291">
            <v>-50.543313000000005</v>
          </cell>
        </row>
        <row r="4292">
          <cell r="H4292">
            <v>-50.443641999999997</v>
          </cell>
        </row>
        <row r="4293">
          <cell r="H4293">
            <v>-50.343971000000003</v>
          </cell>
        </row>
        <row r="4294">
          <cell r="H4294">
            <v>-50.244191000000001</v>
          </cell>
        </row>
        <row r="4295">
          <cell r="H4295">
            <v>-50.144420999999994</v>
          </cell>
        </row>
        <row r="4296">
          <cell r="H4296">
            <v>-50.044740999999995</v>
          </cell>
        </row>
        <row r="4297">
          <cell r="H4297">
            <v>-49.945072000000003</v>
          </cell>
        </row>
        <row r="4298">
          <cell r="H4298">
            <v>-49.845393000000001</v>
          </cell>
        </row>
        <row r="4299">
          <cell r="H4299">
            <v>-49.745723999999996</v>
          </cell>
        </row>
        <row r="4300">
          <cell r="H4300">
            <v>-49.645945999999995</v>
          </cell>
        </row>
        <row r="4301">
          <cell r="H4301">
            <v>-49.546278000000008</v>
          </cell>
        </row>
        <row r="4302">
          <cell r="H4302">
            <v>-49.446601000000001</v>
          </cell>
        </row>
        <row r="4303">
          <cell r="H4303">
            <v>-49.346933999999997</v>
          </cell>
        </row>
        <row r="4304">
          <cell r="H4304">
            <v>-49.247157000000001</v>
          </cell>
        </row>
        <row r="4305">
          <cell r="H4305">
            <v>-49.147381000000003</v>
          </cell>
        </row>
        <row r="4306">
          <cell r="H4306">
            <v>-49.047714999999997</v>
          </cell>
        </row>
        <row r="4307">
          <cell r="H4307">
            <v>-48.948038999999994</v>
          </cell>
        </row>
        <row r="4308">
          <cell r="H4308">
            <v>-48.848364000000004</v>
          </cell>
        </row>
        <row r="4309">
          <cell r="H4309">
            <v>-48.748588999999996</v>
          </cell>
        </row>
        <row r="4310">
          <cell r="H4310">
            <v>-48.648915000000002</v>
          </cell>
        </row>
        <row r="4311">
          <cell r="H4311">
            <v>-48.549250999999998</v>
          </cell>
        </row>
        <row r="4312">
          <cell r="H4312">
            <v>-48.449577000000005</v>
          </cell>
        </row>
        <row r="4313">
          <cell r="H4313">
            <v>-48.349803999999999</v>
          </cell>
        </row>
        <row r="4314">
          <cell r="H4314">
            <v>-48.250131000000003</v>
          </cell>
        </row>
        <row r="4315">
          <cell r="H4315">
            <v>-48.150458</v>
          </cell>
        </row>
        <row r="4316">
          <cell r="H4316">
            <v>-48.050685999999992</v>
          </cell>
        </row>
        <row r="4317">
          <cell r="H4317">
            <v>-47.951013999999994</v>
          </cell>
        </row>
        <row r="4318">
          <cell r="H4318">
            <v>-47.851241999999999</v>
          </cell>
        </row>
        <row r="4319">
          <cell r="H4319">
            <v>-47.751570999999998</v>
          </cell>
        </row>
        <row r="4320">
          <cell r="H4320">
            <v>-47.651890999999999</v>
          </cell>
        </row>
        <row r="4321">
          <cell r="H4321">
            <v>-47.552220000000005</v>
          </cell>
        </row>
        <row r="4322">
          <cell r="H4322">
            <v>-47.452450000000006</v>
          </cell>
        </row>
        <row r="4323">
          <cell r="H4323">
            <v>-47.352780999999993</v>
          </cell>
        </row>
        <row r="4324">
          <cell r="H4324">
            <v>-47.253110999999997</v>
          </cell>
        </row>
        <row r="4325">
          <cell r="H4325">
            <v>-47.153333000000003</v>
          </cell>
        </row>
        <row r="4326">
          <cell r="H4326">
            <v>-47.053563999999994</v>
          </cell>
        </row>
        <row r="4327">
          <cell r="H4327">
            <v>-46.953896000000007</v>
          </cell>
        </row>
        <row r="4328">
          <cell r="H4328">
            <v>-46.854217999999996</v>
          </cell>
        </row>
        <row r="4329">
          <cell r="H4329">
            <v>-46.754551000000006</v>
          </cell>
        </row>
        <row r="4330">
          <cell r="H4330">
            <v>-46.654874</v>
          </cell>
        </row>
        <row r="4331">
          <cell r="H4331">
            <v>-46.555107</v>
          </cell>
        </row>
        <row r="4332">
          <cell r="H4332">
            <v>-46.455430999999997</v>
          </cell>
        </row>
        <row r="4333">
          <cell r="H4333">
            <v>-46.355764999999998</v>
          </cell>
        </row>
        <row r="4334">
          <cell r="H4334">
            <v>-46.25609</v>
          </cell>
        </row>
        <row r="4335">
          <cell r="H4335">
            <v>-46.156225000000006</v>
          </cell>
        </row>
        <row r="4336">
          <cell r="H4336">
            <v>-46.056549999999994</v>
          </cell>
        </row>
        <row r="4337">
          <cell r="H4337">
            <v>-45.956884999999993</v>
          </cell>
        </row>
        <row r="4338">
          <cell r="H4338">
            <v>-45.857211000000007</v>
          </cell>
        </row>
        <row r="4339">
          <cell r="H4339">
            <v>-45.757537999999997</v>
          </cell>
        </row>
        <row r="4340">
          <cell r="H4340">
            <v>-45.657764</v>
          </cell>
        </row>
        <row r="4341">
          <cell r="H4341">
            <v>-45.558101999999991</v>
          </cell>
        </row>
        <row r="4342">
          <cell r="H4342">
            <v>-45.458429000000002</v>
          </cell>
        </row>
        <row r="4343">
          <cell r="H4343">
            <v>-45.358657000000001</v>
          </cell>
        </row>
        <row r="4344">
          <cell r="H4344">
            <v>-45.258885000000006</v>
          </cell>
        </row>
        <row r="4345">
          <cell r="H4345">
            <v>-45.159213999999999</v>
          </cell>
        </row>
        <row r="4346">
          <cell r="H4346">
            <v>-45.059542999999998</v>
          </cell>
        </row>
        <row r="4347">
          <cell r="H4347">
            <v>-44.959881999999993</v>
          </cell>
        </row>
        <row r="4348">
          <cell r="H4348">
            <v>-44.860112000000008</v>
          </cell>
        </row>
        <row r="4349">
          <cell r="H4349">
            <v>-44.760441999999998</v>
          </cell>
        </row>
        <row r="4350">
          <cell r="H4350">
            <v>-44.660771999999994</v>
          </cell>
        </row>
        <row r="4351">
          <cell r="H4351">
            <v>-44.561093</v>
          </cell>
        </row>
        <row r="4352">
          <cell r="H4352">
            <v>-44.461324999999995</v>
          </cell>
        </row>
        <row r="4353">
          <cell r="H4353">
            <v>-44.361556</v>
          </cell>
        </row>
        <row r="4354">
          <cell r="H4354">
            <v>-44.261887999999999</v>
          </cell>
        </row>
        <row r="4355">
          <cell r="H4355">
            <v>-44.162220000000005</v>
          </cell>
        </row>
        <row r="4356">
          <cell r="H4356">
            <v>-44.062553000000001</v>
          </cell>
        </row>
        <row r="4357">
          <cell r="H4357">
            <v>-43.962775999999998</v>
          </cell>
        </row>
        <row r="4358">
          <cell r="H4358">
            <v>-43.863109999999992</v>
          </cell>
        </row>
        <row r="4359">
          <cell r="H4359">
            <v>-43.763444000000007</v>
          </cell>
        </row>
        <row r="4360">
          <cell r="H4360">
            <v>-43.663677999999997</v>
          </cell>
        </row>
        <row r="4361">
          <cell r="H4361">
            <v>-43.563902000000006</v>
          </cell>
        </row>
        <row r="4362">
          <cell r="H4362">
            <v>-43.464236999999997</v>
          </cell>
        </row>
        <row r="4363">
          <cell r="H4363">
            <v>-43.364562999999997</v>
          </cell>
        </row>
        <row r="4364">
          <cell r="H4364">
            <v>-43.264898000000009</v>
          </cell>
        </row>
        <row r="4365">
          <cell r="H4365">
            <v>-43.165234999999996</v>
          </cell>
        </row>
        <row r="4366">
          <cell r="H4366">
            <v>-43.065460999999999</v>
          </cell>
        </row>
        <row r="4367">
          <cell r="H4367">
            <v>-42.965697999999996</v>
          </cell>
        </row>
        <row r="4368">
          <cell r="H4368">
            <v>-42.866025</v>
          </cell>
        </row>
        <row r="4369">
          <cell r="H4369">
            <v>-42.766352999999995</v>
          </cell>
        </row>
        <row r="4370">
          <cell r="H4370">
            <v>-42.666590999999997</v>
          </cell>
        </row>
        <row r="4371">
          <cell r="H4371">
            <v>-42.566918999999999</v>
          </cell>
        </row>
        <row r="4372">
          <cell r="H4372">
            <v>-42.467247999999998</v>
          </cell>
        </row>
        <row r="4373">
          <cell r="H4373">
            <v>-42.367587</v>
          </cell>
        </row>
        <row r="4374">
          <cell r="H4374">
            <v>-42.267815999999996</v>
          </cell>
        </row>
        <row r="4375">
          <cell r="H4375">
            <v>-42.168045999999997</v>
          </cell>
        </row>
        <row r="4376">
          <cell r="H4376">
            <v>-42.068376000000001</v>
          </cell>
        </row>
        <row r="4377">
          <cell r="H4377">
            <v>-41.968716999999998</v>
          </cell>
        </row>
        <row r="4378">
          <cell r="H4378">
            <v>-41.867905</v>
          </cell>
        </row>
        <row r="4379">
          <cell r="H4379">
            <v>-41.766811000000004</v>
          </cell>
        </row>
        <row r="4380">
          <cell r="H4380">
            <v>-41.665746000000006</v>
          </cell>
        </row>
        <row r="4381">
          <cell r="H4381">
            <v>-41.564692000000001</v>
          </cell>
        </row>
        <row r="4382">
          <cell r="H4382">
            <v>-41.463729000000001</v>
          </cell>
        </row>
        <row r="4383">
          <cell r="H4383">
            <v>-41.362666000000004</v>
          </cell>
        </row>
        <row r="4384">
          <cell r="H4384">
            <v>-41.261603999999991</v>
          </cell>
        </row>
        <row r="4385">
          <cell r="H4385">
            <v>-41.160641999999996</v>
          </cell>
        </row>
        <row r="4386">
          <cell r="H4386">
            <v>-41.059579999999997</v>
          </cell>
        </row>
        <row r="4387">
          <cell r="H4387">
            <v>-40.958618999999999</v>
          </cell>
        </row>
        <row r="4388">
          <cell r="H4388">
            <v>-40.857459000000006</v>
          </cell>
        </row>
        <row r="4389">
          <cell r="H4389">
            <v>-40.756496999999996</v>
          </cell>
        </row>
        <row r="4390">
          <cell r="H4390">
            <v>-40.655437999999997</v>
          </cell>
        </row>
        <row r="4391">
          <cell r="H4391">
            <v>-40.554478999999994</v>
          </cell>
        </row>
        <row r="4392">
          <cell r="H4392">
            <v>-40.453420000000001</v>
          </cell>
        </row>
        <row r="4393">
          <cell r="H4393">
            <v>-40.352460999999998</v>
          </cell>
        </row>
        <row r="4394">
          <cell r="H4394">
            <v>-40.251403000000003</v>
          </cell>
        </row>
        <row r="4395">
          <cell r="H4395">
            <v>-40.150444999999991</v>
          </cell>
        </row>
        <row r="4396">
          <cell r="H4396">
            <v>-40.049277999999994</v>
          </cell>
        </row>
        <row r="4397">
          <cell r="H4397">
            <v>-39.948320999999993</v>
          </cell>
        </row>
        <row r="4398">
          <cell r="H4398">
            <v>-39.847265</v>
          </cell>
        </row>
        <row r="4399">
          <cell r="H4399">
            <v>-39.746199000000004</v>
          </cell>
        </row>
        <row r="4400">
          <cell r="H4400">
            <v>-39.645243000000008</v>
          </cell>
        </row>
        <row r="4401">
          <cell r="H4401">
            <v>-39.544187999999998</v>
          </cell>
        </row>
        <row r="4402">
          <cell r="H4402">
            <v>-39.443223000000003</v>
          </cell>
        </row>
        <row r="4403">
          <cell r="H4403">
            <v>-39.342168999999998</v>
          </cell>
        </row>
        <row r="4404">
          <cell r="H4404">
            <v>-39.241104</v>
          </cell>
        </row>
        <row r="4405">
          <cell r="H4405">
            <v>-39.140051999999997</v>
          </cell>
        </row>
        <row r="4406">
          <cell r="H4406">
            <v>-39.039088000000007</v>
          </cell>
        </row>
        <row r="4407">
          <cell r="H4407">
            <v>-38.938035999999997</v>
          </cell>
        </row>
        <row r="4408">
          <cell r="H4408">
            <v>-38.837073000000004</v>
          </cell>
        </row>
        <row r="4409">
          <cell r="H4409">
            <v>-38.736010999999998</v>
          </cell>
        </row>
        <row r="4410">
          <cell r="H4410">
            <v>-38.63496</v>
          </cell>
        </row>
        <row r="4411">
          <cell r="H4411">
            <v>-38.533998999999994</v>
          </cell>
        </row>
        <row r="4412">
          <cell r="H4412">
            <v>-38.432839000000001</v>
          </cell>
        </row>
        <row r="4413">
          <cell r="H4413">
            <v>-38.331878999999994</v>
          </cell>
        </row>
        <row r="4414">
          <cell r="H4414">
            <v>-38.230819000000004</v>
          </cell>
        </row>
        <row r="4415">
          <cell r="H4415">
            <v>-38.129860000000001</v>
          </cell>
        </row>
        <row r="4416">
          <cell r="H4416">
            <v>-38.028810999999997</v>
          </cell>
        </row>
        <row r="4417">
          <cell r="H4417">
            <v>-37.927852999999999</v>
          </cell>
        </row>
        <row r="4418">
          <cell r="H4418">
            <v>-37.826795000000004</v>
          </cell>
        </row>
        <row r="4419">
          <cell r="H4419">
            <v>-37.725737000000002</v>
          </cell>
        </row>
        <row r="4420">
          <cell r="H4420">
            <v>-37.624679999999998</v>
          </cell>
        </row>
        <row r="4421">
          <cell r="H4421">
            <v>-37.523623000000001</v>
          </cell>
        </row>
        <row r="4422">
          <cell r="H4422">
            <v>-37.422657000000001</v>
          </cell>
        </row>
        <row r="4423">
          <cell r="H4423">
            <v>-37.321602000000006</v>
          </cell>
        </row>
        <row r="4424">
          <cell r="H4424">
            <v>-37.220645999999995</v>
          </cell>
        </row>
        <row r="4425">
          <cell r="H4425">
            <v>-37.119591</v>
          </cell>
        </row>
        <row r="4426">
          <cell r="H4426">
            <v>-37.018636999999998</v>
          </cell>
        </row>
        <row r="4427">
          <cell r="H4427">
            <v>-36.917472000000004</v>
          </cell>
        </row>
        <row r="4428">
          <cell r="H4428">
            <v>-36.816418999999996</v>
          </cell>
        </row>
        <row r="4429">
          <cell r="H4429">
            <v>-36.715466000000006</v>
          </cell>
        </row>
        <row r="4430">
          <cell r="H4430">
            <v>-36.614402000000005</v>
          </cell>
        </row>
        <row r="4431">
          <cell r="H4431">
            <v>-36.513449999999999</v>
          </cell>
        </row>
        <row r="4432">
          <cell r="H4432">
            <v>-36.412397999999996</v>
          </cell>
        </row>
        <row r="4433">
          <cell r="H4433">
            <v>-36.311436999999998</v>
          </cell>
        </row>
        <row r="4434">
          <cell r="H4434">
            <v>-36.210386000000007</v>
          </cell>
        </row>
        <row r="4435">
          <cell r="H4435">
            <v>-36.109224999999995</v>
          </cell>
        </row>
        <row r="4436">
          <cell r="H4436">
            <v>-36.008275000000005</v>
          </cell>
        </row>
        <row r="4437">
          <cell r="H4437">
            <v>-35.907215000000001</v>
          </cell>
        </row>
        <row r="4438">
          <cell r="H4438">
            <v>-35.806255</v>
          </cell>
        </row>
        <row r="4439">
          <cell r="H4439">
            <v>-35.705204999999999</v>
          </cell>
        </row>
        <row r="4440">
          <cell r="H4440">
            <v>-35.604247000000001</v>
          </cell>
        </row>
        <row r="4441">
          <cell r="H4441">
            <v>-35.503188999999999</v>
          </cell>
        </row>
        <row r="4442">
          <cell r="H4442">
            <v>-35.402132000000002</v>
          </cell>
        </row>
        <row r="4443">
          <cell r="H4443">
            <v>-35.301084000000003</v>
          </cell>
        </row>
        <row r="4444">
          <cell r="H4444">
            <v>-35.200025999999994</v>
          </cell>
        </row>
        <row r="4445">
          <cell r="H4445">
            <v>-35.099069999999998</v>
          </cell>
        </row>
        <row r="4446">
          <cell r="H4446">
            <v>-34.998015000000002</v>
          </cell>
        </row>
        <row r="4447">
          <cell r="H4447">
            <v>-34.896958999999995</v>
          </cell>
        </row>
        <row r="4448">
          <cell r="H4448">
            <v>-34.796004000000003</v>
          </cell>
        </row>
        <row r="4449">
          <cell r="H4449">
            <v>-34.694949000000008</v>
          </cell>
        </row>
        <row r="4450">
          <cell r="H4450">
            <v>-34.593995</v>
          </cell>
        </row>
        <row r="4451">
          <cell r="H4451">
            <v>-34.492840999999999</v>
          </cell>
        </row>
        <row r="4452">
          <cell r="H4452">
            <v>-34.391888000000002</v>
          </cell>
        </row>
        <row r="4453">
          <cell r="H4453">
            <v>-34.290832999999999</v>
          </cell>
        </row>
        <row r="4454">
          <cell r="H4454">
            <v>-34.189782000000008</v>
          </cell>
        </row>
        <row r="4455">
          <cell r="H4455">
            <v>-34.088829000000004</v>
          </cell>
        </row>
        <row r="4456">
          <cell r="H4456">
            <v>-33.987768000000003</v>
          </cell>
        </row>
        <row r="4457">
          <cell r="H4457">
            <v>-33.886816000000003</v>
          </cell>
        </row>
        <row r="4458">
          <cell r="H4458">
            <v>-33.785665999999999</v>
          </cell>
        </row>
        <row r="4459">
          <cell r="H4459">
            <v>-33.684614999999994</v>
          </cell>
        </row>
        <row r="4460">
          <cell r="H4460">
            <v>-33.583653999999996</v>
          </cell>
        </row>
        <row r="4461">
          <cell r="H4461">
            <v>-33.482603999999995</v>
          </cell>
        </row>
        <row r="4462">
          <cell r="H4462">
            <v>-33.381646000000003</v>
          </cell>
        </row>
        <row r="4463">
          <cell r="H4463">
            <v>-33.280597</v>
          </cell>
        </row>
        <row r="4464">
          <cell r="H4464">
            <v>-33.179539000000005</v>
          </cell>
        </row>
        <row r="4465">
          <cell r="H4465">
            <v>-33.078591000000003</v>
          </cell>
        </row>
        <row r="4466">
          <cell r="H4466">
            <v>-32.977432999999998</v>
          </cell>
        </row>
        <row r="4467">
          <cell r="H4467">
            <v>-32.876486000000007</v>
          </cell>
        </row>
        <row r="4468">
          <cell r="H4468">
            <v>-32.775429000000003</v>
          </cell>
        </row>
        <row r="4469">
          <cell r="H4469">
            <v>-32.674383000000006</v>
          </cell>
        </row>
        <row r="4470">
          <cell r="H4470">
            <v>-32.573427000000002</v>
          </cell>
        </row>
        <row r="4471">
          <cell r="H4471">
            <v>-32.472372</v>
          </cell>
        </row>
        <row r="4472">
          <cell r="H4472">
            <v>-32.371417000000008</v>
          </cell>
        </row>
        <row r="4473">
          <cell r="H4473">
            <v>-32.270372000000002</v>
          </cell>
        </row>
        <row r="4474">
          <cell r="H4474">
            <v>-32.169218000000001</v>
          </cell>
        </row>
        <row r="4475">
          <cell r="H4475">
            <v>-32.068264999999997</v>
          </cell>
        </row>
        <row r="4476">
          <cell r="H4476">
            <v>-31.967210999999999</v>
          </cell>
        </row>
        <row r="4477">
          <cell r="H4477">
            <v>-31.866259000000003</v>
          </cell>
        </row>
        <row r="4478">
          <cell r="H4478">
            <v>-31.765205999999996</v>
          </cell>
        </row>
        <row r="4479">
          <cell r="H4479">
            <v>-31.664183000000001</v>
          </cell>
        </row>
        <row r="4480">
          <cell r="H4480">
            <v>-31.563172000000002</v>
          </cell>
        </row>
        <row r="4481">
          <cell r="H4481">
            <v>-31.462061000000002</v>
          </cell>
        </row>
        <row r="4482">
          <cell r="H4482">
            <v>-31.361041</v>
          </cell>
        </row>
        <row r="4483">
          <cell r="H4483">
            <v>-31.26003</v>
          </cell>
        </row>
        <row r="4484">
          <cell r="H4484">
            <v>-31.159019000000004</v>
          </cell>
        </row>
        <row r="4485">
          <cell r="H4485">
            <v>-31.058010999999997</v>
          </cell>
        </row>
        <row r="4486">
          <cell r="H4486">
            <v>-30.956992000000003</v>
          </cell>
        </row>
        <row r="4487">
          <cell r="H4487">
            <v>-30.855973000000002</v>
          </cell>
        </row>
        <row r="4488">
          <cell r="H4488">
            <v>-30.754964999999999</v>
          </cell>
        </row>
        <row r="4489">
          <cell r="H4489">
            <v>-30.6538568</v>
          </cell>
        </row>
        <row r="4490">
          <cell r="H4490">
            <v>-30.552840000000003</v>
          </cell>
        </row>
        <row r="4491">
          <cell r="H4491">
            <v>-30.451833199999996</v>
          </cell>
        </row>
        <row r="4492">
          <cell r="H4492">
            <v>-30.350806500000004</v>
          </cell>
        </row>
        <row r="4493">
          <cell r="H4493">
            <v>-30.249800399999998</v>
          </cell>
        </row>
        <row r="4494">
          <cell r="H4494">
            <v>-30.148794599999999</v>
          </cell>
        </row>
        <row r="4495">
          <cell r="H4495">
            <v>-30.0477688</v>
          </cell>
        </row>
        <row r="4496">
          <cell r="H4496">
            <v>-29.946664600000002</v>
          </cell>
        </row>
        <row r="4497">
          <cell r="H4497">
            <v>-29.845650599999999</v>
          </cell>
        </row>
        <row r="4498">
          <cell r="H4498">
            <v>-29.7446366</v>
          </cell>
        </row>
        <row r="4499">
          <cell r="H4499">
            <v>-29.643623099999999</v>
          </cell>
        </row>
        <row r="4500">
          <cell r="H4500">
            <v>-29.542609800000001</v>
          </cell>
        </row>
        <row r="4501">
          <cell r="H4501">
            <v>-29.441596000000001</v>
          </cell>
        </row>
        <row r="4502">
          <cell r="H4502">
            <v>-29.3405852</v>
          </cell>
        </row>
        <row r="4503">
          <cell r="H4503">
            <v>-29.239573200000006</v>
          </cell>
        </row>
        <row r="4504">
          <cell r="H4504">
            <v>-29.138461399999997</v>
          </cell>
        </row>
        <row r="4505">
          <cell r="H4505">
            <v>-29.037441100000002</v>
          </cell>
        </row>
        <row r="4506">
          <cell r="H4506">
            <v>-28.936430599999998</v>
          </cell>
        </row>
        <row r="4507">
          <cell r="H4507">
            <v>-28.835409300000006</v>
          </cell>
        </row>
        <row r="4508">
          <cell r="H4508">
            <v>-28.7344106</v>
          </cell>
        </row>
        <row r="4509">
          <cell r="H4509">
            <v>-28.633400900000002</v>
          </cell>
        </row>
        <row r="4510">
          <cell r="H4510">
            <v>-28.532382299999998</v>
          </cell>
        </row>
        <row r="4511">
          <cell r="H4511">
            <v>-28.431274299999998</v>
          </cell>
        </row>
        <row r="4512">
          <cell r="H4512">
            <v>-28.3302458</v>
          </cell>
        </row>
        <row r="4513">
          <cell r="H4513">
            <v>-28.229238800000001</v>
          </cell>
        </row>
        <row r="4514">
          <cell r="H4514">
            <v>-28.128221499999999</v>
          </cell>
        </row>
        <row r="4515">
          <cell r="H4515">
            <v>-28.027214900000004</v>
          </cell>
        </row>
        <row r="4516">
          <cell r="H4516">
            <v>-27.926207999999995</v>
          </cell>
        </row>
        <row r="4517">
          <cell r="H4517">
            <v>-27.8251928</v>
          </cell>
        </row>
        <row r="4518">
          <cell r="H4518">
            <v>-27.724177399999999</v>
          </cell>
        </row>
        <row r="4519">
          <cell r="H4519">
            <v>-27.623061099999997</v>
          </cell>
        </row>
        <row r="4520">
          <cell r="H4520">
            <v>-27.5220573</v>
          </cell>
        </row>
        <row r="4521">
          <cell r="H4521">
            <v>-27.416045200000003</v>
          </cell>
        </row>
        <row r="4522">
          <cell r="H4522">
            <v>-27.29995559</v>
          </cell>
        </row>
        <row r="4523">
          <cell r="H4523">
            <v>-27.183743400000001</v>
          </cell>
        </row>
        <row r="4524">
          <cell r="H4524">
            <v>-27.067541600000002</v>
          </cell>
        </row>
        <row r="4525">
          <cell r="H4525">
            <v>-26.951330799999994</v>
          </cell>
        </row>
        <row r="4526">
          <cell r="H4526">
            <v>-26.835130799999998</v>
          </cell>
        </row>
        <row r="4527">
          <cell r="H4527">
            <v>-26.7189117</v>
          </cell>
        </row>
        <row r="4528">
          <cell r="H4528">
            <v>-26.602703500000001</v>
          </cell>
        </row>
        <row r="4529">
          <cell r="H4529">
            <v>-26.486496000000002</v>
          </cell>
        </row>
        <row r="4530">
          <cell r="H4530">
            <v>-26.370289999999997</v>
          </cell>
        </row>
        <row r="4531">
          <cell r="H4531">
            <v>-26.254073999999999</v>
          </cell>
        </row>
        <row r="4532">
          <cell r="H4532">
            <v>-26.13786</v>
          </cell>
        </row>
        <row r="4533">
          <cell r="H4533">
            <v>-26.021755999999996</v>
          </cell>
        </row>
        <row r="4534">
          <cell r="H4534">
            <v>-25.905542999999998</v>
          </cell>
        </row>
        <row r="4535">
          <cell r="H4535">
            <v>-25.789331000000001</v>
          </cell>
        </row>
        <row r="4536">
          <cell r="H4536">
            <v>-25.673119999999997</v>
          </cell>
        </row>
        <row r="4537">
          <cell r="H4537">
            <v>-25.556910000000002</v>
          </cell>
        </row>
        <row r="4538">
          <cell r="H4538">
            <v>-25.440691000000001</v>
          </cell>
        </row>
        <row r="4539">
          <cell r="H4539">
            <v>-25.324482999999997</v>
          </cell>
        </row>
        <row r="4540">
          <cell r="H4540">
            <v>-25.208275000000004</v>
          </cell>
        </row>
        <row r="4541">
          <cell r="H4541">
            <v>-25.092048999999999</v>
          </cell>
        </row>
        <row r="4542">
          <cell r="H4542">
            <v>-24.975942999999997</v>
          </cell>
        </row>
        <row r="4543">
          <cell r="H4543">
            <v>-24.859718000000004</v>
          </cell>
        </row>
        <row r="4544">
          <cell r="H4544">
            <v>-24.743513999999998</v>
          </cell>
        </row>
        <row r="4545">
          <cell r="H4545">
            <v>-24.627292000000001</v>
          </cell>
        </row>
        <row r="4546">
          <cell r="H4546">
            <v>-24.511078999999999</v>
          </cell>
        </row>
        <row r="4547">
          <cell r="H4547">
            <v>-24.394867999999999</v>
          </cell>
        </row>
        <row r="4548">
          <cell r="H4548">
            <v>-24.278647999999997</v>
          </cell>
        </row>
        <row r="4549">
          <cell r="H4549">
            <v>-24.162528999999999</v>
          </cell>
        </row>
        <row r="4550">
          <cell r="H4550">
            <v>-24.046310000000002</v>
          </cell>
        </row>
        <row r="4551">
          <cell r="H4551">
            <v>-23.930102999999999</v>
          </cell>
        </row>
        <row r="4552">
          <cell r="H4552">
            <v>-23.813876</v>
          </cell>
        </row>
        <row r="4553">
          <cell r="H4553">
            <v>-23.697659999999999</v>
          </cell>
        </row>
        <row r="4554">
          <cell r="H4554">
            <v>-23.581444999999999</v>
          </cell>
        </row>
        <row r="4555">
          <cell r="H4555">
            <v>-23.465330999999999</v>
          </cell>
        </row>
        <row r="4556">
          <cell r="H4556">
            <v>-23.349118000000001</v>
          </cell>
        </row>
        <row r="4557">
          <cell r="H4557">
            <v>-23.232886000000001</v>
          </cell>
        </row>
        <row r="4558">
          <cell r="H4558">
            <v>-23.116675000000001</v>
          </cell>
        </row>
        <row r="4559">
          <cell r="H4559">
            <v>-23.000454000000001</v>
          </cell>
        </row>
        <row r="4560">
          <cell r="H4560">
            <v>-22.884235</v>
          </cell>
        </row>
        <row r="4561">
          <cell r="H4561">
            <v>-22.768115999999999</v>
          </cell>
        </row>
        <row r="4562">
          <cell r="H4562">
            <v>-22.651888</v>
          </cell>
        </row>
        <row r="4563">
          <cell r="H4563">
            <v>-22.535672000000005</v>
          </cell>
        </row>
        <row r="4564">
          <cell r="H4564">
            <v>-22.419456000000004</v>
          </cell>
        </row>
        <row r="4565">
          <cell r="H4565">
            <v>-22.303231</v>
          </cell>
        </row>
        <row r="4566">
          <cell r="H4566">
            <v>-22.187116</v>
          </cell>
        </row>
        <row r="4567">
          <cell r="H4567">
            <v>-22.070892999999998</v>
          </cell>
        </row>
        <row r="4568">
          <cell r="H4568">
            <v>-21.954660999999998</v>
          </cell>
        </row>
        <row r="4569">
          <cell r="H4569">
            <v>-21.838439000000001</v>
          </cell>
        </row>
        <row r="4570">
          <cell r="H4570">
            <v>-21.722218999999999</v>
          </cell>
        </row>
        <row r="4571">
          <cell r="H4571">
            <v>-21.606099</v>
          </cell>
        </row>
        <row r="4572">
          <cell r="H4572">
            <v>-21.489870000000003</v>
          </cell>
        </row>
        <row r="4573">
          <cell r="H4573">
            <v>-21.373652999999997</v>
          </cell>
        </row>
        <row r="4574">
          <cell r="H4574">
            <v>-21.257426000000002</v>
          </cell>
        </row>
        <row r="4575">
          <cell r="H4575">
            <v>-21.141198999999997</v>
          </cell>
        </row>
        <row r="4576">
          <cell r="H4576">
            <v>-21.025074</v>
          </cell>
        </row>
        <row r="4577">
          <cell r="H4577">
            <v>-20.908850000000001</v>
          </cell>
        </row>
        <row r="4578">
          <cell r="H4578">
            <v>-20.792626999999996</v>
          </cell>
        </row>
        <row r="4579">
          <cell r="H4579">
            <v>-20.676394000000002</v>
          </cell>
        </row>
        <row r="4580">
          <cell r="H4580">
            <v>-20.560272000000001</v>
          </cell>
        </row>
        <row r="4581">
          <cell r="H4581">
            <v>-20.444042</v>
          </cell>
        </row>
        <row r="4582">
          <cell r="H4582">
            <v>-20.327822000000001</v>
          </cell>
        </row>
        <row r="4583">
          <cell r="H4583">
            <v>-20.211592999999997</v>
          </cell>
        </row>
        <row r="4584">
          <cell r="H4584">
            <v>-20.095464999999997</v>
          </cell>
        </row>
        <row r="4585">
          <cell r="H4585">
            <v>-19.979248000000005</v>
          </cell>
        </row>
        <row r="4586">
          <cell r="H4586">
            <v>-19.863010000000003</v>
          </cell>
        </row>
        <row r="4587">
          <cell r="H4587">
            <v>-19.746789999999997</v>
          </cell>
        </row>
        <row r="4588">
          <cell r="H4588">
            <v>-19.630650000000003</v>
          </cell>
        </row>
        <row r="4589">
          <cell r="H4589">
            <v>-19.514430000000001</v>
          </cell>
        </row>
        <row r="4590">
          <cell r="H4590">
            <v>-19.398200000000003</v>
          </cell>
        </row>
        <row r="4591">
          <cell r="H4591">
            <v>-19.281959999999998</v>
          </cell>
        </row>
        <row r="4592">
          <cell r="H4592">
            <v>-19.165840000000003</v>
          </cell>
        </row>
        <row r="4593">
          <cell r="H4593">
            <v>-19.049610000000001</v>
          </cell>
        </row>
        <row r="4594">
          <cell r="H4594">
            <v>-18.93337</v>
          </cell>
        </row>
        <row r="4595">
          <cell r="H4595">
            <v>-18.817249999999998</v>
          </cell>
        </row>
        <row r="4596">
          <cell r="H4596">
            <v>-18.701020000000003</v>
          </cell>
        </row>
        <row r="4597">
          <cell r="H4597">
            <v>-18.584779999999999</v>
          </cell>
        </row>
        <row r="4598">
          <cell r="H4598">
            <v>-18.46855</v>
          </cell>
        </row>
        <row r="4599">
          <cell r="H4599">
            <v>-18.352409999999999</v>
          </cell>
        </row>
        <row r="4600">
          <cell r="H4600">
            <v>-18.236189999999997</v>
          </cell>
        </row>
        <row r="4601">
          <cell r="H4601">
            <v>-18.119950000000003</v>
          </cell>
        </row>
        <row r="4602">
          <cell r="H4602">
            <v>-18.003819999999997</v>
          </cell>
        </row>
        <row r="4603">
          <cell r="H4603">
            <v>-17.88758</v>
          </cell>
        </row>
        <row r="4604">
          <cell r="H4604">
            <v>-17.771349999999998</v>
          </cell>
        </row>
        <row r="4605">
          <cell r="H4605">
            <v>-17.655209999999997</v>
          </cell>
        </row>
        <row r="4606">
          <cell r="H4606">
            <v>-17.538979999999999</v>
          </cell>
        </row>
        <row r="4607">
          <cell r="H4607">
            <v>-17.422760000000004</v>
          </cell>
        </row>
        <row r="4608">
          <cell r="H4608">
            <v>-17.306620000000002</v>
          </cell>
        </row>
        <row r="4609">
          <cell r="H4609">
            <v>-17.190390000000001</v>
          </cell>
        </row>
        <row r="4610">
          <cell r="H4610">
            <v>-17.074139999999996</v>
          </cell>
        </row>
        <row r="4611">
          <cell r="H4611">
            <v>-16.957909999999998</v>
          </cell>
        </row>
        <row r="4612">
          <cell r="H4612">
            <v>-16.84177</v>
          </cell>
        </row>
        <row r="4613">
          <cell r="H4613">
            <v>-16.725529999999996</v>
          </cell>
        </row>
        <row r="4614">
          <cell r="H4614">
            <v>-16.609300000000001</v>
          </cell>
        </row>
        <row r="4615">
          <cell r="H4615">
            <v>-16.49316</v>
          </cell>
        </row>
        <row r="4616">
          <cell r="H4616">
            <v>-16.376919999999998</v>
          </cell>
        </row>
        <row r="4617">
          <cell r="H4617">
            <v>-16.26078</v>
          </cell>
        </row>
        <row r="4618">
          <cell r="H4618">
            <v>-16.144550000000002</v>
          </cell>
        </row>
        <row r="4619">
          <cell r="H4619">
            <v>-16.026350000000001</v>
          </cell>
        </row>
        <row r="4620">
          <cell r="H4620">
            <v>-15.908099999999997</v>
          </cell>
        </row>
        <row r="4621">
          <cell r="H4621">
            <v>-15.789739999999998</v>
          </cell>
        </row>
        <row r="4622">
          <cell r="H4622">
            <v>-15.671479999999999</v>
          </cell>
        </row>
        <row r="4623">
          <cell r="H4623">
            <v>-15.55322</v>
          </cell>
        </row>
        <row r="4624">
          <cell r="H4624">
            <v>-15.43487</v>
          </cell>
        </row>
        <row r="4625">
          <cell r="H4625">
            <v>-15.316599999999998</v>
          </cell>
        </row>
        <row r="4626">
          <cell r="H4626">
            <v>-15.198249999999998</v>
          </cell>
        </row>
        <row r="4627">
          <cell r="H4627">
            <v>-15.079989999999999</v>
          </cell>
        </row>
        <row r="4628">
          <cell r="H4628">
            <v>-14.961729999999999</v>
          </cell>
        </row>
        <row r="4629">
          <cell r="H4629">
            <v>-14.84337</v>
          </cell>
        </row>
        <row r="4630">
          <cell r="H4630">
            <v>-14.725109999999997</v>
          </cell>
        </row>
        <row r="4631">
          <cell r="H4631">
            <v>-14.606859999999998</v>
          </cell>
        </row>
        <row r="4632">
          <cell r="H4632">
            <v>-14.488499999999998</v>
          </cell>
        </row>
        <row r="4633">
          <cell r="H4633">
            <v>-14.370239999999999</v>
          </cell>
        </row>
        <row r="4634">
          <cell r="H4634">
            <v>-14.25188</v>
          </cell>
        </row>
        <row r="4635">
          <cell r="H4635">
            <v>-14.133620000000001</v>
          </cell>
        </row>
        <row r="4636">
          <cell r="H4636">
            <v>-14.015350000000002</v>
          </cell>
        </row>
        <row r="4637">
          <cell r="H4637">
            <v>-13.896989999999999</v>
          </cell>
        </row>
        <row r="4638">
          <cell r="H4638">
            <v>-13.77882</v>
          </cell>
        </row>
        <row r="4639">
          <cell r="H4639">
            <v>-13.661210000000001</v>
          </cell>
        </row>
        <row r="4640">
          <cell r="H4640">
            <v>-13.543510000000003</v>
          </cell>
        </row>
        <row r="4641">
          <cell r="H4641">
            <v>-13.42591</v>
          </cell>
        </row>
        <row r="4642">
          <cell r="H4642">
            <v>-13.308309999999999</v>
          </cell>
        </row>
        <row r="4643">
          <cell r="H4643">
            <v>-13.19061</v>
          </cell>
        </row>
        <row r="4644">
          <cell r="H4644">
            <v>-13.07301</v>
          </cell>
        </row>
        <row r="4645">
          <cell r="H4645">
            <v>-12.955389999999998</v>
          </cell>
        </row>
        <row r="4646">
          <cell r="H4646">
            <v>-12.837699999999998</v>
          </cell>
        </row>
        <row r="4647">
          <cell r="H4647">
            <v>-12.720090000000001</v>
          </cell>
        </row>
        <row r="4648">
          <cell r="H4648">
            <v>-12.602480000000002</v>
          </cell>
        </row>
        <row r="4649">
          <cell r="H4649">
            <v>-12.48479</v>
          </cell>
        </row>
        <row r="4650">
          <cell r="H4650">
            <v>-12.367180000000001</v>
          </cell>
        </row>
        <row r="4651">
          <cell r="H4651">
            <v>-12.249479999999998</v>
          </cell>
        </row>
        <row r="4652">
          <cell r="H4652">
            <v>-12.131869999999999</v>
          </cell>
        </row>
        <row r="4653">
          <cell r="H4653">
            <v>-12.01426</v>
          </cell>
        </row>
        <row r="4654">
          <cell r="H4654">
            <v>-11.896569999999997</v>
          </cell>
        </row>
        <row r="4655">
          <cell r="H4655">
            <v>-11.778969999999997</v>
          </cell>
        </row>
        <row r="4656">
          <cell r="H4656">
            <v>-11.661360000000004</v>
          </cell>
        </row>
        <row r="4657">
          <cell r="H4657">
            <v>-11.543660000000001</v>
          </cell>
        </row>
        <row r="4658">
          <cell r="H4658">
            <v>-11.426049999999998</v>
          </cell>
        </row>
        <row r="4659">
          <cell r="H4659">
            <v>-11.308349999999999</v>
          </cell>
        </row>
        <row r="4660">
          <cell r="H4660">
            <v>-11.190750000000001</v>
          </cell>
        </row>
        <row r="4661">
          <cell r="H4661">
            <v>-11.073149999999998</v>
          </cell>
        </row>
        <row r="4662">
          <cell r="H4662">
            <v>-10.955450000000003</v>
          </cell>
        </row>
        <row r="4663">
          <cell r="H4663">
            <v>-10.83785</v>
          </cell>
        </row>
        <row r="4664">
          <cell r="H4664">
            <v>-10.720230000000001</v>
          </cell>
        </row>
        <row r="4665">
          <cell r="H4665">
            <v>-10.568930000000002</v>
          </cell>
        </row>
        <row r="4666">
          <cell r="H4666">
            <v>-10.40606</v>
          </cell>
        </row>
        <row r="4667">
          <cell r="H4667">
            <v>-10.2433</v>
          </cell>
        </row>
        <row r="4668">
          <cell r="H4668">
            <v>-10.08043</v>
          </cell>
        </row>
        <row r="4669">
          <cell r="H4669">
            <v>-9.9176599999999979</v>
          </cell>
        </row>
        <row r="4670">
          <cell r="H4670">
            <v>-9.7547999999999995</v>
          </cell>
        </row>
        <row r="4671">
          <cell r="H4671">
            <v>-9.5919099999999986</v>
          </cell>
        </row>
        <row r="4672">
          <cell r="H4672">
            <v>-9.4291499999999999</v>
          </cell>
        </row>
        <row r="4673">
          <cell r="H4673">
            <v>-9.266370000000002</v>
          </cell>
        </row>
        <row r="4674">
          <cell r="H4674">
            <v>-9.1035000000000004</v>
          </cell>
        </row>
        <row r="4675">
          <cell r="H4675">
            <v>-8.9407200000000007</v>
          </cell>
        </row>
        <row r="4676">
          <cell r="H4676">
            <v>-8.7778400000000012</v>
          </cell>
        </row>
        <row r="4677">
          <cell r="H4677">
            <v>-8.6150500000000001</v>
          </cell>
        </row>
        <row r="4678">
          <cell r="H4678">
            <v>-8.4521800000000002</v>
          </cell>
        </row>
        <row r="4679">
          <cell r="H4679">
            <v>-8.2893999999999988</v>
          </cell>
        </row>
        <row r="4680">
          <cell r="H4680">
            <v>-8.1266199999999991</v>
          </cell>
        </row>
        <row r="4681">
          <cell r="H4681">
            <v>-7.9637300000000018</v>
          </cell>
        </row>
        <row r="4682">
          <cell r="H4682">
            <v>-7.8009399999999989</v>
          </cell>
        </row>
        <row r="4683">
          <cell r="H4683">
            <v>-7.6380499999999998</v>
          </cell>
        </row>
        <row r="4684">
          <cell r="H4684">
            <v>-7.4752600000000005</v>
          </cell>
        </row>
        <row r="4685">
          <cell r="H4685">
            <v>-7.3124799999999981</v>
          </cell>
        </row>
        <row r="4686">
          <cell r="H4686">
            <v>-7.1495900000000008</v>
          </cell>
        </row>
        <row r="4687">
          <cell r="H4687">
            <v>-6.9868000000000015</v>
          </cell>
        </row>
        <row r="4688">
          <cell r="H4688">
            <v>-6.8240099999999995</v>
          </cell>
        </row>
        <row r="4689">
          <cell r="H4689">
            <v>-6.6611200000000004</v>
          </cell>
        </row>
        <row r="4690">
          <cell r="H4690">
            <v>-6.49831</v>
          </cell>
        </row>
        <row r="4691">
          <cell r="H4691">
            <v>-6.3355199999999998</v>
          </cell>
        </row>
        <row r="4692">
          <cell r="H4692">
            <v>-6.17272</v>
          </cell>
        </row>
        <row r="4693">
          <cell r="H4693">
            <v>-6.0098199999999995</v>
          </cell>
        </row>
        <row r="4694">
          <cell r="H4694">
            <v>-5.8470199999999979</v>
          </cell>
        </row>
        <row r="4695">
          <cell r="H4695">
            <v>-5.6842199999999998</v>
          </cell>
        </row>
        <row r="4696">
          <cell r="H4696">
            <v>-5.5214200000000018</v>
          </cell>
        </row>
        <row r="4697">
          <cell r="H4697">
            <v>-5.3586100000000005</v>
          </cell>
        </row>
        <row r="4698">
          <cell r="H4698">
            <v>-5.1957100000000001</v>
          </cell>
        </row>
        <row r="4699">
          <cell r="H4699">
            <v>-5.032910000000002</v>
          </cell>
        </row>
        <row r="4700">
          <cell r="H4700">
            <v>-4.8701000000000008</v>
          </cell>
        </row>
        <row r="4701">
          <cell r="H4701">
            <v>-4.7072899999999995</v>
          </cell>
        </row>
        <row r="4702">
          <cell r="H4702">
            <v>-4.5444800000000001</v>
          </cell>
        </row>
        <row r="4703">
          <cell r="H4703">
            <v>-4.3816700000000024</v>
          </cell>
        </row>
        <row r="4704">
          <cell r="H4704">
            <v>-4.2187600000000005</v>
          </cell>
        </row>
        <row r="4705">
          <cell r="H4705">
            <v>-4.0559499999999993</v>
          </cell>
        </row>
        <row r="4706">
          <cell r="H4706">
            <v>-3.8931300000000002</v>
          </cell>
        </row>
        <row r="4707">
          <cell r="H4707">
            <v>-3.7308699999999995</v>
          </cell>
        </row>
        <row r="4708">
          <cell r="H4708">
            <v>-3.5748500000000023</v>
          </cell>
        </row>
        <row r="4709">
          <cell r="H4709">
            <v>-3.4187400000000006</v>
          </cell>
        </row>
        <row r="4710">
          <cell r="H4710">
            <v>-3.2626200000000001</v>
          </cell>
        </row>
        <row r="4711">
          <cell r="H4711">
            <v>-3.1065899999999989</v>
          </cell>
        </row>
        <row r="4712">
          <cell r="H4712">
            <v>-2.9504799999999989</v>
          </cell>
        </row>
        <row r="4713">
          <cell r="H4713">
            <v>-2.7944599999999991</v>
          </cell>
        </row>
        <row r="4714">
          <cell r="H4714">
            <v>-2.6383400000000004</v>
          </cell>
        </row>
        <row r="4715">
          <cell r="H4715">
            <v>-2.4823199999999987</v>
          </cell>
        </row>
        <row r="4716">
          <cell r="H4716">
            <v>-2.3261799999999999</v>
          </cell>
        </row>
        <row r="4717">
          <cell r="H4717">
            <v>-2.1701600000000019</v>
          </cell>
        </row>
        <row r="4718">
          <cell r="H4718">
            <v>-2.0140299999999991</v>
          </cell>
        </row>
        <row r="4719">
          <cell r="H4719">
            <v>-1.8580099999999993</v>
          </cell>
        </row>
        <row r="4720">
          <cell r="H4720">
            <v>-1.7018800000000018</v>
          </cell>
        </row>
        <row r="4721">
          <cell r="H4721">
            <v>-1.5458500000000006</v>
          </cell>
        </row>
        <row r="4722">
          <cell r="H4722">
            <v>-1.3897100000000009</v>
          </cell>
        </row>
        <row r="4723">
          <cell r="H4723">
            <v>-1.2336900000000002</v>
          </cell>
        </row>
        <row r="4724">
          <cell r="H4724">
            <v>-1.0775599999999992</v>
          </cell>
        </row>
        <row r="4725">
          <cell r="H4725">
            <v>-0.92152000000000012</v>
          </cell>
        </row>
        <row r="4726">
          <cell r="H4726">
            <v>-0.76538800000000062</v>
          </cell>
        </row>
        <row r="4727">
          <cell r="H4727">
            <v>-0.60935199999999945</v>
          </cell>
        </row>
        <row r="4728">
          <cell r="H4728">
            <v>-0.459954999999999</v>
          </cell>
        </row>
        <row r="4729">
          <cell r="H4729">
            <v>-0.31285499999999811</v>
          </cell>
        </row>
        <row r="4730">
          <cell r="H4730">
            <v>-0.16581400000000102</v>
          </cell>
        </row>
        <row r="4731">
          <cell r="H4731">
            <v>-1.872100000000021E-2</v>
          </cell>
        </row>
        <row r="4732">
          <cell r="H4732">
            <v>0.12837199999999882</v>
          </cell>
        </row>
        <row r="4733">
          <cell r="H4733"/>
        </row>
        <row r="4734">
          <cell r="H4734"/>
        </row>
        <row r="4735">
          <cell r="H4735"/>
        </row>
        <row r="4736">
          <cell r="H4736"/>
        </row>
        <row r="4737">
          <cell r="H4737"/>
        </row>
        <row r="4738">
          <cell r="H4738"/>
        </row>
        <row r="4739">
          <cell r="H4739"/>
        </row>
        <row r="4740">
          <cell r="H4740"/>
        </row>
        <row r="4741">
          <cell r="H4741"/>
        </row>
        <row r="4742">
          <cell r="H4742"/>
        </row>
        <row r="4743">
          <cell r="H4743"/>
        </row>
        <row r="4744">
          <cell r="H4744"/>
        </row>
        <row r="4745">
          <cell r="H4745"/>
        </row>
        <row r="4746">
          <cell r="H4746"/>
        </row>
        <row r="4747">
          <cell r="H4747"/>
        </row>
        <row r="4748">
          <cell r="H4748"/>
        </row>
        <row r="4749">
          <cell r="H4749"/>
        </row>
        <row r="4750">
          <cell r="H4750"/>
        </row>
        <row r="4751">
          <cell r="H4751"/>
        </row>
        <row r="4752">
          <cell r="H4752"/>
        </row>
        <row r="4753">
          <cell r="H4753"/>
        </row>
        <row r="4754">
          <cell r="H4754"/>
        </row>
        <row r="4755">
          <cell r="H4755"/>
        </row>
        <row r="4756">
          <cell r="H4756"/>
        </row>
        <row r="4757">
          <cell r="H4757"/>
        </row>
        <row r="4758">
          <cell r="H4758"/>
        </row>
        <row r="4759">
          <cell r="H4759"/>
        </row>
        <row r="4760">
          <cell r="H4760"/>
        </row>
        <row r="4761">
          <cell r="H4761"/>
        </row>
        <row r="4762">
          <cell r="H4762"/>
        </row>
        <row r="4763">
          <cell r="H4763"/>
        </row>
        <row r="4764">
          <cell r="H4764"/>
        </row>
        <row r="4765">
          <cell r="H4765"/>
        </row>
        <row r="4766">
          <cell r="H4766"/>
        </row>
        <row r="4767">
          <cell r="H4767"/>
        </row>
        <row r="4768">
          <cell r="H4768"/>
        </row>
        <row r="4769">
          <cell r="H4769"/>
        </row>
        <row r="4770">
          <cell r="H4770"/>
        </row>
        <row r="4771">
          <cell r="H4771"/>
        </row>
        <row r="4772">
          <cell r="H4772"/>
        </row>
        <row r="4773">
          <cell r="H4773"/>
        </row>
        <row r="4774">
          <cell r="H4774"/>
        </row>
        <row r="4775">
          <cell r="H4775"/>
        </row>
        <row r="4776">
          <cell r="H4776"/>
        </row>
        <row r="4777">
          <cell r="H4777"/>
        </row>
        <row r="4778">
          <cell r="H4778"/>
        </row>
        <row r="4779">
          <cell r="H4779"/>
        </row>
        <row r="4780">
          <cell r="H4780"/>
        </row>
        <row r="4781">
          <cell r="H4781"/>
        </row>
        <row r="4782">
          <cell r="H4782"/>
        </row>
        <row r="4783">
          <cell r="H4783"/>
        </row>
        <row r="4784">
          <cell r="H4784"/>
        </row>
        <row r="4785">
          <cell r="H4785"/>
        </row>
        <row r="4786">
          <cell r="H4786"/>
        </row>
        <row r="4787">
          <cell r="H4787"/>
        </row>
        <row r="4788">
          <cell r="H4788"/>
        </row>
        <row r="4789">
          <cell r="H4789"/>
        </row>
        <row r="4790">
          <cell r="H4790"/>
        </row>
        <row r="4791">
          <cell r="H4791"/>
        </row>
        <row r="4792">
          <cell r="H4792"/>
        </row>
        <row r="4793">
          <cell r="H4793"/>
        </row>
        <row r="4794">
          <cell r="H4794"/>
        </row>
        <row r="4795">
          <cell r="H4795"/>
        </row>
        <row r="4796">
          <cell r="H4796"/>
        </row>
        <row r="4797">
          <cell r="H4797"/>
        </row>
        <row r="4798">
          <cell r="H4798"/>
        </row>
        <row r="4799">
          <cell r="H4799"/>
        </row>
        <row r="4800">
          <cell r="H4800"/>
        </row>
        <row r="4801">
          <cell r="H4801"/>
        </row>
        <row r="4802">
          <cell r="H4802"/>
        </row>
        <row r="4803">
          <cell r="H4803"/>
        </row>
        <row r="4804">
          <cell r="H4804"/>
        </row>
        <row r="4805">
          <cell r="H4805"/>
        </row>
        <row r="4806">
          <cell r="H4806"/>
        </row>
        <row r="4807">
          <cell r="H4807"/>
        </row>
        <row r="4808">
          <cell r="H4808"/>
        </row>
        <row r="4809">
          <cell r="H4809"/>
        </row>
        <row r="4810">
          <cell r="H4810"/>
        </row>
        <row r="4811">
          <cell r="H4811"/>
        </row>
        <row r="4812">
          <cell r="H4812"/>
        </row>
        <row r="4813">
          <cell r="H4813"/>
        </row>
        <row r="4814">
          <cell r="H4814"/>
        </row>
        <row r="4815">
          <cell r="H4815"/>
        </row>
        <row r="4816">
          <cell r="H4816"/>
        </row>
        <row r="4817">
          <cell r="H4817"/>
        </row>
        <row r="4818">
          <cell r="H4818"/>
        </row>
        <row r="4819">
          <cell r="H4819"/>
        </row>
        <row r="4820">
          <cell r="H4820"/>
        </row>
        <row r="4821">
          <cell r="H4821"/>
        </row>
        <row r="4822">
          <cell r="H4822"/>
        </row>
        <row r="4823">
          <cell r="H4823"/>
        </row>
        <row r="4824">
          <cell r="H4824"/>
        </row>
        <row r="4825">
          <cell r="H4825"/>
        </row>
        <row r="4826">
          <cell r="H4826"/>
        </row>
        <row r="4827">
          <cell r="H4827"/>
        </row>
        <row r="4828">
          <cell r="H4828"/>
        </row>
        <row r="4829">
          <cell r="H4829"/>
        </row>
        <row r="4830">
          <cell r="H4830"/>
        </row>
        <row r="4831">
          <cell r="H4831"/>
        </row>
        <row r="4832">
          <cell r="H4832"/>
        </row>
        <row r="4833">
          <cell r="H4833"/>
        </row>
        <row r="4834">
          <cell r="H4834"/>
        </row>
        <row r="4835">
          <cell r="H4835"/>
        </row>
        <row r="4836">
          <cell r="H4836"/>
        </row>
        <row r="4837">
          <cell r="H4837"/>
        </row>
        <row r="4838">
          <cell r="H4838"/>
        </row>
        <row r="4839">
          <cell r="H4839"/>
        </row>
        <row r="4840">
          <cell r="H4840"/>
        </row>
        <row r="4841">
          <cell r="H4841"/>
        </row>
        <row r="4842">
          <cell r="H4842"/>
        </row>
        <row r="4843">
          <cell r="H4843"/>
        </row>
        <row r="4844">
          <cell r="H4844"/>
        </row>
        <row r="4845">
          <cell r="H4845"/>
        </row>
        <row r="4846">
          <cell r="H4846"/>
        </row>
        <row r="4847">
          <cell r="H4847"/>
        </row>
        <row r="4848">
          <cell r="H4848"/>
        </row>
        <row r="4849">
          <cell r="H4849"/>
        </row>
        <row r="4850">
          <cell r="H4850"/>
        </row>
        <row r="4851">
          <cell r="H4851"/>
        </row>
        <row r="4852">
          <cell r="H4852"/>
        </row>
        <row r="4853">
          <cell r="H4853"/>
        </row>
        <row r="4854">
          <cell r="H4854"/>
        </row>
        <row r="4855">
          <cell r="H4855"/>
        </row>
        <row r="4856">
          <cell r="H4856"/>
        </row>
        <row r="4857">
          <cell r="H4857"/>
        </row>
        <row r="4858">
          <cell r="H4858"/>
        </row>
        <row r="4859">
          <cell r="H4859"/>
        </row>
        <row r="4860">
          <cell r="H4860"/>
        </row>
        <row r="4861">
          <cell r="H4861"/>
        </row>
        <row r="4862">
          <cell r="H4862"/>
        </row>
        <row r="4863">
          <cell r="H4863"/>
        </row>
        <row r="4864">
          <cell r="H4864"/>
        </row>
        <row r="4865">
          <cell r="H4865"/>
        </row>
        <row r="4866">
          <cell r="H4866"/>
        </row>
        <row r="4867">
          <cell r="H4867"/>
        </row>
        <row r="4868">
          <cell r="H4868"/>
        </row>
        <row r="4869">
          <cell r="H4869"/>
        </row>
        <row r="4870">
          <cell r="H4870"/>
        </row>
        <row r="4871">
          <cell r="H4871"/>
        </row>
        <row r="4872">
          <cell r="H4872"/>
        </row>
        <row r="4873">
          <cell r="H4873"/>
        </row>
        <row r="4874">
          <cell r="H4874"/>
        </row>
        <row r="4875">
          <cell r="H4875"/>
        </row>
        <row r="4876">
          <cell r="H4876"/>
        </row>
        <row r="4877">
          <cell r="H4877"/>
        </row>
        <row r="4878">
          <cell r="H4878"/>
        </row>
        <row r="4879">
          <cell r="H4879"/>
        </row>
        <row r="4880">
          <cell r="H4880"/>
        </row>
        <row r="4881">
          <cell r="H4881"/>
        </row>
        <row r="4882">
          <cell r="H4882"/>
        </row>
        <row r="4883">
          <cell r="H4883"/>
        </row>
        <row r="4884">
          <cell r="H4884"/>
        </row>
        <row r="4885">
          <cell r="H4885"/>
        </row>
        <row r="4886">
          <cell r="H4886"/>
        </row>
        <row r="4887">
          <cell r="H4887"/>
        </row>
        <row r="4888">
          <cell r="H4888"/>
        </row>
        <row r="4889">
          <cell r="H4889"/>
        </row>
        <row r="4890">
          <cell r="H4890"/>
        </row>
        <row r="4891">
          <cell r="H4891"/>
        </row>
        <row r="4892">
          <cell r="H4892"/>
        </row>
        <row r="4893">
          <cell r="H4893"/>
        </row>
        <row r="4894">
          <cell r="H4894"/>
        </row>
        <row r="4895">
          <cell r="H4895"/>
        </row>
        <row r="4896">
          <cell r="H4896"/>
        </row>
        <row r="4897">
          <cell r="H4897"/>
        </row>
        <row r="4898">
          <cell r="H4898"/>
        </row>
        <row r="4899">
          <cell r="H4899"/>
        </row>
        <row r="4900">
          <cell r="H4900"/>
        </row>
        <row r="4901">
          <cell r="H4901"/>
        </row>
        <row r="4902">
          <cell r="H4902"/>
        </row>
        <row r="4903">
          <cell r="H4903"/>
        </row>
        <row r="4904">
          <cell r="H4904"/>
        </row>
        <row r="4905">
          <cell r="H4905"/>
        </row>
        <row r="4906">
          <cell r="H4906"/>
        </row>
        <row r="4907">
          <cell r="H4907"/>
        </row>
        <row r="4908">
          <cell r="H4908"/>
        </row>
        <row r="4909">
          <cell r="H4909"/>
        </row>
        <row r="4910">
          <cell r="H4910"/>
        </row>
        <row r="4911">
          <cell r="H4911"/>
        </row>
        <row r="4912">
          <cell r="H4912"/>
        </row>
        <row r="4913">
          <cell r="H4913"/>
        </row>
        <row r="4914">
          <cell r="H4914"/>
        </row>
        <row r="4915">
          <cell r="H4915"/>
        </row>
        <row r="4916">
          <cell r="H4916"/>
        </row>
        <row r="4917">
          <cell r="H4917"/>
        </row>
        <row r="4918">
          <cell r="H4918"/>
        </row>
        <row r="4919">
          <cell r="H4919"/>
        </row>
        <row r="4920">
          <cell r="H4920"/>
        </row>
        <row r="4921">
          <cell r="H4921"/>
        </row>
        <row r="4922">
          <cell r="H4922"/>
        </row>
        <row r="4923">
          <cell r="H4923"/>
        </row>
        <row r="4924">
          <cell r="H4924"/>
        </row>
        <row r="4925">
          <cell r="H4925"/>
        </row>
        <row r="4926">
          <cell r="H4926"/>
        </row>
        <row r="4927">
          <cell r="H4927"/>
        </row>
        <row r="4928">
          <cell r="H4928"/>
        </row>
        <row r="4929">
          <cell r="H4929"/>
        </row>
        <row r="4930">
          <cell r="H4930"/>
        </row>
        <row r="4931">
          <cell r="H4931"/>
        </row>
        <row r="4932">
          <cell r="H4932"/>
        </row>
        <row r="4933">
          <cell r="H4933"/>
        </row>
        <row r="4934">
          <cell r="H4934"/>
        </row>
        <row r="4935">
          <cell r="H4935"/>
        </row>
        <row r="4936">
          <cell r="H4936"/>
        </row>
        <row r="4937">
          <cell r="H4937"/>
        </row>
        <row r="4938">
          <cell r="H4938"/>
        </row>
        <row r="4939">
          <cell r="H4939"/>
        </row>
        <row r="4940">
          <cell r="H4940"/>
        </row>
        <row r="4941">
          <cell r="H4941"/>
        </row>
        <row r="4942">
          <cell r="H4942"/>
        </row>
        <row r="4943">
          <cell r="H4943"/>
        </row>
        <row r="4944">
          <cell r="H4944"/>
        </row>
        <row r="4945">
          <cell r="H4945"/>
        </row>
        <row r="4946">
          <cell r="H4946"/>
        </row>
        <row r="4947">
          <cell r="H4947"/>
        </row>
        <row r="4948">
          <cell r="H4948"/>
        </row>
        <row r="4949">
          <cell r="H4949"/>
        </row>
        <row r="4950">
          <cell r="H4950"/>
        </row>
        <row r="4951">
          <cell r="H4951"/>
        </row>
        <row r="4952">
          <cell r="H4952"/>
        </row>
        <row r="4953">
          <cell r="H4953"/>
        </row>
        <row r="4954">
          <cell r="H4954"/>
        </row>
        <row r="4955">
          <cell r="H4955"/>
        </row>
        <row r="4956">
          <cell r="H4956"/>
        </row>
        <row r="4957">
          <cell r="H4957"/>
        </row>
        <row r="4958">
          <cell r="H4958"/>
        </row>
        <row r="4959">
          <cell r="H4959"/>
        </row>
        <row r="4960">
          <cell r="H4960"/>
        </row>
        <row r="4961">
          <cell r="H4961"/>
        </row>
        <row r="4962">
          <cell r="H4962"/>
        </row>
        <row r="4963">
          <cell r="H4963"/>
        </row>
        <row r="4964">
          <cell r="H4964"/>
        </row>
        <row r="4965">
          <cell r="H4965"/>
        </row>
        <row r="4966">
          <cell r="H4966"/>
        </row>
        <row r="4967">
          <cell r="H4967"/>
        </row>
        <row r="4968">
          <cell r="H4968"/>
        </row>
        <row r="4969">
          <cell r="H4969"/>
        </row>
        <row r="4970">
          <cell r="H4970"/>
        </row>
        <row r="4971">
          <cell r="H4971"/>
        </row>
        <row r="4972">
          <cell r="H4972"/>
        </row>
        <row r="4973">
          <cell r="H4973"/>
        </row>
        <row r="4974">
          <cell r="H4974"/>
        </row>
        <row r="4975">
          <cell r="H4975"/>
        </row>
        <row r="4976">
          <cell r="H4976"/>
        </row>
        <row r="4977">
          <cell r="H4977"/>
        </row>
        <row r="4978">
          <cell r="H4978"/>
        </row>
        <row r="4979">
          <cell r="H4979"/>
        </row>
        <row r="4980">
          <cell r="H4980"/>
        </row>
        <row r="4981">
          <cell r="H4981"/>
        </row>
        <row r="4982">
          <cell r="H4982"/>
        </row>
        <row r="4983">
          <cell r="H4983"/>
        </row>
        <row r="4984">
          <cell r="H4984"/>
        </row>
        <row r="4985">
          <cell r="H4985"/>
        </row>
        <row r="4986">
          <cell r="H4986"/>
        </row>
        <row r="4987">
          <cell r="H4987"/>
        </row>
        <row r="4988">
          <cell r="H4988"/>
        </row>
        <row r="4989">
          <cell r="H4989"/>
        </row>
        <row r="4990">
          <cell r="H4990"/>
        </row>
        <row r="4991">
          <cell r="H4991"/>
        </row>
        <row r="4992">
          <cell r="H4992"/>
        </row>
        <row r="4993">
          <cell r="H4993"/>
        </row>
        <row r="4994">
          <cell r="H4994"/>
        </row>
        <row r="4995">
          <cell r="H4995"/>
        </row>
        <row r="4996">
          <cell r="H4996"/>
        </row>
        <row r="4997">
          <cell r="H4997"/>
        </row>
        <row r="4998">
          <cell r="H4998"/>
        </row>
        <row r="4999">
          <cell r="H4999"/>
        </row>
        <row r="5000">
          <cell r="H5000"/>
        </row>
        <row r="5001">
          <cell r="H5001"/>
        </row>
        <row r="5002">
          <cell r="H5002"/>
        </row>
        <row r="5003">
          <cell r="H5003"/>
        </row>
        <row r="5004">
          <cell r="H5004"/>
        </row>
        <row r="5005">
          <cell r="H5005"/>
        </row>
        <row r="5006">
          <cell r="H5006"/>
        </row>
        <row r="5007">
          <cell r="H5007"/>
        </row>
        <row r="5008">
          <cell r="H5008"/>
        </row>
        <row r="5009">
          <cell r="H5009"/>
        </row>
        <row r="5010">
          <cell r="H5010"/>
        </row>
        <row r="5011">
          <cell r="H5011"/>
        </row>
        <row r="5012">
          <cell r="H5012"/>
        </row>
        <row r="5013">
          <cell r="H5013"/>
        </row>
        <row r="5014">
          <cell r="H5014"/>
        </row>
        <row r="5015">
          <cell r="H5015"/>
        </row>
        <row r="5016">
          <cell r="H5016"/>
        </row>
        <row r="5017">
          <cell r="H5017"/>
        </row>
        <row r="5018">
          <cell r="H5018"/>
        </row>
        <row r="5019">
          <cell r="H5019"/>
        </row>
        <row r="5020">
          <cell r="H5020"/>
        </row>
        <row r="5021">
          <cell r="H5021"/>
        </row>
        <row r="5022">
          <cell r="H5022"/>
        </row>
        <row r="5023">
          <cell r="H5023"/>
        </row>
        <row r="5024">
          <cell r="H5024"/>
        </row>
        <row r="5025">
          <cell r="H5025"/>
        </row>
        <row r="5026">
          <cell r="H5026"/>
        </row>
        <row r="5027">
          <cell r="H5027"/>
        </row>
        <row r="5028">
          <cell r="H5028"/>
        </row>
        <row r="5029">
          <cell r="H5029"/>
        </row>
        <row r="5030">
          <cell r="H5030"/>
        </row>
        <row r="5031">
          <cell r="H5031"/>
        </row>
        <row r="5032">
          <cell r="H5032"/>
        </row>
        <row r="5033">
          <cell r="H5033"/>
        </row>
        <row r="5034">
          <cell r="H5034"/>
        </row>
        <row r="5035">
          <cell r="H5035"/>
        </row>
        <row r="5036">
          <cell r="H5036"/>
        </row>
        <row r="5037">
          <cell r="H5037"/>
        </row>
        <row r="5038">
          <cell r="H5038"/>
        </row>
        <row r="5039">
          <cell r="H5039"/>
        </row>
        <row r="5040">
          <cell r="H5040"/>
        </row>
        <row r="5041">
          <cell r="H5041"/>
        </row>
        <row r="5042">
          <cell r="H5042"/>
        </row>
        <row r="5043">
          <cell r="H5043"/>
        </row>
        <row r="5044">
          <cell r="H5044"/>
        </row>
        <row r="5045">
          <cell r="H5045"/>
        </row>
        <row r="5046">
          <cell r="H5046"/>
        </row>
        <row r="5047">
          <cell r="H5047"/>
        </row>
        <row r="5048">
          <cell r="H5048"/>
        </row>
        <row r="5049">
          <cell r="H5049"/>
        </row>
        <row r="5050">
          <cell r="H5050"/>
        </row>
        <row r="5051">
          <cell r="H5051"/>
        </row>
        <row r="5052">
          <cell r="H5052"/>
        </row>
        <row r="5053">
          <cell r="H5053"/>
        </row>
        <row r="5054">
          <cell r="H5054"/>
        </row>
        <row r="5055">
          <cell r="H5055"/>
        </row>
        <row r="5056">
          <cell r="H5056"/>
        </row>
        <row r="5057">
          <cell r="H5057"/>
        </row>
        <row r="5058">
          <cell r="H5058"/>
        </row>
        <row r="5059">
          <cell r="H5059"/>
        </row>
        <row r="5060">
          <cell r="H5060"/>
        </row>
        <row r="5061">
          <cell r="H5061"/>
        </row>
        <row r="5062">
          <cell r="H5062"/>
        </row>
        <row r="5063">
          <cell r="H5063"/>
        </row>
        <row r="5064">
          <cell r="H5064"/>
        </row>
        <row r="5065">
          <cell r="H5065"/>
        </row>
        <row r="5066">
          <cell r="H5066"/>
        </row>
        <row r="5067">
          <cell r="H5067"/>
        </row>
        <row r="5068">
          <cell r="H5068"/>
        </row>
        <row r="5069">
          <cell r="H5069"/>
        </row>
        <row r="5070">
          <cell r="H5070"/>
        </row>
        <row r="5071">
          <cell r="H5071"/>
        </row>
        <row r="5072">
          <cell r="H5072"/>
        </row>
        <row r="5073">
          <cell r="H5073"/>
        </row>
        <row r="5074">
          <cell r="H5074"/>
        </row>
        <row r="5075">
          <cell r="H5075"/>
        </row>
        <row r="5076">
          <cell r="H5076"/>
        </row>
        <row r="5077">
          <cell r="H5077"/>
        </row>
        <row r="5078">
          <cell r="H5078"/>
        </row>
        <row r="5079">
          <cell r="H5079"/>
        </row>
        <row r="5080">
          <cell r="H5080"/>
        </row>
        <row r="5081">
          <cell r="H5081"/>
        </row>
        <row r="5082">
          <cell r="H5082"/>
        </row>
        <row r="5083">
          <cell r="H5083"/>
        </row>
        <row r="5084">
          <cell r="H5084"/>
        </row>
        <row r="5085">
          <cell r="H5085"/>
        </row>
        <row r="5086">
          <cell r="H5086"/>
        </row>
        <row r="5087">
          <cell r="H5087"/>
        </row>
        <row r="5088">
          <cell r="H5088"/>
        </row>
        <row r="5089">
          <cell r="H5089"/>
        </row>
        <row r="5090">
          <cell r="H5090"/>
        </row>
        <row r="5091">
          <cell r="H5091"/>
        </row>
        <row r="5092">
          <cell r="H5092"/>
        </row>
        <row r="5093">
          <cell r="H5093"/>
        </row>
        <row r="5094">
          <cell r="H5094"/>
        </row>
        <row r="5095">
          <cell r="H5095"/>
        </row>
        <row r="5096">
          <cell r="H5096"/>
        </row>
        <row r="5097">
          <cell r="H5097"/>
        </row>
        <row r="5098">
          <cell r="H5098"/>
        </row>
        <row r="5099">
          <cell r="H5099"/>
        </row>
        <row r="5100">
          <cell r="H5100"/>
        </row>
        <row r="5101">
          <cell r="H5101"/>
        </row>
        <row r="5102">
          <cell r="H5102"/>
        </row>
        <row r="5103">
          <cell r="H5103"/>
        </row>
        <row r="5104">
          <cell r="H5104"/>
        </row>
        <row r="5105">
          <cell r="H5105"/>
        </row>
        <row r="5106">
          <cell r="H5106"/>
        </row>
        <row r="5107">
          <cell r="H5107"/>
        </row>
        <row r="5108">
          <cell r="H5108"/>
        </row>
        <row r="5109">
          <cell r="H5109"/>
        </row>
        <row r="5110">
          <cell r="H5110"/>
        </row>
        <row r="5111">
          <cell r="H5111"/>
        </row>
        <row r="5112">
          <cell r="H5112"/>
        </row>
        <row r="5113">
          <cell r="H5113"/>
        </row>
        <row r="5114">
          <cell r="H5114"/>
        </row>
        <row r="5115">
          <cell r="H5115"/>
        </row>
        <row r="5116">
          <cell r="H5116"/>
        </row>
        <row r="5117">
          <cell r="H5117"/>
        </row>
        <row r="5118">
          <cell r="H5118"/>
        </row>
        <row r="5119">
          <cell r="H5119"/>
        </row>
        <row r="5120">
          <cell r="H5120"/>
        </row>
        <row r="5121">
          <cell r="H5121"/>
        </row>
        <row r="5122">
          <cell r="H5122"/>
        </row>
        <row r="5123">
          <cell r="H5123"/>
        </row>
        <row r="5124">
          <cell r="H5124"/>
        </row>
        <row r="5125">
          <cell r="H5125"/>
        </row>
        <row r="5126">
          <cell r="H5126"/>
        </row>
        <row r="5127">
          <cell r="H5127"/>
        </row>
        <row r="5128">
          <cell r="H5128"/>
        </row>
        <row r="5129">
          <cell r="H5129"/>
        </row>
        <row r="5130">
          <cell r="H5130"/>
        </row>
        <row r="5131">
          <cell r="H5131"/>
        </row>
        <row r="5132">
          <cell r="H5132"/>
        </row>
        <row r="5133">
          <cell r="H5133"/>
        </row>
        <row r="5134">
          <cell r="H5134"/>
        </row>
        <row r="5135">
          <cell r="H5135"/>
        </row>
        <row r="5136">
          <cell r="H5136"/>
        </row>
        <row r="5137">
          <cell r="H5137"/>
        </row>
        <row r="5138">
          <cell r="H5138"/>
        </row>
        <row r="5139">
          <cell r="H5139"/>
        </row>
        <row r="5140">
          <cell r="H5140"/>
        </row>
        <row r="5141">
          <cell r="H5141"/>
        </row>
        <row r="5142">
          <cell r="H5142"/>
        </row>
        <row r="5143">
          <cell r="H5143"/>
        </row>
        <row r="5144">
          <cell r="H5144"/>
        </row>
        <row r="5145">
          <cell r="H5145"/>
        </row>
        <row r="5146">
          <cell r="H5146"/>
        </row>
        <row r="5147">
          <cell r="H5147"/>
        </row>
        <row r="5148">
          <cell r="H5148"/>
        </row>
        <row r="5149">
          <cell r="H5149"/>
        </row>
        <row r="5150">
          <cell r="H5150"/>
        </row>
        <row r="5151">
          <cell r="H5151"/>
        </row>
        <row r="5152">
          <cell r="H5152"/>
        </row>
        <row r="5153">
          <cell r="H5153"/>
        </row>
        <row r="5154">
          <cell r="H5154"/>
        </row>
        <row r="5155">
          <cell r="H5155"/>
        </row>
        <row r="5156">
          <cell r="H5156"/>
        </row>
        <row r="5157">
          <cell r="H5157"/>
        </row>
        <row r="5158">
          <cell r="H5158"/>
        </row>
        <row r="5159">
          <cell r="H5159"/>
        </row>
        <row r="5160">
          <cell r="H5160"/>
        </row>
        <row r="5161">
          <cell r="H5161"/>
        </row>
        <row r="5162">
          <cell r="H5162"/>
        </row>
        <row r="5163">
          <cell r="H5163"/>
        </row>
        <row r="5164">
          <cell r="H5164"/>
        </row>
        <row r="5165">
          <cell r="H5165"/>
        </row>
        <row r="5166">
          <cell r="H5166"/>
        </row>
        <row r="5167">
          <cell r="H5167"/>
        </row>
        <row r="5168">
          <cell r="H5168"/>
        </row>
        <row r="5169">
          <cell r="H5169"/>
        </row>
        <row r="5170">
          <cell r="H5170"/>
        </row>
        <row r="5171">
          <cell r="H5171"/>
        </row>
        <row r="5172">
          <cell r="H5172"/>
        </row>
        <row r="5173">
          <cell r="H5173"/>
        </row>
        <row r="5174">
          <cell r="H5174"/>
        </row>
        <row r="5175">
          <cell r="H5175"/>
        </row>
        <row r="5176">
          <cell r="H5176"/>
        </row>
        <row r="5177">
          <cell r="H5177"/>
        </row>
        <row r="5178">
          <cell r="H5178"/>
        </row>
        <row r="5179">
          <cell r="H5179"/>
        </row>
        <row r="5180">
          <cell r="H5180"/>
        </row>
        <row r="5181">
          <cell r="H5181"/>
        </row>
        <row r="5182">
          <cell r="H5182"/>
        </row>
        <row r="5183">
          <cell r="H5183"/>
        </row>
        <row r="5184">
          <cell r="H5184"/>
        </row>
        <row r="5185">
          <cell r="H5185"/>
        </row>
        <row r="5186">
          <cell r="H5186"/>
        </row>
        <row r="5187">
          <cell r="H5187"/>
        </row>
        <row r="5188">
          <cell r="H5188"/>
        </row>
        <row r="5189">
          <cell r="H5189"/>
        </row>
        <row r="5190">
          <cell r="H5190"/>
        </row>
        <row r="5191">
          <cell r="H5191"/>
        </row>
        <row r="5192">
          <cell r="H5192"/>
        </row>
        <row r="5193">
          <cell r="H5193"/>
        </row>
        <row r="5194">
          <cell r="H5194"/>
        </row>
        <row r="5195">
          <cell r="H5195"/>
        </row>
        <row r="5196">
          <cell r="H5196"/>
        </row>
        <row r="5197">
          <cell r="H5197"/>
        </row>
        <row r="5198">
          <cell r="H5198"/>
        </row>
        <row r="5199">
          <cell r="H5199"/>
        </row>
        <row r="5200">
          <cell r="H5200"/>
        </row>
        <row r="5201">
          <cell r="H5201"/>
        </row>
        <row r="5202">
          <cell r="H5202"/>
        </row>
        <row r="5203">
          <cell r="H5203"/>
        </row>
        <row r="5204">
          <cell r="H5204"/>
        </row>
        <row r="5205">
          <cell r="H5205"/>
        </row>
        <row r="5206">
          <cell r="H5206"/>
        </row>
        <row r="5207">
          <cell r="H5207"/>
        </row>
        <row r="5208">
          <cell r="H5208"/>
        </row>
        <row r="5209">
          <cell r="H5209"/>
        </row>
        <row r="5210">
          <cell r="H5210"/>
        </row>
        <row r="5211">
          <cell r="H5211"/>
        </row>
        <row r="5212">
          <cell r="H5212"/>
        </row>
        <row r="5213">
          <cell r="H5213"/>
        </row>
        <row r="5214">
          <cell r="H5214"/>
        </row>
        <row r="5215">
          <cell r="H5215"/>
        </row>
        <row r="5216">
          <cell r="H5216"/>
        </row>
        <row r="5217">
          <cell r="H5217"/>
        </row>
        <row r="5218">
          <cell r="H5218"/>
        </row>
        <row r="5219">
          <cell r="H5219"/>
        </row>
        <row r="5220">
          <cell r="H5220"/>
        </row>
        <row r="5221">
          <cell r="H5221"/>
        </row>
        <row r="5222">
          <cell r="H5222"/>
        </row>
        <row r="5223">
          <cell r="H5223"/>
        </row>
        <row r="5224">
          <cell r="H5224"/>
        </row>
        <row r="5225">
          <cell r="H5225"/>
        </row>
        <row r="5226">
          <cell r="H5226"/>
        </row>
        <row r="5227">
          <cell r="H5227"/>
        </row>
        <row r="5228">
          <cell r="H5228"/>
        </row>
        <row r="5229">
          <cell r="H5229"/>
        </row>
        <row r="5230">
          <cell r="H5230"/>
        </row>
        <row r="5231">
          <cell r="H5231"/>
        </row>
        <row r="5232">
          <cell r="H5232"/>
        </row>
        <row r="5233">
          <cell r="H5233"/>
        </row>
        <row r="5234">
          <cell r="H5234"/>
        </row>
        <row r="5235">
          <cell r="H5235"/>
        </row>
        <row r="5236">
          <cell r="H5236"/>
        </row>
        <row r="5237">
          <cell r="H5237"/>
        </row>
        <row r="5238">
          <cell r="H5238"/>
        </row>
        <row r="5239">
          <cell r="H5239"/>
        </row>
        <row r="5240">
          <cell r="H5240"/>
        </row>
        <row r="5241">
          <cell r="H5241"/>
        </row>
        <row r="5242">
          <cell r="H5242"/>
        </row>
        <row r="5243">
          <cell r="H5243"/>
        </row>
        <row r="5244">
          <cell r="H5244"/>
        </row>
        <row r="5245">
          <cell r="H5245"/>
        </row>
        <row r="5246">
          <cell r="H5246"/>
        </row>
        <row r="5247">
          <cell r="H5247"/>
        </row>
        <row r="5248">
          <cell r="H5248"/>
        </row>
        <row r="5249">
          <cell r="H5249"/>
        </row>
        <row r="5250">
          <cell r="H5250"/>
        </row>
        <row r="5251">
          <cell r="H5251"/>
        </row>
        <row r="5252">
          <cell r="H5252"/>
        </row>
        <row r="5253">
          <cell r="H5253"/>
        </row>
        <row r="5254">
          <cell r="H5254"/>
        </row>
        <row r="5255">
          <cell r="H5255"/>
        </row>
        <row r="5256">
          <cell r="H5256"/>
        </row>
        <row r="5257">
          <cell r="H5257"/>
        </row>
        <row r="5258">
          <cell r="H5258"/>
        </row>
        <row r="5259">
          <cell r="H5259"/>
        </row>
        <row r="5260">
          <cell r="H5260"/>
        </row>
        <row r="5261">
          <cell r="H5261"/>
        </row>
        <row r="5262">
          <cell r="H5262"/>
        </row>
        <row r="5263">
          <cell r="H5263"/>
        </row>
        <row r="5264">
          <cell r="H5264"/>
        </row>
        <row r="5265">
          <cell r="H5265"/>
        </row>
        <row r="5266">
          <cell r="H5266"/>
        </row>
        <row r="5267">
          <cell r="H5267"/>
        </row>
        <row r="5268">
          <cell r="H5268"/>
        </row>
        <row r="5269">
          <cell r="H5269"/>
        </row>
        <row r="5270">
          <cell r="H5270"/>
        </row>
        <row r="5271">
          <cell r="H5271"/>
        </row>
        <row r="5272">
          <cell r="H5272"/>
        </row>
        <row r="5273">
          <cell r="H5273"/>
        </row>
        <row r="5274">
          <cell r="H5274"/>
        </row>
        <row r="5275">
          <cell r="H5275"/>
        </row>
        <row r="5276">
          <cell r="H5276"/>
        </row>
        <row r="5277">
          <cell r="H5277"/>
        </row>
        <row r="5278">
          <cell r="H5278"/>
        </row>
        <row r="5279">
          <cell r="H5279"/>
        </row>
        <row r="5280">
          <cell r="H5280"/>
        </row>
        <row r="5281">
          <cell r="H5281"/>
        </row>
        <row r="5282">
          <cell r="H5282"/>
        </row>
        <row r="5283">
          <cell r="H5283"/>
        </row>
        <row r="5284">
          <cell r="H5284"/>
        </row>
        <row r="5285">
          <cell r="H5285"/>
        </row>
        <row r="5286">
          <cell r="H5286"/>
        </row>
        <row r="5287">
          <cell r="H5287"/>
        </row>
        <row r="5288">
          <cell r="H5288"/>
        </row>
        <row r="5289">
          <cell r="H5289"/>
        </row>
        <row r="5290">
          <cell r="H5290"/>
        </row>
        <row r="5291">
          <cell r="H5291"/>
        </row>
        <row r="5292">
          <cell r="H5292"/>
        </row>
        <row r="5293">
          <cell r="H5293"/>
        </row>
        <row r="5294">
          <cell r="H5294"/>
        </row>
        <row r="5295">
          <cell r="H5295"/>
        </row>
        <row r="5296">
          <cell r="H5296"/>
        </row>
        <row r="5297">
          <cell r="H5297"/>
        </row>
        <row r="5298">
          <cell r="H5298"/>
        </row>
        <row r="5299">
          <cell r="H5299"/>
        </row>
        <row r="5300">
          <cell r="H5300"/>
        </row>
        <row r="5301">
          <cell r="H5301"/>
        </row>
        <row r="5302">
          <cell r="H5302"/>
        </row>
        <row r="5303">
          <cell r="H5303"/>
        </row>
        <row r="5304">
          <cell r="H5304"/>
        </row>
        <row r="5305">
          <cell r="H5305"/>
        </row>
        <row r="5306">
          <cell r="H5306"/>
        </row>
        <row r="5307">
          <cell r="H5307"/>
        </row>
        <row r="5308">
          <cell r="H5308"/>
        </row>
        <row r="5309">
          <cell r="H5309"/>
        </row>
        <row r="5310">
          <cell r="H5310"/>
        </row>
        <row r="5311">
          <cell r="H5311"/>
        </row>
        <row r="5312">
          <cell r="H5312"/>
        </row>
        <row r="5313">
          <cell r="H5313"/>
        </row>
        <row r="5314">
          <cell r="H5314"/>
        </row>
        <row r="5315">
          <cell r="H5315"/>
        </row>
        <row r="5316">
          <cell r="H5316"/>
        </row>
        <row r="5317">
          <cell r="H5317"/>
        </row>
        <row r="5318">
          <cell r="H5318"/>
        </row>
        <row r="5319">
          <cell r="H5319"/>
        </row>
        <row r="5320">
          <cell r="H5320"/>
        </row>
        <row r="5321">
          <cell r="H5321"/>
        </row>
        <row r="5322">
          <cell r="H5322"/>
        </row>
        <row r="5323">
          <cell r="H5323"/>
        </row>
        <row r="5324">
          <cell r="H5324"/>
        </row>
        <row r="5325">
          <cell r="H5325"/>
        </row>
        <row r="5326">
          <cell r="H5326"/>
        </row>
        <row r="5327">
          <cell r="H5327"/>
        </row>
        <row r="5328">
          <cell r="H5328"/>
        </row>
        <row r="5329">
          <cell r="H5329"/>
        </row>
        <row r="5330">
          <cell r="H5330"/>
        </row>
        <row r="5331">
          <cell r="H5331"/>
        </row>
        <row r="5332">
          <cell r="H5332"/>
        </row>
        <row r="5333">
          <cell r="H5333"/>
        </row>
        <row r="5334">
          <cell r="H5334"/>
        </row>
        <row r="5335">
          <cell r="H5335"/>
        </row>
        <row r="5336">
          <cell r="H5336"/>
        </row>
        <row r="5337">
          <cell r="H5337"/>
        </row>
        <row r="5338">
          <cell r="H5338"/>
        </row>
        <row r="5339">
          <cell r="H5339"/>
        </row>
        <row r="5340">
          <cell r="H5340"/>
        </row>
        <row r="5341">
          <cell r="H5341"/>
        </row>
        <row r="5342">
          <cell r="H5342"/>
        </row>
        <row r="5343">
          <cell r="H5343"/>
        </row>
        <row r="5344">
          <cell r="H5344"/>
        </row>
        <row r="5345">
          <cell r="H5345"/>
        </row>
        <row r="5346">
          <cell r="H5346"/>
        </row>
        <row r="5347">
          <cell r="H5347"/>
        </row>
        <row r="5348">
          <cell r="H5348"/>
        </row>
        <row r="5349">
          <cell r="H5349"/>
        </row>
        <row r="5350">
          <cell r="H5350"/>
        </row>
        <row r="5351">
          <cell r="H5351"/>
        </row>
        <row r="5352">
          <cell r="H5352"/>
        </row>
        <row r="5353">
          <cell r="H5353"/>
        </row>
        <row r="5354">
          <cell r="H5354"/>
        </row>
        <row r="5355">
          <cell r="H5355"/>
        </row>
        <row r="5356">
          <cell r="H5356"/>
        </row>
        <row r="5357">
          <cell r="H5357"/>
        </row>
        <row r="5358">
          <cell r="H5358"/>
        </row>
        <row r="5359">
          <cell r="H5359"/>
        </row>
        <row r="5360">
          <cell r="H5360"/>
        </row>
        <row r="5361">
          <cell r="H5361"/>
        </row>
        <row r="5362">
          <cell r="H5362"/>
        </row>
        <row r="5363">
          <cell r="H5363"/>
        </row>
        <row r="5364">
          <cell r="H5364"/>
        </row>
        <row r="5365">
          <cell r="H5365"/>
        </row>
        <row r="5366">
          <cell r="H5366"/>
        </row>
        <row r="5367">
          <cell r="H5367"/>
        </row>
        <row r="5368">
          <cell r="H5368"/>
        </row>
        <row r="5369">
          <cell r="H5369"/>
        </row>
        <row r="5370">
          <cell r="H5370"/>
        </row>
        <row r="5371">
          <cell r="H5371"/>
        </row>
        <row r="5372">
          <cell r="H5372"/>
        </row>
        <row r="5373">
          <cell r="H5373"/>
        </row>
        <row r="5374">
          <cell r="H5374"/>
        </row>
        <row r="5375">
          <cell r="H5375"/>
        </row>
        <row r="5376">
          <cell r="H5376"/>
        </row>
        <row r="5377">
          <cell r="H5377"/>
        </row>
        <row r="5378">
          <cell r="H5378"/>
        </row>
        <row r="5379">
          <cell r="H5379"/>
        </row>
        <row r="5380">
          <cell r="H5380"/>
        </row>
        <row r="5381">
          <cell r="H5381"/>
        </row>
        <row r="5382">
          <cell r="H5382"/>
        </row>
        <row r="5383">
          <cell r="H5383"/>
        </row>
        <row r="5384">
          <cell r="H5384"/>
        </row>
        <row r="5385">
          <cell r="H5385"/>
        </row>
        <row r="5386">
          <cell r="H5386"/>
        </row>
        <row r="5387">
          <cell r="H5387"/>
        </row>
        <row r="5388">
          <cell r="H5388"/>
        </row>
        <row r="5389">
          <cell r="H5389"/>
        </row>
        <row r="5390">
          <cell r="H5390"/>
        </row>
        <row r="5391">
          <cell r="H5391"/>
        </row>
        <row r="5392">
          <cell r="H5392"/>
        </row>
        <row r="5393">
          <cell r="H5393"/>
        </row>
        <row r="5394">
          <cell r="H5394"/>
        </row>
        <row r="5395">
          <cell r="H5395"/>
        </row>
        <row r="5396">
          <cell r="H5396"/>
        </row>
        <row r="5397">
          <cell r="H5397"/>
        </row>
        <row r="5398">
          <cell r="H5398"/>
        </row>
        <row r="5399">
          <cell r="H5399"/>
        </row>
        <row r="5400">
          <cell r="H5400"/>
        </row>
        <row r="5401">
          <cell r="H5401"/>
        </row>
        <row r="5402">
          <cell r="H5402"/>
        </row>
        <row r="5403">
          <cell r="H5403"/>
        </row>
        <row r="5404">
          <cell r="H5404"/>
        </row>
        <row r="5405">
          <cell r="H5405"/>
        </row>
        <row r="5406">
          <cell r="H5406"/>
        </row>
        <row r="5407">
          <cell r="H5407"/>
        </row>
        <row r="5408">
          <cell r="H5408"/>
        </row>
        <row r="5409">
          <cell r="H5409"/>
        </row>
        <row r="5410">
          <cell r="H5410"/>
        </row>
        <row r="5411">
          <cell r="H5411"/>
        </row>
        <row r="5412">
          <cell r="H5412"/>
        </row>
        <row r="5413">
          <cell r="H5413"/>
        </row>
        <row r="5414">
          <cell r="H5414"/>
        </row>
        <row r="5415">
          <cell r="H5415"/>
        </row>
        <row r="5416">
          <cell r="H5416"/>
        </row>
        <row r="5417">
          <cell r="H5417"/>
        </row>
        <row r="5418">
          <cell r="H5418"/>
        </row>
        <row r="5419">
          <cell r="H5419"/>
        </row>
        <row r="5420">
          <cell r="H5420"/>
        </row>
        <row r="5421">
          <cell r="H5421"/>
        </row>
        <row r="5422">
          <cell r="H5422"/>
        </row>
        <row r="5423">
          <cell r="H5423"/>
        </row>
        <row r="5424">
          <cell r="H5424"/>
        </row>
        <row r="5425">
          <cell r="H5425"/>
        </row>
        <row r="5426">
          <cell r="H5426"/>
        </row>
        <row r="5427">
          <cell r="H5427"/>
        </row>
        <row r="5428">
          <cell r="H5428"/>
        </row>
        <row r="5429">
          <cell r="H5429"/>
        </row>
        <row r="5430">
          <cell r="H5430"/>
        </row>
        <row r="5431">
          <cell r="H5431"/>
        </row>
        <row r="5432">
          <cell r="H5432"/>
        </row>
        <row r="5433">
          <cell r="H5433"/>
        </row>
        <row r="5434">
          <cell r="H5434"/>
        </row>
        <row r="5435">
          <cell r="H5435"/>
        </row>
        <row r="5436">
          <cell r="H5436"/>
        </row>
        <row r="5437">
          <cell r="H5437"/>
        </row>
        <row r="5438">
          <cell r="H5438"/>
        </row>
        <row r="5439">
          <cell r="H5439"/>
        </row>
        <row r="5440">
          <cell r="H5440"/>
        </row>
        <row r="5441">
          <cell r="H5441"/>
        </row>
        <row r="5442">
          <cell r="H5442"/>
        </row>
        <row r="5443">
          <cell r="H5443"/>
        </row>
        <row r="5444">
          <cell r="H5444"/>
        </row>
        <row r="5445">
          <cell r="H5445"/>
        </row>
        <row r="5446">
          <cell r="H5446"/>
        </row>
        <row r="5447">
          <cell r="H5447"/>
        </row>
        <row r="5448">
          <cell r="H5448"/>
        </row>
        <row r="5449">
          <cell r="H5449"/>
        </row>
        <row r="5450">
          <cell r="H5450"/>
        </row>
        <row r="5451">
          <cell r="H5451"/>
        </row>
        <row r="5452">
          <cell r="H5452"/>
        </row>
        <row r="5453">
          <cell r="H5453"/>
        </row>
        <row r="5454">
          <cell r="H5454"/>
        </row>
        <row r="5455">
          <cell r="H5455"/>
        </row>
        <row r="5456">
          <cell r="H5456"/>
        </row>
        <row r="5457">
          <cell r="H5457"/>
        </row>
        <row r="5458">
          <cell r="H5458"/>
        </row>
        <row r="5459">
          <cell r="H5459"/>
        </row>
        <row r="5460">
          <cell r="H5460"/>
        </row>
      </sheetData>
      <sheetData sheetId="1">
        <row r="4">
          <cell r="I4">
            <v>3.7357200000000002E-5</v>
          </cell>
        </row>
        <row r="5">
          <cell r="I5">
            <v>7.7357199999999999E-5</v>
          </cell>
        </row>
        <row r="6">
          <cell r="I6">
            <v>1.1735699999999999E-4</v>
          </cell>
        </row>
        <row r="7">
          <cell r="I7">
            <v>1.57357E-4</v>
          </cell>
        </row>
        <row r="8">
          <cell r="I8">
            <v>1.97357E-4</v>
          </cell>
        </row>
        <row r="9">
          <cell r="I9">
            <v>2.37357E-4</v>
          </cell>
        </row>
        <row r="10">
          <cell r="I10">
            <v>2.7735699999999999E-4</v>
          </cell>
        </row>
        <row r="11">
          <cell r="I11">
            <v>3.1735699999999999E-4</v>
          </cell>
        </row>
        <row r="12">
          <cell r="I12">
            <v>3.5735699999999999E-4</v>
          </cell>
        </row>
        <row r="13">
          <cell r="I13">
            <v>3.9735699999999998E-4</v>
          </cell>
        </row>
        <row r="14">
          <cell r="I14">
            <v>4.3735699999999998E-4</v>
          </cell>
        </row>
        <row r="15">
          <cell r="I15">
            <v>4.7735699999999998E-4</v>
          </cell>
        </row>
        <row r="16">
          <cell r="I16">
            <v>5.1735699999999997E-4</v>
          </cell>
        </row>
        <row r="17">
          <cell r="I17">
            <v>5.5735699999999997E-4</v>
          </cell>
        </row>
        <row r="18">
          <cell r="I18">
            <v>5.9735699999999997E-4</v>
          </cell>
        </row>
        <row r="19">
          <cell r="I19">
            <v>6.3735699999999996E-4</v>
          </cell>
        </row>
        <row r="20">
          <cell r="I20">
            <v>6.7735699999999996E-4</v>
          </cell>
        </row>
        <row r="21">
          <cell r="I21">
            <v>7.1735699999999996E-4</v>
          </cell>
        </row>
        <row r="22">
          <cell r="I22">
            <v>7.5735699999999995E-4</v>
          </cell>
        </row>
        <row r="23">
          <cell r="I23">
            <v>7.9735699999999995E-4</v>
          </cell>
        </row>
        <row r="24">
          <cell r="I24">
            <v>8.3735700000000005E-4</v>
          </cell>
        </row>
        <row r="25">
          <cell r="I25">
            <v>8.7735700000000005E-4</v>
          </cell>
        </row>
        <row r="26">
          <cell r="I26">
            <v>9.1735700000000005E-4</v>
          </cell>
        </row>
        <row r="27">
          <cell r="I27">
            <v>9.5735700000000004E-4</v>
          </cell>
        </row>
        <row r="28">
          <cell r="I28">
            <v>9.9735699999999993E-4</v>
          </cell>
        </row>
        <row r="29">
          <cell r="I29">
            <v>1.03736E-3</v>
          </cell>
        </row>
        <row r="30">
          <cell r="I30">
            <v>1.0773600000000001E-3</v>
          </cell>
        </row>
        <row r="31">
          <cell r="I31">
            <v>1.11736E-3</v>
          </cell>
        </row>
        <row r="32">
          <cell r="I32">
            <v>1.1573600000000001E-3</v>
          </cell>
        </row>
        <row r="33">
          <cell r="I33">
            <v>1.19736E-3</v>
          </cell>
        </row>
        <row r="34">
          <cell r="I34">
            <v>1.2373600000000001E-3</v>
          </cell>
        </row>
        <row r="35">
          <cell r="I35">
            <v>1.27736E-3</v>
          </cell>
        </row>
        <row r="36">
          <cell r="I36">
            <v>1.3173600000000001E-3</v>
          </cell>
        </row>
        <row r="37">
          <cell r="I37">
            <v>1.3573599999999999E-3</v>
          </cell>
        </row>
        <row r="38">
          <cell r="I38">
            <v>1.3973600000000001E-3</v>
          </cell>
        </row>
        <row r="39">
          <cell r="I39">
            <v>1.4373599999999999E-3</v>
          </cell>
        </row>
        <row r="40">
          <cell r="I40">
            <v>1.47736E-3</v>
          </cell>
        </row>
        <row r="41">
          <cell r="I41">
            <v>1.5173599999999999E-3</v>
          </cell>
        </row>
        <row r="42">
          <cell r="I42">
            <v>1.55736E-3</v>
          </cell>
        </row>
        <row r="43">
          <cell r="I43">
            <v>1.5973599999999999E-3</v>
          </cell>
        </row>
        <row r="44">
          <cell r="I44">
            <v>1.63736E-3</v>
          </cell>
        </row>
        <row r="45">
          <cell r="I45">
            <v>1.6773599999999999E-3</v>
          </cell>
        </row>
        <row r="46">
          <cell r="I46">
            <v>1.71736E-3</v>
          </cell>
        </row>
        <row r="47">
          <cell r="I47">
            <v>1.7573599999999999E-3</v>
          </cell>
        </row>
        <row r="48">
          <cell r="I48">
            <v>1.79736E-3</v>
          </cell>
        </row>
        <row r="49">
          <cell r="I49">
            <v>1.8373599999999999E-3</v>
          </cell>
        </row>
        <row r="50">
          <cell r="I50">
            <v>1.87736E-3</v>
          </cell>
        </row>
        <row r="51">
          <cell r="I51">
            <v>1.9173599999999999E-3</v>
          </cell>
        </row>
        <row r="52">
          <cell r="I52">
            <v>1.95736E-3</v>
          </cell>
        </row>
        <row r="53">
          <cell r="I53">
            <v>1.9973600000000001E-3</v>
          </cell>
        </row>
        <row r="54">
          <cell r="I54">
            <v>2.0373600000000002E-3</v>
          </cell>
        </row>
        <row r="55">
          <cell r="I55">
            <v>2.0773599999999999E-3</v>
          </cell>
        </row>
        <row r="56">
          <cell r="I56">
            <v>2.11736E-3</v>
          </cell>
        </row>
        <row r="57">
          <cell r="I57">
            <v>2.1573600000000001E-3</v>
          </cell>
        </row>
        <row r="58">
          <cell r="I58">
            <v>2.1973600000000002E-3</v>
          </cell>
        </row>
        <row r="59">
          <cell r="I59">
            <v>2.2373599999999999E-3</v>
          </cell>
        </row>
        <row r="60">
          <cell r="I60">
            <v>2.27736E-3</v>
          </cell>
        </row>
        <row r="61">
          <cell r="I61">
            <v>2.3173600000000001E-3</v>
          </cell>
        </row>
        <row r="62">
          <cell r="I62">
            <v>2.3573600000000002E-3</v>
          </cell>
        </row>
        <row r="63">
          <cell r="I63">
            <v>2.3973599999999999E-3</v>
          </cell>
        </row>
        <row r="64">
          <cell r="I64">
            <v>2.43736E-3</v>
          </cell>
        </row>
        <row r="65">
          <cell r="I65">
            <v>2.4773600000000001E-3</v>
          </cell>
        </row>
        <row r="66">
          <cell r="I66">
            <v>2.5173600000000002E-3</v>
          </cell>
        </row>
        <row r="67">
          <cell r="I67">
            <v>2.5573599999999998E-3</v>
          </cell>
        </row>
        <row r="68">
          <cell r="I68">
            <v>2.5973599999999999E-3</v>
          </cell>
        </row>
        <row r="69">
          <cell r="I69">
            <v>2.6373600000000001E-3</v>
          </cell>
        </row>
        <row r="70">
          <cell r="I70">
            <v>2.6773600000000002E-3</v>
          </cell>
        </row>
        <row r="71">
          <cell r="I71">
            <v>2.7173599999999998E-3</v>
          </cell>
        </row>
        <row r="72">
          <cell r="I72">
            <v>2.7573599999999999E-3</v>
          </cell>
        </row>
        <row r="73">
          <cell r="I73">
            <v>2.79736E-3</v>
          </cell>
        </row>
        <row r="74">
          <cell r="I74">
            <v>2.8373600000000001E-3</v>
          </cell>
        </row>
        <row r="75">
          <cell r="I75">
            <v>2.8773599999999998E-3</v>
          </cell>
        </row>
        <row r="76">
          <cell r="I76">
            <v>2.9173599999999999E-3</v>
          </cell>
        </row>
        <row r="77">
          <cell r="I77">
            <v>2.95736E-3</v>
          </cell>
        </row>
        <row r="78">
          <cell r="I78">
            <v>2.9973600000000001E-3</v>
          </cell>
        </row>
        <row r="79">
          <cell r="I79">
            <v>3.0373599999999998E-3</v>
          </cell>
        </row>
        <row r="80">
          <cell r="I80">
            <v>3.0773599999999999E-3</v>
          </cell>
        </row>
        <row r="81">
          <cell r="I81">
            <v>3.11736E-3</v>
          </cell>
        </row>
        <row r="82">
          <cell r="I82">
            <v>3.1573600000000001E-3</v>
          </cell>
        </row>
        <row r="83">
          <cell r="I83">
            <v>3.1973599999999998E-3</v>
          </cell>
        </row>
        <row r="84">
          <cell r="I84">
            <v>3.2373599999999999E-3</v>
          </cell>
        </row>
        <row r="85">
          <cell r="I85">
            <v>3.27736E-3</v>
          </cell>
        </row>
        <row r="86">
          <cell r="I86">
            <v>3.3173600000000001E-3</v>
          </cell>
        </row>
        <row r="87">
          <cell r="I87">
            <v>3.3573600000000002E-3</v>
          </cell>
        </row>
        <row r="88">
          <cell r="I88">
            <v>3.3973599999999999E-3</v>
          </cell>
        </row>
        <row r="89">
          <cell r="I89">
            <v>3.43736E-3</v>
          </cell>
        </row>
        <row r="90">
          <cell r="I90">
            <v>3.4773600000000001E-3</v>
          </cell>
        </row>
        <row r="91">
          <cell r="I91">
            <v>3.5173600000000002E-3</v>
          </cell>
        </row>
        <row r="92">
          <cell r="I92">
            <v>3.5573599999999999E-3</v>
          </cell>
        </row>
        <row r="93">
          <cell r="I93">
            <v>3.59736E-3</v>
          </cell>
        </row>
        <row r="94">
          <cell r="I94">
            <v>3.6373600000000001E-3</v>
          </cell>
        </row>
        <row r="95">
          <cell r="I95">
            <v>3.6773600000000002E-3</v>
          </cell>
        </row>
        <row r="96">
          <cell r="I96">
            <v>3.7173599999999998E-3</v>
          </cell>
        </row>
        <row r="97">
          <cell r="I97">
            <v>3.75736E-3</v>
          </cell>
        </row>
        <row r="98">
          <cell r="I98">
            <v>3.7973600000000001E-3</v>
          </cell>
        </row>
        <row r="99">
          <cell r="I99">
            <v>3.8373600000000002E-3</v>
          </cell>
        </row>
        <row r="100">
          <cell r="I100">
            <v>3.8773599999999998E-3</v>
          </cell>
        </row>
        <row r="101">
          <cell r="I101">
            <v>3.9173599999999999E-3</v>
          </cell>
        </row>
        <row r="102">
          <cell r="I102">
            <v>3.95736E-3</v>
          </cell>
        </row>
        <row r="103">
          <cell r="I103">
            <v>3.9973600000000001E-3</v>
          </cell>
        </row>
        <row r="104">
          <cell r="I104">
            <v>4.0373600000000003E-3</v>
          </cell>
        </row>
        <row r="105">
          <cell r="I105">
            <v>4.0773600000000004E-3</v>
          </cell>
        </row>
        <row r="106">
          <cell r="I106">
            <v>4.1173599999999996E-3</v>
          </cell>
        </row>
        <row r="107">
          <cell r="I107">
            <v>4.1573599999999997E-3</v>
          </cell>
        </row>
        <row r="108">
          <cell r="I108">
            <v>4.1973599999999998E-3</v>
          </cell>
        </row>
        <row r="109">
          <cell r="I109">
            <v>4.2373599999999999E-3</v>
          </cell>
        </row>
        <row r="110">
          <cell r="I110">
            <v>4.27736E-3</v>
          </cell>
        </row>
        <row r="111">
          <cell r="I111">
            <v>4.3173600000000001E-3</v>
          </cell>
        </row>
        <row r="112">
          <cell r="I112">
            <v>4.3573600000000002E-3</v>
          </cell>
        </row>
        <row r="113">
          <cell r="I113">
            <v>4.3973600000000003E-3</v>
          </cell>
        </row>
        <row r="114">
          <cell r="I114">
            <v>4.4373599999999996E-3</v>
          </cell>
        </row>
        <row r="115">
          <cell r="I115">
            <v>4.4773599999999997E-3</v>
          </cell>
        </row>
        <row r="116">
          <cell r="I116">
            <v>4.5173599999999998E-3</v>
          </cell>
        </row>
        <row r="117">
          <cell r="I117">
            <v>4.5573599999999999E-3</v>
          </cell>
        </row>
        <row r="118">
          <cell r="I118">
            <v>4.59736E-3</v>
          </cell>
        </row>
        <row r="119">
          <cell r="I119">
            <v>4.6373600000000001E-3</v>
          </cell>
        </row>
        <row r="120">
          <cell r="I120">
            <v>4.6773600000000002E-3</v>
          </cell>
        </row>
        <row r="121">
          <cell r="I121">
            <v>4.7173600000000003E-3</v>
          </cell>
        </row>
        <row r="122">
          <cell r="I122">
            <v>4.7573600000000004E-3</v>
          </cell>
        </row>
        <row r="123">
          <cell r="I123">
            <v>4.7973599999999996E-3</v>
          </cell>
        </row>
        <row r="124">
          <cell r="I124">
            <v>4.8373599999999998E-3</v>
          </cell>
        </row>
        <row r="125">
          <cell r="I125">
            <v>4.8773599999999999E-3</v>
          </cell>
        </row>
        <row r="126">
          <cell r="I126">
            <v>4.91736E-3</v>
          </cell>
        </row>
        <row r="127">
          <cell r="I127">
            <v>4.9573600000000001E-3</v>
          </cell>
        </row>
        <row r="128">
          <cell r="I128">
            <v>4.9973600000000002E-3</v>
          </cell>
        </row>
        <row r="129">
          <cell r="I129">
            <v>5.0373600000000003E-3</v>
          </cell>
        </row>
        <row r="130">
          <cell r="I130">
            <v>5.0773600000000004E-3</v>
          </cell>
        </row>
        <row r="131">
          <cell r="I131">
            <v>5.1173599999999996E-3</v>
          </cell>
        </row>
        <row r="132">
          <cell r="I132">
            <v>5.1573599999999997E-3</v>
          </cell>
        </row>
        <row r="133">
          <cell r="I133">
            <v>5.1973599999999998E-3</v>
          </cell>
        </row>
        <row r="134">
          <cell r="I134">
            <v>5.2373599999999999E-3</v>
          </cell>
        </row>
        <row r="135">
          <cell r="I135">
            <v>5.27736E-3</v>
          </cell>
        </row>
        <row r="136">
          <cell r="I136">
            <v>5.3173600000000001E-3</v>
          </cell>
        </row>
        <row r="137">
          <cell r="I137">
            <v>5.3573600000000002E-3</v>
          </cell>
        </row>
        <row r="138">
          <cell r="I138">
            <v>5.3973600000000004E-3</v>
          </cell>
        </row>
        <row r="139">
          <cell r="I139">
            <v>5.4373599999999996E-3</v>
          </cell>
        </row>
        <row r="140">
          <cell r="I140">
            <v>5.4773599999999997E-3</v>
          </cell>
        </row>
        <row r="141">
          <cell r="I141">
            <v>5.5173599999999998E-3</v>
          </cell>
        </row>
        <row r="142">
          <cell r="I142">
            <v>5.5573599999999999E-3</v>
          </cell>
        </row>
        <row r="143">
          <cell r="I143">
            <v>5.59736E-3</v>
          </cell>
        </row>
        <row r="144">
          <cell r="I144">
            <v>5.6373600000000001E-3</v>
          </cell>
        </row>
        <row r="145">
          <cell r="I145">
            <v>5.6773600000000002E-3</v>
          </cell>
        </row>
        <row r="146">
          <cell r="I146">
            <v>5.7173600000000003E-3</v>
          </cell>
        </row>
        <row r="147">
          <cell r="I147">
            <v>5.7573600000000004E-3</v>
          </cell>
        </row>
        <row r="148">
          <cell r="I148">
            <v>5.7973599999999997E-3</v>
          </cell>
        </row>
        <row r="149">
          <cell r="I149">
            <v>5.8373599999999998E-3</v>
          </cell>
        </row>
        <row r="150">
          <cell r="I150">
            <v>5.8773599999999999E-3</v>
          </cell>
        </row>
        <row r="151">
          <cell r="I151">
            <v>5.91736E-3</v>
          </cell>
        </row>
        <row r="152">
          <cell r="I152">
            <v>5.9573600000000001E-3</v>
          </cell>
        </row>
        <row r="153">
          <cell r="I153">
            <v>5.9973600000000002E-3</v>
          </cell>
        </row>
        <row r="154">
          <cell r="I154">
            <v>6.0373600000000003E-3</v>
          </cell>
        </row>
        <row r="155">
          <cell r="I155">
            <v>6.0773600000000004E-3</v>
          </cell>
        </row>
        <row r="156">
          <cell r="I156">
            <v>6.1173599999999996E-3</v>
          </cell>
        </row>
        <row r="157">
          <cell r="I157">
            <v>6.1573599999999997E-3</v>
          </cell>
        </row>
        <row r="158">
          <cell r="I158">
            <v>6.1973599999999998E-3</v>
          </cell>
        </row>
        <row r="159">
          <cell r="I159">
            <v>6.23736E-3</v>
          </cell>
        </row>
        <row r="160">
          <cell r="I160">
            <v>6.2773600000000001E-3</v>
          </cell>
        </row>
        <row r="161">
          <cell r="I161">
            <v>6.3173600000000002E-3</v>
          </cell>
        </row>
        <row r="162">
          <cell r="I162">
            <v>6.3573600000000003E-3</v>
          </cell>
        </row>
        <row r="163">
          <cell r="I163">
            <v>6.3973600000000004E-3</v>
          </cell>
        </row>
        <row r="164">
          <cell r="I164">
            <v>6.4373599999999996E-3</v>
          </cell>
        </row>
        <row r="165">
          <cell r="I165">
            <v>6.4773599999999997E-3</v>
          </cell>
        </row>
        <row r="166">
          <cell r="I166">
            <v>6.5173599999999998E-3</v>
          </cell>
        </row>
        <row r="167">
          <cell r="I167">
            <v>6.5573599999999999E-3</v>
          </cell>
        </row>
        <row r="168">
          <cell r="I168">
            <v>6.59736E-3</v>
          </cell>
        </row>
        <row r="169">
          <cell r="I169">
            <v>6.6373600000000001E-3</v>
          </cell>
        </row>
        <row r="170">
          <cell r="I170">
            <v>6.6773600000000002E-3</v>
          </cell>
        </row>
        <row r="171">
          <cell r="I171">
            <v>6.7173600000000003E-3</v>
          </cell>
        </row>
        <row r="172">
          <cell r="I172">
            <v>6.7573599999999996E-3</v>
          </cell>
        </row>
        <row r="173">
          <cell r="I173">
            <v>6.7973599999999997E-3</v>
          </cell>
        </row>
        <row r="174">
          <cell r="I174">
            <v>6.8373599999999998E-3</v>
          </cell>
        </row>
        <row r="175">
          <cell r="I175">
            <v>6.8773599999999999E-3</v>
          </cell>
        </row>
        <row r="176">
          <cell r="I176">
            <v>6.91736E-3</v>
          </cell>
        </row>
        <row r="177">
          <cell r="I177">
            <v>6.9573600000000001E-3</v>
          </cell>
        </row>
        <row r="178">
          <cell r="I178">
            <v>6.9973600000000002E-3</v>
          </cell>
        </row>
        <row r="179">
          <cell r="I179">
            <v>7.0373600000000003E-3</v>
          </cell>
        </row>
        <row r="180">
          <cell r="I180">
            <v>7.0773600000000004E-3</v>
          </cell>
        </row>
        <row r="181">
          <cell r="I181">
            <v>7.1173599999999997E-3</v>
          </cell>
        </row>
        <row r="182">
          <cell r="I182">
            <v>7.1573599999999998E-3</v>
          </cell>
        </row>
        <row r="183">
          <cell r="I183">
            <v>7.1973599999999999E-3</v>
          </cell>
        </row>
        <row r="184">
          <cell r="I184">
            <v>7.23736E-3</v>
          </cell>
        </row>
        <row r="185">
          <cell r="I185">
            <v>7.2773600000000001E-3</v>
          </cell>
        </row>
        <row r="186">
          <cell r="I186">
            <v>7.3173600000000002E-3</v>
          </cell>
        </row>
        <row r="187">
          <cell r="I187">
            <v>7.3573600000000003E-3</v>
          </cell>
        </row>
        <row r="188">
          <cell r="I188">
            <v>7.3973600000000004E-3</v>
          </cell>
        </row>
        <row r="189">
          <cell r="I189">
            <v>7.4373599999999996E-3</v>
          </cell>
        </row>
        <row r="190">
          <cell r="I190">
            <v>7.4773599999999997E-3</v>
          </cell>
        </row>
        <row r="191">
          <cell r="I191">
            <v>7.5173599999999998E-3</v>
          </cell>
        </row>
        <row r="192">
          <cell r="I192">
            <v>7.5573599999999999E-3</v>
          </cell>
        </row>
        <row r="193">
          <cell r="I193">
            <v>7.5973600000000001E-3</v>
          </cell>
        </row>
        <row r="194">
          <cell r="I194">
            <v>7.6373600000000002E-3</v>
          </cell>
        </row>
        <row r="195">
          <cell r="I195">
            <v>7.6773600000000003E-3</v>
          </cell>
        </row>
        <row r="196">
          <cell r="I196">
            <v>7.7173600000000004E-3</v>
          </cell>
        </row>
        <row r="197">
          <cell r="I197">
            <v>7.7573599999999996E-3</v>
          </cell>
        </row>
        <row r="198">
          <cell r="I198">
            <v>7.7973599999999997E-3</v>
          </cell>
        </row>
        <row r="199">
          <cell r="I199">
            <v>7.8373599999999998E-3</v>
          </cell>
        </row>
        <row r="200">
          <cell r="I200">
            <v>7.8773599999999999E-3</v>
          </cell>
        </row>
        <row r="201">
          <cell r="I201">
            <v>7.91736E-3</v>
          </cell>
        </row>
        <row r="202">
          <cell r="I202">
            <v>7.9573600000000001E-3</v>
          </cell>
        </row>
        <row r="203">
          <cell r="I203">
            <v>7.9973600000000002E-3</v>
          </cell>
        </row>
        <row r="204">
          <cell r="I204">
            <v>8.0373600000000003E-3</v>
          </cell>
        </row>
        <row r="205">
          <cell r="I205">
            <v>8.0773600000000004E-3</v>
          </cell>
        </row>
        <row r="206">
          <cell r="I206">
            <v>8.1173600000000005E-3</v>
          </cell>
        </row>
        <row r="207">
          <cell r="I207">
            <v>8.1573600000000007E-3</v>
          </cell>
        </row>
        <row r="208">
          <cell r="I208">
            <v>8.1973600000000008E-3</v>
          </cell>
        </row>
        <row r="209">
          <cell r="I209">
            <v>8.2373600000000009E-3</v>
          </cell>
        </row>
        <row r="210">
          <cell r="I210">
            <v>8.2773599999999992E-3</v>
          </cell>
        </row>
        <row r="211">
          <cell r="I211">
            <v>8.3173599999999993E-3</v>
          </cell>
        </row>
        <row r="212">
          <cell r="I212">
            <v>8.3573599999999994E-3</v>
          </cell>
        </row>
        <row r="213">
          <cell r="I213">
            <v>8.3973599999999995E-3</v>
          </cell>
        </row>
        <row r="214">
          <cell r="I214">
            <v>8.4373599999999997E-3</v>
          </cell>
        </row>
        <row r="215">
          <cell r="I215">
            <v>8.4773599999999998E-3</v>
          </cell>
        </row>
        <row r="216">
          <cell r="I216">
            <v>8.5173599999999999E-3</v>
          </cell>
        </row>
        <row r="217">
          <cell r="I217">
            <v>8.55736E-3</v>
          </cell>
        </row>
        <row r="218">
          <cell r="I218">
            <v>8.5973600000000001E-3</v>
          </cell>
        </row>
        <row r="219">
          <cell r="I219">
            <v>8.6373600000000002E-3</v>
          </cell>
        </row>
        <row r="220">
          <cell r="I220">
            <v>8.6773600000000003E-3</v>
          </cell>
        </row>
        <row r="221">
          <cell r="I221">
            <v>8.7173600000000004E-3</v>
          </cell>
        </row>
        <row r="222">
          <cell r="I222">
            <v>8.7573600000000005E-3</v>
          </cell>
        </row>
        <row r="223">
          <cell r="I223">
            <v>8.7973600000000006E-3</v>
          </cell>
        </row>
        <row r="224">
          <cell r="I224">
            <v>8.8373600000000007E-3</v>
          </cell>
        </row>
        <row r="225">
          <cell r="I225">
            <v>8.8773600000000008E-3</v>
          </cell>
        </row>
        <row r="226">
          <cell r="I226">
            <v>8.9173599999999992E-3</v>
          </cell>
        </row>
        <row r="227">
          <cell r="I227">
            <v>8.9573599999999993E-3</v>
          </cell>
        </row>
        <row r="228">
          <cell r="I228">
            <v>8.9973599999999994E-3</v>
          </cell>
        </row>
        <row r="229">
          <cell r="I229">
            <v>9.0373599999999995E-3</v>
          </cell>
        </row>
        <row r="230">
          <cell r="I230">
            <v>9.0773599999999996E-3</v>
          </cell>
        </row>
        <row r="231">
          <cell r="I231">
            <v>9.1173599999999997E-3</v>
          </cell>
        </row>
        <row r="232">
          <cell r="I232">
            <v>9.1573599999999998E-3</v>
          </cell>
        </row>
        <row r="233">
          <cell r="I233">
            <v>9.1973599999999999E-3</v>
          </cell>
        </row>
        <row r="234">
          <cell r="I234">
            <v>9.23736E-3</v>
          </cell>
        </row>
        <row r="235">
          <cell r="I235">
            <v>9.2773600000000001E-3</v>
          </cell>
        </row>
        <row r="236">
          <cell r="I236">
            <v>9.3173600000000002E-3</v>
          </cell>
        </row>
        <row r="237">
          <cell r="I237">
            <v>9.3573600000000003E-3</v>
          </cell>
        </row>
        <row r="238">
          <cell r="I238">
            <v>9.3973600000000004E-3</v>
          </cell>
        </row>
        <row r="239">
          <cell r="I239">
            <v>9.4373600000000005E-3</v>
          </cell>
        </row>
        <row r="240">
          <cell r="I240">
            <v>9.4773600000000006E-3</v>
          </cell>
        </row>
        <row r="241">
          <cell r="I241">
            <v>9.5173600000000007E-3</v>
          </cell>
        </row>
        <row r="242">
          <cell r="I242">
            <v>9.5573600000000009E-3</v>
          </cell>
        </row>
        <row r="243">
          <cell r="I243">
            <v>9.5973599999999992E-3</v>
          </cell>
        </row>
        <row r="244">
          <cell r="I244">
            <v>9.6373599999999993E-3</v>
          </cell>
        </row>
        <row r="245">
          <cell r="I245">
            <v>9.6773599999999994E-3</v>
          </cell>
        </row>
        <row r="246">
          <cell r="I246">
            <v>9.7173599999999995E-3</v>
          </cell>
        </row>
        <row r="247">
          <cell r="I247">
            <v>9.7573599999999996E-3</v>
          </cell>
        </row>
        <row r="248">
          <cell r="I248">
            <v>9.7973599999999997E-3</v>
          </cell>
        </row>
        <row r="249">
          <cell r="I249">
            <v>9.8373599999999999E-3</v>
          </cell>
        </row>
        <row r="250">
          <cell r="I250">
            <v>9.87736E-3</v>
          </cell>
        </row>
        <row r="251">
          <cell r="I251">
            <v>9.9173600000000001E-3</v>
          </cell>
        </row>
        <row r="252">
          <cell r="I252">
            <v>9.9573600000000002E-3</v>
          </cell>
        </row>
        <row r="253">
          <cell r="I253">
            <v>9.9973600000000003E-3</v>
          </cell>
        </row>
        <row r="254">
          <cell r="I254">
            <v>1.00374E-2</v>
          </cell>
        </row>
        <row r="255">
          <cell r="I255">
            <v>1.00774E-2</v>
          </cell>
        </row>
        <row r="256">
          <cell r="I256">
            <v>1.01174E-2</v>
          </cell>
        </row>
        <row r="257">
          <cell r="I257">
            <v>1.01574E-2</v>
          </cell>
        </row>
        <row r="258">
          <cell r="I258">
            <v>1.0197400000000001E-2</v>
          </cell>
        </row>
        <row r="259">
          <cell r="I259">
            <v>1.0237400000000001E-2</v>
          </cell>
        </row>
        <row r="260">
          <cell r="I260">
            <v>1.0277400000000001E-2</v>
          </cell>
        </row>
        <row r="261">
          <cell r="I261">
            <v>1.0317399999999999E-2</v>
          </cell>
        </row>
        <row r="262">
          <cell r="I262">
            <v>1.0357399999999999E-2</v>
          </cell>
        </row>
        <row r="263">
          <cell r="I263">
            <v>1.0397399999999999E-2</v>
          </cell>
        </row>
        <row r="264">
          <cell r="I264">
            <v>1.0437399999999999E-2</v>
          </cell>
        </row>
        <row r="265">
          <cell r="I265">
            <v>1.04774E-2</v>
          </cell>
        </row>
        <row r="266">
          <cell r="I266">
            <v>1.05174E-2</v>
          </cell>
        </row>
        <row r="267">
          <cell r="I267">
            <v>1.05574E-2</v>
          </cell>
        </row>
        <row r="268">
          <cell r="I268">
            <v>1.05974E-2</v>
          </cell>
        </row>
        <row r="269">
          <cell r="I269">
            <v>1.06374E-2</v>
          </cell>
        </row>
        <row r="270">
          <cell r="I270">
            <v>1.06774E-2</v>
          </cell>
        </row>
        <row r="271">
          <cell r="I271">
            <v>1.07174E-2</v>
          </cell>
        </row>
        <row r="272">
          <cell r="I272">
            <v>1.07574E-2</v>
          </cell>
        </row>
        <row r="273">
          <cell r="I273">
            <v>1.07974E-2</v>
          </cell>
        </row>
        <row r="274">
          <cell r="I274">
            <v>1.0837400000000001E-2</v>
          </cell>
        </row>
        <row r="275">
          <cell r="I275">
            <v>1.0877400000000001E-2</v>
          </cell>
        </row>
        <row r="276">
          <cell r="I276">
            <v>1.0917400000000001E-2</v>
          </cell>
        </row>
        <row r="277">
          <cell r="I277">
            <v>1.0957400000000001E-2</v>
          </cell>
        </row>
        <row r="278">
          <cell r="I278">
            <v>1.0997399999999999E-2</v>
          </cell>
        </row>
        <row r="279">
          <cell r="I279">
            <v>1.1037399999999999E-2</v>
          </cell>
        </row>
        <row r="280">
          <cell r="I280">
            <v>1.1077399999999999E-2</v>
          </cell>
        </row>
        <row r="281">
          <cell r="I281">
            <v>1.11174E-2</v>
          </cell>
        </row>
        <row r="282">
          <cell r="I282">
            <v>1.11574E-2</v>
          </cell>
        </row>
        <row r="283">
          <cell r="I283">
            <v>1.11974E-2</v>
          </cell>
        </row>
        <row r="284">
          <cell r="I284">
            <v>1.12374E-2</v>
          </cell>
        </row>
        <row r="285">
          <cell r="I285">
            <v>1.12774E-2</v>
          </cell>
        </row>
        <row r="286">
          <cell r="I286">
            <v>1.13174E-2</v>
          </cell>
        </row>
        <row r="287">
          <cell r="I287">
            <v>1.13574E-2</v>
          </cell>
        </row>
        <row r="288">
          <cell r="I288">
            <v>1.13974E-2</v>
          </cell>
        </row>
        <row r="289">
          <cell r="I289">
            <v>1.14374E-2</v>
          </cell>
        </row>
        <row r="290">
          <cell r="I290">
            <v>1.14774E-2</v>
          </cell>
        </row>
        <row r="291">
          <cell r="I291">
            <v>1.1517400000000001E-2</v>
          </cell>
        </row>
        <row r="292">
          <cell r="I292">
            <v>1.1557400000000001E-2</v>
          </cell>
        </row>
        <row r="293">
          <cell r="I293">
            <v>1.1597400000000001E-2</v>
          </cell>
        </row>
        <row r="294">
          <cell r="I294">
            <v>1.1637399999999999E-2</v>
          </cell>
        </row>
        <row r="295">
          <cell r="I295">
            <v>1.1677399999999999E-2</v>
          </cell>
        </row>
        <row r="296">
          <cell r="I296">
            <v>1.1717399999999999E-2</v>
          </cell>
        </row>
        <row r="297">
          <cell r="I297">
            <v>1.1757399999999999E-2</v>
          </cell>
        </row>
        <row r="298">
          <cell r="I298">
            <v>1.17974E-2</v>
          </cell>
        </row>
        <row r="299">
          <cell r="I299">
            <v>1.18374E-2</v>
          </cell>
        </row>
        <row r="300">
          <cell r="I300">
            <v>1.18774E-2</v>
          </cell>
        </row>
        <row r="301">
          <cell r="I301">
            <v>1.19174E-2</v>
          </cell>
        </row>
        <row r="302">
          <cell r="I302">
            <v>1.19574E-2</v>
          </cell>
        </row>
        <row r="303">
          <cell r="I303">
            <v>1.19974E-2</v>
          </cell>
        </row>
        <row r="304">
          <cell r="I304">
            <v>1.20374E-2</v>
          </cell>
        </row>
        <row r="305">
          <cell r="I305">
            <v>1.20774E-2</v>
          </cell>
        </row>
        <row r="306">
          <cell r="I306">
            <v>1.21174E-2</v>
          </cell>
        </row>
        <row r="307">
          <cell r="I307">
            <v>1.21574E-2</v>
          </cell>
        </row>
        <row r="308">
          <cell r="I308">
            <v>1.2197400000000001E-2</v>
          </cell>
        </row>
        <row r="309">
          <cell r="I309">
            <v>1.2237400000000001E-2</v>
          </cell>
        </row>
        <row r="310">
          <cell r="I310">
            <v>1.2277400000000001E-2</v>
          </cell>
        </row>
        <row r="311">
          <cell r="I311">
            <v>1.2317399999999999E-2</v>
          </cell>
        </row>
        <row r="312">
          <cell r="I312">
            <v>1.2357399999999999E-2</v>
          </cell>
        </row>
        <row r="313">
          <cell r="I313">
            <v>1.2397399999999999E-2</v>
          </cell>
        </row>
        <row r="314">
          <cell r="I314">
            <v>1.2437399999999999E-2</v>
          </cell>
        </row>
        <row r="315">
          <cell r="I315">
            <v>1.24774E-2</v>
          </cell>
        </row>
        <row r="316">
          <cell r="I316">
            <v>1.25174E-2</v>
          </cell>
        </row>
        <row r="317">
          <cell r="I317">
            <v>1.25574E-2</v>
          </cell>
        </row>
        <row r="318">
          <cell r="I318">
            <v>1.25974E-2</v>
          </cell>
        </row>
        <row r="319">
          <cell r="I319">
            <v>1.26374E-2</v>
          </cell>
        </row>
        <row r="320">
          <cell r="I320">
            <v>1.26774E-2</v>
          </cell>
        </row>
        <row r="321">
          <cell r="I321">
            <v>1.27174E-2</v>
          </cell>
        </row>
        <row r="322">
          <cell r="I322">
            <v>1.27574E-2</v>
          </cell>
        </row>
        <row r="323">
          <cell r="I323">
            <v>1.27974E-2</v>
          </cell>
        </row>
        <row r="324">
          <cell r="I324">
            <v>1.2837400000000001E-2</v>
          </cell>
        </row>
        <row r="325">
          <cell r="I325">
            <v>1.2877400000000001E-2</v>
          </cell>
        </row>
        <row r="326">
          <cell r="I326">
            <v>1.2917400000000001E-2</v>
          </cell>
        </row>
        <row r="327">
          <cell r="I327">
            <v>1.2957400000000001E-2</v>
          </cell>
        </row>
        <row r="328">
          <cell r="I328">
            <v>1.2997399999999999E-2</v>
          </cell>
        </row>
        <row r="329">
          <cell r="I329">
            <v>1.3037399999999999E-2</v>
          </cell>
        </row>
        <row r="330">
          <cell r="I330">
            <v>1.3077399999999999E-2</v>
          </cell>
        </row>
        <row r="331">
          <cell r="I331">
            <v>1.31174E-2</v>
          </cell>
        </row>
        <row r="332">
          <cell r="I332">
            <v>1.31574E-2</v>
          </cell>
        </row>
        <row r="333">
          <cell r="I333">
            <v>1.31974E-2</v>
          </cell>
        </row>
        <row r="334">
          <cell r="I334">
            <v>1.32374E-2</v>
          </cell>
        </row>
        <row r="335">
          <cell r="I335">
            <v>1.32774E-2</v>
          </cell>
        </row>
        <row r="336">
          <cell r="I336">
            <v>1.33174E-2</v>
          </cell>
        </row>
        <row r="337">
          <cell r="I337">
            <v>1.33574E-2</v>
          </cell>
        </row>
        <row r="338">
          <cell r="I338">
            <v>1.33974E-2</v>
          </cell>
        </row>
        <row r="339">
          <cell r="I339">
            <v>1.34374E-2</v>
          </cell>
        </row>
        <row r="340">
          <cell r="I340">
            <v>1.34774E-2</v>
          </cell>
        </row>
        <row r="341">
          <cell r="I341">
            <v>1.3517400000000001E-2</v>
          </cell>
        </row>
        <row r="342">
          <cell r="I342">
            <v>1.3557400000000001E-2</v>
          </cell>
        </row>
        <row r="343">
          <cell r="I343">
            <v>1.3597400000000001E-2</v>
          </cell>
        </row>
        <row r="344">
          <cell r="I344">
            <v>1.3637399999999999E-2</v>
          </cell>
        </row>
        <row r="345">
          <cell r="I345">
            <v>1.3677399999999999E-2</v>
          </cell>
        </row>
        <row r="346">
          <cell r="I346">
            <v>1.3717399999999999E-2</v>
          </cell>
        </row>
        <row r="347">
          <cell r="I347">
            <v>1.3757399999999999E-2</v>
          </cell>
        </row>
        <row r="348">
          <cell r="I348">
            <v>1.37974E-2</v>
          </cell>
        </row>
        <row r="349">
          <cell r="I349">
            <v>1.38374E-2</v>
          </cell>
        </row>
        <row r="350">
          <cell r="I350">
            <v>1.38774E-2</v>
          </cell>
        </row>
        <row r="351">
          <cell r="I351">
            <v>1.39174E-2</v>
          </cell>
        </row>
        <row r="352">
          <cell r="I352">
            <v>1.39574E-2</v>
          </cell>
        </row>
        <row r="353">
          <cell r="I353">
            <v>1.39974E-2</v>
          </cell>
        </row>
        <row r="354">
          <cell r="I354">
            <v>1.40374E-2</v>
          </cell>
        </row>
        <row r="355">
          <cell r="I355">
            <v>1.40774E-2</v>
          </cell>
        </row>
        <row r="356">
          <cell r="I356">
            <v>1.41174E-2</v>
          </cell>
        </row>
        <row r="357">
          <cell r="I357">
            <v>1.4157400000000001E-2</v>
          </cell>
        </row>
        <row r="358">
          <cell r="I358">
            <v>1.4197400000000001E-2</v>
          </cell>
        </row>
        <row r="359">
          <cell r="I359">
            <v>1.4237400000000001E-2</v>
          </cell>
        </row>
        <row r="360">
          <cell r="I360">
            <v>1.4277400000000001E-2</v>
          </cell>
        </row>
        <row r="361">
          <cell r="I361">
            <v>1.4317399999999999E-2</v>
          </cell>
        </row>
        <row r="362">
          <cell r="I362">
            <v>1.4357399999999999E-2</v>
          </cell>
        </row>
        <row r="363">
          <cell r="I363">
            <v>1.4397399999999999E-2</v>
          </cell>
        </row>
        <row r="364">
          <cell r="I364">
            <v>1.44374E-2</v>
          </cell>
        </row>
        <row r="365">
          <cell r="I365">
            <v>1.44774E-2</v>
          </cell>
        </row>
        <row r="366">
          <cell r="I366">
            <v>1.45174E-2</v>
          </cell>
        </row>
        <row r="367">
          <cell r="I367">
            <v>1.45574E-2</v>
          </cell>
        </row>
        <row r="368">
          <cell r="I368">
            <v>1.45974E-2</v>
          </cell>
        </row>
        <row r="369">
          <cell r="I369">
            <v>1.46374E-2</v>
          </cell>
        </row>
        <row r="370">
          <cell r="I370">
            <v>1.46774E-2</v>
          </cell>
        </row>
        <row r="371">
          <cell r="I371">
            <v>1.47174E-2</v>
          </cell>
        </row>
        <row r="372">
          <cell r="I372">
            <v>1.47574E-2</v>
          </cell>
        </row>
        <row r="373">
          <cell r="I373">
            <v>1.47974E-2</v>
          </cell>
        </row>
        <row r="374">
          <cell r="I374">
            <v>1.4837400000000001E-2</v>
          </cell>
        </row>
        <row r="375">
          <cell r="I375">
            <v>1.4877400000000001E-2</v>
          </cell>
        </row>
        <row r="376">
          <cell r="I376">
            <v>1.4917400000000001E-2</v>
          </cell>
        </row>
        <row r="377">
          <cell r="I377">
            <v>1.4957399999999999E-2</v>
          </cell>
        </row>
        <row r="378">
          <cell r="I378">
            <v>1.4997399999999999E-2</v>
          </cell>
        </row>
        <row r="379">
          <cell r="I379">
            <v>1.5037399999999999E-2</v>
          </cell>
        </row>
        <row r="380">
          <cell r="I380">
            <v>1.5077399999999999E-2</v>
          </cell>
        </row>
        <row r="381">
          <cell r="I381">
            <v>1.51174E-2</v>
          </cell>
        </row>
        <row r="382">
          <cell r="I382">
            <v>1.51574E-2</v>
          </cell>
        </row>
        <row r="383">
          <cell r="I383">
            <v>1.51974E-2</v>
          </cell>
        </row>
        <row r="384">
          <cell r="I384">
            <v>1.52374E-2</v>
          </cell>
        </row>
        <row r="385">
          <cell r="I385">
            <v>1.52774E-2</v>
          </cell>
        </row>
        <row r="386">
          <cell r="I386">
            <v>1.53174E-2</v>
          </cell>
        </row>
        <row r="387">
          <cell r="I387">
            <v>1.53574E-2</v>
          </cell>
        </row>
        <row r="388">
          <cell r="I388">
            <v>1.53974E-2</v>
          </cell>
        </row>
        <row r="389">
          <cell r="I389">
            <v>1.54374E-2</v>
          </cell>
        </row>
        <row r="390">
          <cell r="I390">
            <v>1.5477400000000001E-2</v>
          </cell>
        </row>
        <row r="391">
          <cell r="I391">
            <v>1.5517400000000001E-2</v>
          </cell>
        </row>
        <row r="392">
          <cell r="I392">
            <v>1.5557400000000001E-2</v>
          </cell>
        </row>
        <row r="393">
          <cell r="I393">
            <v>1.5597400000000001E-2</v>
          </cell>
        </row>
        <row r="394">
          <cell r="I394">
            <v>1.5637399999999999E-2</v>
          </cell>
        </row>
        <row r="395">
          <cell r="I395">
            <v>1.5677400000000001E-2</v>
          </cell>
        </row>
        <row r="396">
          <cell r="I396">
            <v>1.5717399999999999E-2</v>
          </cell>
        </row>
        <row r="397">
          <cell r="I397">
            <v>1.5757400000000001E-2</v>
          </cell>
        </row>
        <row r="398">
          <cell r="I398">
            <v>1.57974E-2</v>
          </cell>
        </row>
        <row r="399">
          <cell r="I399">
            <v>1.5837400000000001E-2</v>
          </cell>
        </row>
        <row r="400">
          <cell r="I400">
            <v>1.58774E-2</v>
          </cell>
        </row>
        <row r="401">
          <cell r="I401">
            <v>1.5917400000000002E-2</v>
          </cell>
        </row>
        <row r="402">
          <cell r="I402">
            <v>1.59574E-2</v>
          </cell>
        </row>
        <row r="403">
          <cell r="I403">
            <v>1.5997399999999998E-2</v>
          </cell>
        </row>
        <row r="404">
          <cell r="I404">
            <v>1.60374E-2</v>
          </cell>
        </row>
        <row r="405">
          <cell r="I405">
            <v>1.6077399999999999E-2</v>
          </cell>
        </row>
        <row r="406">
          <cell r="I406">
            <v>1.61174E-2</v>
          </cell>
        </row>
        <row r="407">
          <cell r="I407">
            <v>1.6157399999999999E-2</v>
          </cell>
        </row>
        <row r="408">
          <cell r="I408">
            <v>1.6197400000000001E-2</v>
          </cell>
        </row>
        <row r="409">
          <cell r="I409">
            <v>1.6237399999999999E-2</v>
          </cell>
        </row>
        <row r="410">
          <cell r="I410">
            <v>1.6277400000000001E-2</v>
          </cell>
        </row>
        <row r="411">
          <cell r="I411">
            <v>1.6317399999999999E-2</v>
          </cell>
        </row>
        <row r="412">
          <cell r="I412">
            <v>1.6357400000000001E-2</v>
          </cell>
        </row>
        <row r="413">
          <cell r="I413">
            <v>1.6397399999999999E-2</v>
          </cell>
        </row>
        <row r="414">
          <cell r="I414">
            <v>1.6437400000000001E-2</v>
          </cell>
        </row>
        <row r="415">
          <cell r="I415">
            <v>1.64774E-2</v>
          </cell>
        </row>
        <row r="416">
          <cell r="I416">
            <v>1.6517400000000002E-2</v>
          </cell>
        </row>
        <row r="417">
          <cell r="I417">
            <v>1.65574E-2</v>
          </cell>
        </row>
        <row r="418">
          <cell r="I418">
            <v>1.6597399999999998E-2</v>
          </cell>
        </row>
        <row r="419">
          <cell r="I419">
            <v>1.66374E-2</v>
          </cell>
        </row>
        <row r="420">
          <cell r="I420">
            <v>1.6677399999999998E-2</v>
          </cell>
        </row>
        <row r="421">
          <cell r="I421">
            <v>1.67174E-2</v>
          </cell>
        </row>
        <row r="422">
          <cell r="I422">
            <v>1.6757399999999999E-2</v>
          </cell>
        </row>
        <row r="423">
          <cell r="I423">
            <v>1.6797400000000001E-2</v>
          </cell>
        </row>
        <row r="424">
          <cell r="I424">
            <v>1.6837399999999999E-2</v>
          </cell>
        </row>
        <row r="425">
          <cell r="I425">
            <v>1.6877400000000001E-2</v>
          </cell>
        </row>
        <row r="426">
          <cell r="I426">
            <v>1.6917399999999999E-2</v>
          </cell>
        </row>
        <row r="427">
          <cell r="I427">
            <v>1.6957400000000001E-2</v>
          </cell>
        </row>
        <row r="428">
          <cell r="I428">
            <v>1.6997399999999999E-2</v>
          </cell>
        </row>
        <row r="429">
          <cell r="I429">
            <v>1.7037400000000001E-2</v>
          </cell>
        </row>
        <row r="430">
          <cell r="I430">
            <v>1.70774E-2</v>
          </cell>
        </row>
        <row r="431">
          <cell r="I431">
            <v>1.7117400000000001E-2</v>
          </cell>
        </row>
        <row r="432">
          <cell r="I432">
            <v>1.71574E-2</v>
          </cell>
        </row>
        <row r="433">
          <cell r="I433">
            <v>1.7197400000000002E-2</v>
          </cell>
        </row>
        <row r="434">
          <cell r="I434">
            <v>1.72374E-2</v>
          </cell>
        </row>
        <row r="435">
          <cell r="I435">
            <v>1.7277399999999998E-2</v>
          </cell>
        </row>
        <row r="436">
          <cell r="I436">
            <v>1.73174E-2</v>
          </cell>
        </row>
        <row r="437">
          <cell r="I437">
            <v>1.7357399999999999E-2</v>
          </cell>
        </row>
        <row r="438">
          <cell r="I438">
            <v>1.73974E-2</v>
          </cell>
        </row>
        <row r="439">
          <cell r="I439">
            <v>1.7437399999999999E-2</v>
          </cell>
        </row>
        <row r="440">
          <cell r="I440">
            <v>1.7477400000000001E-2</v>
          </cell>
        </row>
        <row r="441">
          <cell r="I441">
            <v>1.7517399999999999E-2</v>
          </cell>
        </row>
        <row r="442">
          <cell r="I442">
            <v>1.7557400000000001E-2</v>
          </cell>
        </row>
        <row r="443">
          <cell r="I443">
            <v>1.7597399999999999E-2</v>
          </cell>
        </row>
        <row r="444">
          <cell r="I444">
            <v>1.7637400000000001E-2</v>
          </cell>
        </row>
        <row r="445">
          <cell r="I445">
            <v>1.7677399999999999E-2</v>
          </cell>
        </row>
        <row r="446">
          <cell r="I446">
            <v>1.7717400000000001E-2</v>
          </cell>
        </row>
        <row r="447">
          <cell r="I447">
            <v>1.77574E-2</v>
          </cell>
        </row>
        <row r="448">
          <cell r="I448">
            <v>1.7797400000000001E-2</v>
          </cell>
        </row>
        <row r="449">
          <cell r="I449">
            <v>1.78374E-2</v>
          </cell>
        </row>
        <row r="450">
          <cell r="I450">
            <v>1.7877400000000002E-2</v>
          </cell>
        </row>
        <row r="451">
          <cell r="I451">
            <v>1.79174E-2</v>
          </cell>
        </row>
        <row r="452">
          <cell r="I452">
            <v>1.7957399999999998E-2</v>
          </cell>
        </row>
        <row r="453">
          <cell r="I453">
            <v>1.79974E-2</v>
          </cell>
        </row>
        <row r="454">
          <cell r="I454">
            <v>1.8037399999999999E-2</v>
          </cell>
        </row>
        <row r="455">
          <cell r="I455">
            <v>1.80774E-2</v>
          </cell>
        </row>
        <row r="456">
          <cell r="I456">
            <v>1.8117399999999999E-2</v>
          </cell>
        </row>
        <row r="457">
          <cell r="I457">
            <v>1.8157400000000001E-2</v>
          </cell>
        </row>
        <row r="458">
          <cell r="I458">
            <v>1.8197399999999999E-2</v>
          </cell>
        </row>
        <row r="459">
          <cell r="I459">
            <v>1.8237400000000001E-2</v>
          </cell>
        </row>
        <row r="460">
          <cell r="I460">
            <v>1.8277399999999999E-2</v>
          </cell>
        </row>
        <row r="461">
          <cell r="I461">
            <v>1.8317400000000001E-2</v>
          </cell>
        </row>
        <row r="462">
          <cell r="I462">
            <v>1.8357399999999999E-2</v>
          </cell>
        </row>
        <row r="463">
          <cell r="I463">
            <v>1.8397400000000001E-2</v>
          </cell>
        </row>
        <row r="464">
          <cell r="I464">
            <v>1.84374E-2</v>
          </cell>
        </row>
        <row r="465">
          <cell r="I465">
            <v>1.8477400000000001E-2</v>
          </cell>
        </row>
        <row r="466">
          <cell r="I466">
            <v>1.85174E-2</v>
          </cell>
        </row>
        <row r="467">
          <cell r="I467">
            <v>1.8557400000000002E-2</v>
          </cell>
        </row>
        <row r="468">
          <cell r="I468">
            <v>1.85974E-2</v>
          </cell>
        </row>
        <row r="469">
          <cell r="I469">
            <v>1.8637399999999998E-2</v>
          </cell>
        </row>
        <row r="470">
          <cell r="I470">
            <v>1.86774E-2</v>
          </cell>
        </row>
        <row r="471">
          <cell r="I471">
            <v>1.8717399999999999E-2</v>
          </cell>
        </row>
        <row r="472">
          <cell r="I472">
            <v>1.87574E-2</v>
          </cell>
        </row>
        <row r="473">
          <cell r="I473">
            <v>1.8797399999999999E-2</v>
          </cell>
        </row>
        <row r="474">
          <cell r="I474">
            <v>1.8837400000000001E-2</v>
          </cell>
        </row>
        <row r="475">
          <cell r="I475">
            <v>1.8877399999999999E-2</v>
          </cell>
        </row>
        <row r="476">
          <cell r="I476">
            <v>1.8917400000000001E-2</v>
          </cell>
        </row>
        <row r="477">
          <cell r="I477">
            <v>1.8957399999999999E-2</v>
          </cell>
        </row>
        <row r="478">
          <cell r="I478">
            <v>1.8997400000000001E-2</v>
          </cell>
        </row>
        <row r="479">
          <cell r="I479">
            <v>1.9037399999999999E-2</v>
          </cell>
        </row>
        <row r="480">
          <cell r="I480">
            <v>1.9077400000000001E-2</v>
          </cell>
        </row>
        <row r="481">
          <cell r="I481">
            <v>1.91174E-2</v>
          </cell>
        </row>
        <row r="482">
          <cell r="I482">
            <v>1.9157400000000002E-2</v>
          </cell>
        </row>
        <row r="483">
          <cell r="I483">
            <v>1.91974E-2</v>
          </cell>
        </row>
        <row r="484">
          <cell r="I484">
            <v>1.9237400000000002E-2</v>
          </cell>
        </row>
        <row r="485">
          <cell r="I485">
            <v>1.92774E-2</v>
          </cell>
        </row>
        <row r="486">
          <cell r="I486">
            <v>1.9317399999999998E-2</v>
          </cell>
        </row>
        <row r="487">
          <cell r="I487">
            <v>1.93574E-2</v>
          </cell>
        </row>
        <row r="488">
          <cell r="I488">
            <v>1.9397399999999999E-2</v>
          </cell>
        </row>
        <row r="489">
          <cell r="I489">
            <v>1.9437400000000001E-2</v>
          </cell>
        </row>
        <row r="490">
          <cell r="I490">
            <v>1.9477399999999999E-2</v>
          </cell>
        </row>
        <row r="491">
          <cell r="I491">
            <v>1.9517400000000001E-2</v>
          </cell>
        </row>
        <row r="492">
          <cell r="I492">
            <v>1.9557399999999999E-2</v>
          </cell>
        </row>
        <row r="493">
          <cell r="I493">
            <v>1.9597400000000001E-2</v>
          </cell>
        </row>
        <row r="494">
          <cell r="I494">
            <v>1.9637399999999999E-2</v>
          </cell>
        </row>
        <row r="495">
          <cell r="I495">
            <v>1.9677400000000001E-2</v>
          </cell>
        </row>
        <row r="496">
          <cell r="I496">
            <v>1.97174E-2</v>
          </cell>
        </row>
        <row r="497">
          <cell r="I497">
            <v>1.9757400000000001E-2</v>
          </cell>
        </row>
        <row r="498">
          <cell r="I498">
            <v>1.97974E-2</v>
          </cell>
        </row>
        <row r="499">
          <cell r="I499">
            <v>1.9837400000000002E-2</v>
          </cell>
        </row>
        <row r="500">
          <cell r="I500">
            <v>1.98774E-2</v>
          </cell>
        </row>
        <row r="501">
          <cell r="I501">
            <v>1.9917399999999998E-2</v>
          </cell>
        </row>
        <row r="502">
          <cell r="I502">
            <v>1.99574E-2</v>
          </cell>
        </row>
        <row r="503">
          <cell r="I503">
            <v>1.9997399999999999E-2</v>
          </cell>
        </row>
        <row r="504">
          <cell r="I504">
            <v>2.00374E-2</v>
          </cell>
        </row>
        <row r="505">
          <cell r="I505">
            <v>2.0077399999999999E-2</v>
          </cell>
        </row>
        <row r="506">
          <cell r="I506">
            <v>2.0117400000000001E-2</v>
          </cell>
        </row>
        <row r="507">
          <cell r="I507">
            <v>2.0157399999999999E-2</v>
          </cell>
        </row>
        <row r="508">
          <cell r="I508">
            <v>2.0197400000000001E-2</v>
          </cell>
        </row>
        <row r="509">
          <cell r="I509">
            <v>2.0237399999999999E-2</v>
          </cell>
        </row>
        <row r="510">
          <cell r="I510">
            <v>2.0277400000000001E-2</v>
          </cell>
        </row>
        <row r="511">
          <cell r="I511">
            <v>2.0317399999999999E-2</v>
          </cell>
        </row>
        <row r="512">
          <cell r="I512">
            <v>2.0357400000000001E-2</v>
          </cell>
        </row>
        <row r="513">
          <cell r="I513">
            <v>2.03974E-2</v>
          </cell>
        </row>
        <row r="514">
          <cell r="I514">
            <v>2.0437400000000001E-2</v>
          </cell>
        </row>
        <row r="515">
          <cell r="I515">
            <v>2.04774E-2</v>
          </cell>
        </row>
        <row r="516">
          <cell r="I516">
            <v>2.0517400000000002E-2</v>
          </cell>
        </row>
        <row r="517">
          <cell r="I517">
            <v>2.05574E-2</v>
          </cell>
        </row>
        <row r="518">
          <cell r="I518">
            <v>2.0597399999999998E-2</v>
          </cell>
        </row>
        <row r="519">
          <cell r="I519">
            <v>2.06374E-2</v>
          </cell>
        </row>
        <row r="520">
          <cell r="I520">
            <v>2.0677399999999999E-2</v>
          </cell>
        </row>
        <row r="521">
          <cell r="I521">
            <v>2.07174E-2</v>
          </cell>
        </row>
        <row r="522">
          <cell r="I522">
            <v>2.0757399999999999E-2</v>
          </cell>
        </row>
        <row r="523">
          <cell r="I523">
            <v>2.0797400000000001E-2</v>
          </cell>
        </row>
        <row r="524">
          <cell r="I524">
            <v>2.0837399999999999E-2</v>
          </cell>
        </row>
        <row r="525">
          <cell r="I525">
            <v>2.0877400000000001E-2</v>
          </cell>
        </row>
        <row r="526">
          <cell r="I526">
            <v>2.0917399999999999E-2</v>
          </cell>
        </row>
        <row r="527">
          <cell r="I527">
            <v>2.0957400000000001E-2</v>
          </cell>
        </row>
        <row r="528">
          <cell r="I528">
            <v>2.0997399999999999E-2</v>
          </cell>
        </row>
        <row r="529">
          <cell r="I529">
            <v>2.1037400000000001E-2</v>
          </cell>
        </row>
        <row r="530">
          <cell r="I530">
            <v>2.10774E-2</v>
          </cell>
        </row>
        <row r="531">
          <cell r="I531">
            <v>2.1117400000000001E-2</v>
          </cell>
        </row>
        <row r="532">
          <cell r="I532">
            <v>2.11574E-2</v>
          </cell>
        </row>
        <row r="533">
          <cell r="I533">
            <v>2.1197400000000002E-2</v>
          </cell>
        </row>
        <row r="534">
          <cell r="I534">
            <v>2.12374E-2</v>
          </cell>
        </row>
        <row r="535">
          <cell r="I535">
            <v>2.1277399999999998E-2</v>
          </cell>
        </row>
        <row r="536">
          <cell r="I536">
            <v>2.13174E-2</v>
          </cell>
        </row>
        <row r="537">
          <cell r="I537">
            <v>2.1357399999999999E-2</v>
          </cell>
        </row>
        <row r="538">
          <cell r="I538">
            <v>2.13974E-2</v>
          </cell>
        </row>
        <row r="539">
          <cell r="I539">
            <v>2.1437399999999999E-2</v>
          </cell>
        </row>
        <row r="540">
          <cell r="I540">
            <v>2.1477400000000001E-2</v>
          </cell>
        </row>
        <row r="541">
          <cell r="I541">
            <v>2.1517399999999999E-2</v>
          </cell>
        </row>
        <row r="542">
          <cell r="I542">
            <v>2.1557400000000001E-2</v>
          </cell>
        </row>
        <row r="543">
          <cell r="I543">
            <v>2.1597399999999999E-2</v>
          </cell>
        </row>
        <row r="544">
          <cell r="I544">
            <v>2.1637400000000001E-2</v>
          </cell>
        </row>
        <row r="545">
          <cell r="I545">
            <v>2.1677399999999999E-2</v>
          </cell>
        </row>
        <row r="546">
          <cell r="I546">
            <v>2.1717400000000001E-2</v>
          </cell>
        </row>
        <row r="547">
          <cell r="I547">
            <v>2.17574E-2</v>
          </cell>
        </row>
        <row r="548">
          <cell r="I548">
            <v>2.1797400000000001E-2</v>
          </cell>
        </row>
        <row r="549">
          <cell r="I549">
            <v>2.18374E-2</v>
          </cell>
        </row>
        <row r="550">
          <cell r="I550">
            <v>2.1877400000000002E-2</v>
          </cell>
        </row>
        <row r="551">
          <cell r="I551">
            <v>2.19174E-2</v>
          </cell>
        </row>
        <row r="552">
          <cell r="I552">
            <v>2.1957399999999998E-2</v>
          </cell>
        </row>
        <row r="553">
          <cell r="I553">
            <v>2.19974E-2</v>
          </cell>
        </row>
        <row r="554">
          <cell r="I554">
            <v>2.2037399999999999E-2</v>
          </cell>
        </row>
        <row r="555">
          <cell r="I555">
            <v>2.20774E-2</v>
          </cell>
        </row>
        <row r="556">
          <cell r="I556">
            <v>2.2117399999999999E-2</v>
          </cell>
        </row>
        <row r="557">
          <cell r="I557">
            <v>2.2157400000000001E-2</v>
          </cell>
        </row>
        <row r="558">
          <cell r="I558">
            <v>2.2197399999999999E-2</v>
          </cell>
        </row>
        <row r="559">
          <cell r="I559">
            <v>2.2237400000000001E-2</v>
          </cell>
        </row>
        <row r="560">
          <cell r="I560">
            <v>2.2277399999999999E-2</v>
          </cell>
        </row>
        <row r="561">
          <cell r="I561">
            <v>2.2317400000000001E-2</v>
          </cell>
        </row>
        <row r="562">
          <cell r="I562">
            <v>2.2357399999999999E-2</v>
          </cell>
        </row>
        <row r="563">
          <cell r="I563">
            <v>2.2397400000000001E-2</v>
          </cell>
        </row>
        <row r="564">
          <cell r="I564">
            <v>2.24374E-2</v>
          </cell>
        </row>
        <row r="565">
          <cell r="I565">
            <v>2.2477400000000002E-2</v>
          </cell>
        </row>
        <row r="566">
          <cell r="I566">
            <v>2.25174E-2</v>
          </cell>
        </row>
        <row r="567">
          <cell r="I567">
            <v>2.2557399999999998E-2</v>
          </cell>
        </row>
        <row r="568">
          <cell r="I568">
            <v>2.25974E-2</v>
          </cell>
        </row>
        <row r="569">
          <cell r="I569">
            <v>2.2637399999999998E-2</v>
          </cell>
        </row>
        <row r="570">
          <cell r="I570">
            <v>2.26774E-2</v>
          </cell>
        </row>
        <row r="571">
          <cell r="I571">
            <v>2.2717399999999999E-2</v>
          </cell>
        </row>
        <row r="572">
          <cell r="I572">
            <v>2.2757400000000001E-2</v>
          </cell>
        </row>
        <row r="573">
          <cell r="I573">
            <v>2.2797399999999999E-2</v>
          </cell>
        </row>
        <row r="574">
          <cell r="I574">
            <v>2.2837400000000001E-2</v>
          </cell>
        </row>
        <row r="575">
          <cell r="I575">
            <v>2.2877399999999999E-2</v>
          </cell>
        </row>
        <row r="576">
          <cell r="I576">
            <v>2.2917400000000001E-2</v>
          </cell>
        </row>
        <row r="577">
          <cell r="I577">
            <v>2.2957399999999999E-2</v>
          </cell>
        </row>
        <row r="578">
          <cell r="I578">
            <v>2.2997400000000001E-2</v>
          </cell>
        </row>
        <row r="579">
          <cell r="I579">
            <v>2.30374E-2</v>
          </cell>
        </row>
        <row r="580">
          <cell r="I580">
            <v>2.3077400000000001E-2</v>
          </cell>
        </row>
        <row r="581">
          <cell r="I581">
            <v>2.31174E-2</v>
          </cell>
        </row>
        <row r="582">
          <cell r="I582">
            <v>2.3157400000000002E-2</v>
          </cell>
        </row>
        <row r="583">
          <cell r="I583">
            <v>2.31974E-2</v>
          </cell>
        </row>
        <row r="584">
          <cell r="I584">
            <v>2.3237399999999998E-2</v>
          </cell>
        </row>
        <row r="585">
          <cell r="I585">
            <v>2.32774E-2</v>
          </cell>
        </row>
        <row r="586">
          <cell r="I586">
            <v>2.3317399999999999E-2</v>
          </cell>
        </row>
        <row r="587">
          <cell r="I587">
            <v>2.33574E-2</v>
          </cell>
        </row>
        <row r="588">
          <cell r="I588">
            <v>2.3397399999999999E-2</v>
          </cell>
        </row>
        <row r="589">
          <cell r="I589">
            <v>2.3437400000000001E-2</v>
          </cell>
        </row>
        <row r="590">
          <cell r="I590">
            <v>2.3477399999999999E-2</v>
          </cell>
        </row>
        <row r="591">
          <cell r="I591">
            <v>2.3517400000000001E-2</v>
          </cell>
        </row>
        <row r="592">
          <cell r="I592">
            <v>2.3557399999999999E-2</v>
          </cell>
        </row>
        <row r="593">
          <cell r="I593">
            <v>2.3597400000000001E-2</v>
          </cell>
        </row>
        <row r="594">
          <cell r="I594">
            <v>2.3637399999999999E-2</v>
          </cell>
        </row>
        <row r="595">
          <cell r="I595">
            <v>2.3677400000000001E-2</v>
          </cell>
        </row>
        <row r="596">
          <cell r="I596">
            <v>2.37174E-2</v>
          </cell>
        </row>
        <row r="597">
          <cell r="I597">
            <v>2.3757400000000001E-2</v>
          </cell>
        </row>
        <row r="598">
          <cell r="I598">
            <v>2.37974E-2</v>
          </cell>
        </row>
        <row r="599">
          <cell r="I599">
            <v>2.3837400000000002E-2</v>
          </cell>
        </row>
        <row r="600">
          <cell r="I600">
            <v>2.38774E-2</v>
          </cell>
        </row>
        <row r="601">
          <cell r="I601">
            <v>2.3917399999999998E-2</v>
          </cell>
        </row>
        <row r="602">
          <cell r="I602">
            <v>2.39574E-2</v>
          </cell>
        </row>
        <row r="603">
          <cell r="I603">
            <v>2.3997399999999999E-2</v>
          </cell>
        </row>
        <row r="604">
          <cell r="I604">
            <v>2.40374E-2</v>
          </cell>
        </row>
        <row r="605">
          <cell r="I605">
            <v>2.4077399999999999E-2</v>
          </cell>
        </row>
        <row r="606">
          <cell r="I606">
            <v>2.4117400000000001E-2</v>
          </cell>
        </row>
        <row r="607">
          <cell r="I607">
            <v>2.4157399999999999E-2</v>
          </cell>
        </row>
        <row r="608">
          <cell r="I608">
            <v>2.4197400000000001E-2</v>
          </cell>
        </row>
        <row r="609">
          <cell r="I609">
            <v>2.4237399999999999E-2</v>
          </cell>
        </row>
        <row r="610">
          <cell r="I610">
            <v>2.4277400000000001E-2</v>
          </cell>
        </row>
        <row r="611">
          <cell r="I611">
            <v>2.4317399999999999E-2</v>
          </cell>
        </row>
        <row r="612">
          <cell r="I612">
            <v>2.4357400000000001E-2</v>
          </cell>
        </row>
        <row r="613">
          <cell r="I613">
            <v>2.43974E-2</v>
          </cell>
        </row>
        <row r="614">
          <cell r="I614">
            <v>2.4437400000000001E-2</v>
          </cell>
        </row>
        <row r="615">
          <cell r="I615">
            <v>2.44774E-2</v>
          </cell>
        </row>
        <row r="616">
          <cell r="I616">
            <v>2.4517400000000002E-2</v>
          </cell>
        </row>
        <row r="617">
          <cell r="I617">
            <v>2.45574E-2</v>
          </cell>
        </row>
        <row r="618">
          <cell r="I618">
            <v>2.4597399999999998E-2</v>
          </cell>
        </row>
        <row r="619">
          <cell r="I619">
            <v>2.46374E-2</v>
          </cell>
        </row>
        <row r="620">
          <cell r="I620">
            <v>2.4677399999999999E-2</v>
          </cell>
        </row>
        <row r="621">
          <cell r="I621">
            <v>2.47174E-2</v>
          </cell>
        </row>
        <row r="622">
          <cell r="I622">
            <v>2.4757399999999999E-2</v>
          </cell>
        </row>
        <row r="623">
          <cell r="I623">
            <v>2.4797400000000001E-2</v>
          </cell>
        </row>
        <row r="624">
          <cell r="I624">
            <v>2.4837399999999999E-2</v>
          </cell>
        </row>
        <row r="625">
          <cell r="I625">
            <v>2.4877400000000001E-2</v>
          </cell>
        </row>
        <row r="626">
          <cell r="I626">
            <v>2.4917399999999999E-2</v>
          </cell>
        </row>
        <row r="627">
          <cell r="I627">
            <v>2.4957400000000001E-2</v>
          </cell>
        </row>
        <row r="628">
          <cell r="I628">
            <v>2.4997399999999999E-2</v>
          </cell>
        </row>
        <row r="629">
          <cell r="I629">
            <v>2.5037400000000001E-2</v>
          </cell>
        </row>
        <row r="630">
          <cell r="I630">
            <v>2.50774E-2</v>
          </cell>
        </row>
        <row r="631">
          <cell r="I631">
            <v>2.5117400000000002E-2</v>
          </cell>
        </row>
        <row r="632">
          <cell r="I632">
            <v>2.51574E-2</v>
          </cell>
        </row>
        <row r="633">
          <cell r="I633">
            <v>2.5197399999999998E-2</v>
          </cell>
        </row>
        <row r="634">
          <cell r="I634">
            <v>2.52374E-2</v>
          </cell>
        </row>
        <row r="635">
          <cell r="I635">
            <v>2.5277399999999998E-2</v>
          </cell>
        </row>
        <row r="636">
          <cell r="I636">
            <v>2.53174E-2</v>
          </cell>
        </row>
        <row r="637">
          <cell r="I637">
            <v>2.5357399999999999E-2</v>
          </cell>
        </row>
        <row r="638">
          <cell r="I638">
            <v>2.5397400000000001E-2</v>
          </cell>
        </row>
        <row r="639">
          <cell r="I639">
            <v>2.5437399999999999E-2</v>
          </cell>
        </row>
        <row r="640">
          <cell r="I640">
            <v>2.5477400000000001E-2</v>
          </cell>
        </row>
        <row r="641">
          <cell r="I641">
            <v>2.5517399999999999E-2</v>
          </cell>
        </row>
        <row r="642">
          <cell r="I642">
            <v>2.5557400000000001E-2</v>
          </cell>
        </row>
        <row r="643">
          <cell r="I643">
            <v>2.5597399999999999E-2</v>
          </cell>
        </row>
        <row r="644">
          <cell r="I644">
            <v>2.5637400000000001E-2</v>
          </cell>
        </row>
        <row r="645">
          <cell r="I645">
            <v>2.56774E-2</v>
          </cell>
        </row>
        <row r="646">
          <cell r="I646">
            <v>2.5717400000000001E-2</v>
          </cell>
        </row>
        <row r="647">
          <cell r="I647">
            <v>2.57574E-2</v>
          </cell>
        </row>
        <row r="648">
          <cell r="I648">
            <v>2.5797400000000002E-2</v>
          </cell>
        </row>
        <row r="649">
          <cell r="I649">
            <v>2.58374E-2</v>
          </cell>
        </row>
        <row r="650">
          <cell r="I650">
            <v>2.5877399999999998E-2</v>
          </cell>
        </row>
        <row r="651">
          <cell r="I651">
            <v>2.59174E-2</v>
          </cell>
        </row>
        <row r="652">
          <cell r="I652">
            <v>2.5957399999999999E-2</v>
          </cell>
        </row>
        <row r="653">
          <cell r="I653">
            <v>2.59974E-2</v>
          </cell>
        </row>
        <row r="654">
          <cell r="I654">
            <v>2.6037399999999999E-2</v>
          </cell>
        </row>
        <row r="655">
          <cell r="I655">
            <v>2.6077400000000001E-2</v>
          </cell>
        </row>
        <row r="656">
          <cell r="I656">
            <v>2.6117399999999999E-2</v>
          </cell>
        </row>
        <row r="657">
          <cell r="I657">
            <v>2.6157400000000001E-2</v>
          </cell>
        </row>
        <row r="658">
          <cell r="I658">
            <v>2.6197399999999999E-2</v>
          </cell>
        </row>
        <row r="659">
          <cell r="I659">
            <v>2.6237400000000001E-2</v>
          </cell>
        </row>
        <row r="660">
          <cell r="I660">
            <v>2.6277399999999999E-2</v>
          </cell>
        </row>
        <row r="661">
          <cell r="I661">
            <v>2.6317400000000001E-2</v>
          </cell>
        </row>
        <row r="662">
          <cell r="I662">
            <v>2.63574E-2</v>
          </cell>
        </row>
        <row r="663">
          <cell r="I663">
            <v>2.6397400000000001E-2</v>
          </cell>
        </row>
        <row r="664">
          <cell r="I664">
            <v>2.64374E-2</v>
          </cell>
        </row>
        <row r="665">
          <cell r="I665">
            <v>2.6477400000000002E-2</v>
          </cell>
        </row>
        <row r="666">
          <cell r="I666">
            <v>2.65174E-2</v>
          </cell>
        </row>
        <row r="667">
          <cell r="I667">
            <v>2.6557399999999998E-2</v>
          </cell>
        </row>
        <row r="668">
          <cell r="I668">
            <v>2.65974E-2</v>
          </cell>
        </row>
        <row r="669">
          <cell r="I669">
            <v>2.6637399999999999E-2</v>
          </cell>
        </row>
        <row r="670">
          <cell r="I670">
            <v>2.66774E-2</v>
          </cell>
        </row>
        <row r="671">
          <cell r="I671">
            <v>2.6717399999999999E-2</v>
          </cell>
        </row>
        <row r="672">
          <cell r="I672">
            <v>2.6757400000000001E-2</v>
          </cell>
        </row>
        <row r="673">
          <cell r="I673">
            <v>2.6797399999999999E-2</v>
          </cell>
        </row>
        <row r="674">
          <cell r="I674">
            <v>2.6837400000000001E-2</v>
          </cell>
        </row>
        <row r="675">
          <cell r="I675">
            <v>2.6877399999999999E-2</v>
          </cell>
        </row>
        <row r="676">
          <cell r="I676">
            <v>2.6917400000000001E-2</v>
          </cell>
        </row>
        <row r="677">
          <cell r="I677">
            <v>2.6957399999999999E-2</v>
          </cell>
        </row>
        <row r="678">
          <cell r="I678">
            <v>2.6997400000000001E-2</v>
          </cell>
        </row>
        <row r="679">
          <cell r="I679">
            <v>2.70374E-2</v>
          </cell>
        </row>
        <row r="680">
          <cell r="I680">
            <v>2.7077400000000001E-2</v>
          </cell>
        </row>
        <row r="681">
          <cell r="I681">
            <v>2.71174E-2</v>
          </cell>
        </row>
        <row r="682">
          <cell r="I682">
            <v>2.7157400000000002E-2</v>
          </cell>
        </row>
        <row r="683">
          <cell r="I683">
            <v>2.71974E-2</v>
          </cell>
        </row>
        <row r="684">
          <cell r="I684">
            <v>2.7237399999999998E-2</v>
          </cell>
        </row>
        <row r="685">
          <cell r="I685">
            <v>2.72774E-2</v>
          </cell>
        </row>
        <row r="686">
          <cell r="I686">
            <v>2.7317399999999999E-2</v>
          </cell>
        </row>
        <row r="687">
          <cell r="I687">
            <v>2.73574E-2</v>
          </cell>
        </row>
        <row r="688">
          <cell r="I688">
            <v>2.7397399999999999E-2</v>
          </cell>
        </row>
        <row r="689">
          <cell r="I689">
            <v>2.7437400000000001E-2</v>
          </cell>
        </row>
        <row r="690">
          <cell r="I690">
            <v>2.7477399999999999E-2</v>
          </cell>
        </row>
        <row r="691">
          <cell r="I691">
            <v>2.7517400000000001E-2</v>
          </cell>
        </row>
        <row r="692">
          <cell r="I692">
            <v>2.7557399999999999E-2</v>
          </cell>
        </row>
        <row r="693">
          <cell r="I693">
            <v>2.7597400000000001E-2</v>
          </cell>
        </row>
        <row r="694">
          <cell r="I694">
            <v>2.7637399999999999E-2</v>
          </cell>
        </row>
        <row r="695">
          <cell r="I695">
            <v>2.7677400000000001E-2</v>
          </cell>
        </row>
        <row r="696">
          <cell r="I696">
            <v>2.77174E-2</v>
          </cell>
        </row>
        <row r="697">
          <cell r="I697">
            <v>2.7757400000000002E-2</v>
          </cell>
        </row>
        <row r="698">
          <cell r="I698">
            <v>2.77974E-2</v>
          </cell>
        </row>
        <row r="699">
          <cell r="I699">
            <v>2.7837400000000002E-2</v>
          </cell>
        </row>
        <row r="700">
          <cell r="I700">
            <v>2.78774E-2</v>
          </cell>
        </row>
        <row r="701">
          <cell r="I701">
            <v>2.7917399999999998E-2</v>
          </cell>
        </row>
        <row r="702">
          <cell r="I702">
            <v>2.79574E-2</v>
          </cell>
        </row>
        <row r="703">
          <cell r="I703">
            <v>2.7997399999999999E-2</v>
          </cell>
        </row>
        <row r="704">
          <cell r="I704">
            <v>2.8037400000000001E-2</v>
          </cell>
        </row>
        <row r="705">
          <cell r="I705">
            <v>2.8077399999999999E-2</v>
          </cell>
        </row>
        <row r="706">
          <cell r="I706">
            <v>2.8117400000000001E-2</v>
          </cell>
        </row>
        <row r="707">
          <cell r="I707">
            <v>2.8157399999999999E-2</v>
          </cell>
        </row>
        <row r="708">
          <cell r="I708">
            <v>2.8197400000000001E-2</v>
          </cell>
        </row>
        <row r="709">
          <cell r="I709">
            <v>2.8237399999999999E-2</v>
          </cell>
        </row>
        <row r="710">
          <cell r="I710">
            <v>2.8277400000000001E-2</v>
          </cell>
        </row>
        <row r="711">
          <cell r="I711">
            <v>2.83174E-2</v>
          </cell>
        </row>
        <row r="712">
          <cell r="I712">
            <v>2.8357400000000001E-2</v>
          </cell>
        </row>
        <row r="713">
          <cell r="I713">
            <v>2.83974E-2</v>
          </cell>
        </row>
        <row r="714">
          <cell r="I714">
            <v>2.8437400000000002E-2</v>
          </cell>
        </row>
        <row r="715">
          <cell r="I715">
            <v>2.84774E-2</v>
          </cell>
        </row>
        <row r="716">
          <cell r="I716">
            <v>2.8517399999999998E-2</v>
          </cell>
        </row>
        <row r="717">
          <cell r="I717">
            <v>2.85574E-2</v>
          </cell>
        </row>
        <row r="718">
          <cell r="I718">
            <v>2.8597399999999999E-2</v>
          </cell>
        </row>
        <row r="719">
          <cell r="I719">
            <v>2.86374E-2</v>
          </cell>
        </row>
        <row r="720">
          <cell r="I720">
            <v>2.8677399999999999E-2</v>
          </cell>
        </row>
        <row r="721">
          <cell r="I721">
            <v>2.8717400000000001E-2</v>
          </cell>
        </row>
        <row r="722">
          <cell r="I722">
            <v>2.8757399999999999E-2</v>
          </cell>
        </row>
        <row r="723">
          <cell r="I723">
            <v>2.8797400000000001E-2</v>
          </cell>
        </row>
        <row r="724">
          <cell r="I724">
            <v>2.8837399999999999E-2</v>
          </cell>
        </row>
        <row r="725">
          <cell r="I725">
            <v>2.8877400000000001E-2</v>
          </cell>
        </row>
        <row r="726">
          <cell r="I726">
            <v>2.8917399999999999E-2</v>
          </cell>
        </row>
        <row r="727">
          <cell r="I727">
            <v>2.8957400000000001E-2</v>
          </cell>
        </row>
        <row r="728">
          <cell r="I728">
            <v>2.89974E-2</v>
          </cell>
        </row>
        <row r="729">
          <cell r="I729">
            <v>2.9037400000000001E-2</v>
          </cell>
        </row>
        <row r="730">
          <cell r="I730">
            <v>2.90774E-2</v>
          </cell>
        </row>
        <row r="731">
          <cell r="I731">
            <v>2.9117400000000002E-2</v>
          </cell>
        </row>
        <row r="732">
          <cell r="I732">
            <v>2.91574E-2</v>
          </cell>
        </row>
        <row r="733">
          <cell r="I733">
            <v>2.9197399999999998E-2</v>
          </cell>
        </row>
        <row r="734">
          <cell r="I734">
            <v>2.92374E-2</v>
          </cell>
        </row>
        <row r="735">
          <cell r="I735">
            <v>2.9277399999999999E-2</v>
          </cell>
        </row>
        <row r="736">
          <cell r="I736">
            <v>2.93174E-2</v>
          </cell>
        </row>
        <row r="737">
          <cell r="I737">
            <v>2.9357399999999999E-2</v>
          </cell>
        </row>
        <row r="738">
          <cell r="I738">
            <v>2.9397400000000001E-2</v>
          </cell>
        </row>
        <row r="739">
          <cell r="I739">
            <v>2.9437399999999999E-2</v>
          </cell>
        </row>
        <row r="740">
          <cell r="I740">
            <v>2.9477400000000001E-2</v>
          </cell>
        </row>
        <row r="741">
          <cell r="I741">
            <v>2.9517399999999999E-2</v>
          </cell>
        </row>
        <row r="742">
          <cell r="I742">
            <v>2.9557400000000001E-2</v>
          </cell>
        </row>
        <row r="743">
          <cell r="I743">
            <v>2.9597399999999999E-2</v>
          </cell>
        </row>
        <row r="744">
          <cell r="I744">
            <v>2.9637400000000001E-2</v>
          </cell>
        </row>
        <row r="745">
          <cell r="I745">
            <v>2.96774E-2</v>
          </cell>
        </row>
        <row r="746">
          <cell r="I746">
            <v>2.9717400000000001E-2</v>
          </cell>
        </row>
        <row r="747">
          <cell r="I747">
            <v>2.97574E-2</v>
          </cell>
        </row>
        <row r="748">
          <cell r="I748">
            <v>2.9797400000000002E-2</v>
          </cell>
        </row>
        <row r="749">
          <cell r="I749">
            <v>2.98374E-2</v>
          </cell>
        </row>
        <row r="750">
          <cell r="I750">
            <v>2.9877399999999998E-2</v>
          </cell>
        </row>
        <row r="751">
          <cell r="I751">
            <v>2.99174E-2</v>
          </cell>
        </row>
        <row r="752">
          <cell r="I752">
            <v>2.9957399999999999E-2</v>
          </cell>
        </row>
        <row r="753">
          <cell r="I753">
            <v>2.99974E-2</v>
          </cell>
        </row>
        <row r="754">
          <cell r="I754">
            <v>3.0037399999999999E-2</v>
          </cell>
        </row>
        <row r="755">
          <cell r="I755">
            <v>3.0077400000000001E-2</v>
          </cell>
        </row>
        <row r="756">
          <cell r="I756">
            <v>3.0117399999999999E-2</v>
          </cell>
        </row>
        <row r="757">
          <cell r="I757">
            <v>3.0157400000000001E-2</v>
          </cell>
        </row>
        <row r="758">
          <cell r="I758">
            <v>3.0197399999999999E-2</v>
          </cell>
        </row>
        <row r="759">
          <cell r="I759">
            <v>3.0237400000000001E-2</v>
          </cell>
        </row>
        <row r="760">
          <cell r="I760">
            <v>3.0277399999999999E-2</v>
          </cell>
        </row>
        <row r="761">
          <cell r="I761">
            <v>3.0317400000000001E-2</v>
          </cell>
        </row>
        <row r="762">
          <cell r="I762">
            <v>3.03574E-2</v>
          </cell>
        </row>
        <row r="763">
          <cell r="I763">
            <v>3.0397400000000002E-2</v>
          </cell>
        </row>
        <row r="764">
          <cell r="I764">
            <v>3.04374E-2</v>
          </cell>
        </row>
        <row r="765">
          <cell r="I765">
            <v>3.0477400000000002E-2</v>
          </cell>
        </row>
        <row r="766">
          <cell r="I766">
            <v>3.05174E-2</v>
          </cell>
        </row>
        <row r="767">
          <cell r="I767">
            <v>3.0557399999999998E-2</v>
          </cell>
        </row>
        <row r="768">
          <cell r="I768">
            <v>3.05974E-2</v>
          </cell>
        </row>
        <row r="769">
          <cell r="I769">
            <v>3.0637399999999999E-2</v>
          </cell>
        </row>
        <row r="770">
          <cell r="I770">
            <v>3.0677400000000001E-2</v>
          </cell>
        </row>
        <row r="771">
          <cell r="I771">
            <v>3.0717399999999999E-2</v>
          </cell>
        </row>
        <row r="772">
          <cell r="I772">
            <v>3.0757400000000001E-2</v>
          </cell>
        </row>
        <row r="773">
          <cell r="I773">
            <v>3.0797399999999999E-2</v>
          </cell>
        </row>
        <row r="774">
          <cell r="I774">
            <v>3.0837400000000001E-2</v>
          </cell>
        </row>
        <row r="775">
          <cell r="I775">
            <v>3.0877399999999999E-2</v>
          </cell>
        </row>
        <row r="776">
          <cell r="I776">
            <v>3.0917400000000001E-2</v>
          </cell>
        </row>
        <row r="777">
          <cell r="I777">
            <v>3.09574E-2</v>
          </cell>
        </row>
        <row r="778">
          <cell r="I778">
            <v>3.0997400000000001E-2</v>
          </cell>
        </row>
        <row r="779">
          <cell r="I779">
            <v>3.10374E-2</v>
          </cell>
        </row>
        <row r="780">
          <cell r="I780">
            <v>3.1077400000000002E-2</v>
          </cell>
        </row>
        <row r="781">
          <cell r="I781">
            <v>3.11174E-2</v>
          </cell>
        </row>
        <row r="782">
          <cell r="I782">
            <v>3.1157399999999998E-2</v>
          </cell>
        </row>
        <row r="783">
          <cell r="I783">
            <v>3.11974E-2</v>
          </cell>
        </row>
        <row r="784">
          <cell r="I784">
            <v>3.1237399999999999E-2</v>
          </cell>
        </row>
        <row r="785">
          <cell r="I785">
            <v>3.1277399999999997E-2</v>
          </cell>
        </row>
        <row r="786">
          <cell r="I786">
            <v>3.1317400000000002E-2</v>
          </cell>
        </row>
        <row r="787">
          <cell r="I787">
            <v>3.1357400000000001E-2</v>
          </cell>
        </row>
        <row r="788">
          <cell r="I788">
            <v>3.1397399999999999E-2</v>
          </cell>
        </row>
        <row r="789">
          <cell r="I789">
            <v>3.1437399999999997E-2</v>
          </cell>
        </row>
        <row r="790">
          <cell r="I790">
            <v>3.1477400000000003E-2</v>
          </cell>
        </row>
        <row r="791">
          <cell r="I791">
            <v>3.1517400000000001E-2</v>
          </cell>
        </row>
        <row r="792">
          <cell r="I792">
            <v>3.1557399999999999E-2</v>
          </cell>
        </row>
        <row r="793">
          <cell r="I793">
            <v>3.1597399999999998E-2</v>
          </cell>
        </row>
        <row r="794">
          <cell r="I794">
            <v>3.1637400000000003E-2</v>
          </cell>
        </row>
        <row r="795">
          <cell r="I795">
            <v>3.1677400000000001E-2</v>
          </cell>
        </row>
        <row r="796">
          <cell r="I796">
            <v>3.17174E-2</v>
          </cell>
        </row>
        <row r="797">
          <cell r="I797">
            <v>3.1757399999999998E-2</v>
          </cell>
        </row>
        <row r="798">
          <cell r="I798">
            <v>3.1797400000000003E-2</v>
          </cell>
        </row>
        <row r="799">
          <cell r="I799">
            <v>3.1837400000000002E-2</v>
          </cell>
        </row>
        <row r="800">
          <cell r="I800">
            <v>3.18774E-2</v>
          </cell>
        </row>
        <row r="801">
          <cell r="I801">
            <v>3.1917399999999999E-2</v>
          </cell>
        </row>
        <row r="802">
          <cell r="I802">
            <v>3.1957399999999997E-2</v>
          </cell>
        </row>
        <row r="803">
          <cell r="I803">
            <v>3.1997400000000002E-2</v>
          </cell>
        </row>
        <row r="804">
          <cell r="I804">
            <v>3.2037400000000001E-2</v>
          </cell>
        </row>
        <row r="805">
          <cell r="I805">
            <v>3.2077399999999999E-2</v>
          </cell>
        </row>
        <row r="806">
          <cell r="I806">
            <v>3.2117399999999997E-2</v>
          </cell>
        </row>
        <row r="807">
          <cell r="I807">
            <v>3.2157400000000003E-2</v>
          </cell>
        </row>
        <row r="808">
          <cell r="I808">
            <v>3.2197400000000001E-2</v>
          </cell>
        </row>
        <row r="809">
          <cell r="I809">
            <v>3.2237399999999999E-2</v>
          </cell>
        </row>
        <row r="810">
          <cell r="I810">
            <v>3.2277399999999998E-2</v>
          </cell>
        </row>
        <row r="811">
          <cell r="I811">
            <v>3.2317400000000003E-2</v>
          </cell>
        </row>
        <row r="812">
          <cell r="I812">
            <v>3.2357400000000001E-2</v>
          </cell>
        </row>
        <row r="813">
          <cell r="I813">
            <v>3.23974E-2</v>
          </cell>
        </row>
        <row r="814">
          <cell r="I814">
            <v>3.2437399999999998E-2</v>
          </cell>
        </row>
        <row r="815">
          <cell r="I815">
            <v>3.2477399999999997E-2</v>
          </cell>
        </row>
        <row r="816">
          <cell r="I816">
            <v>3.2517400000000002E-2</v>
          </cell>
        </row>
        <row r="817">
          <cell r="I817">
            <v>3.25574E-2</v>
          </cell>
        </row>
        <row r="818">
          <cell r="I818">
            <v>3.2597399999999999E-2</v>
          </cell>
        </row>
        <row r="819">
          <cell r="I819">
            <v>3.2637399999999997E-2</v>
          </cell>
        </row>
        <row r="820">
          <cell r="I820">
            <v>3.2677400000000002E-2</v>
          </cell>
        </row>
        <row r="821">
          <cell r="I821">
            <v>3.2717400000000001E-2</v>
          </cell>
        </row>
        <row r="822">
          <cell r="I822">
            <v>3.2757399999999999E-2</v>
          </cell>
        </row>
        <row r="823">
          <cell r="I823">
            <v>3.2797399999999997E-2</v>
          </cell>
        </row>
        <row r="824">
          <cell r="I824">
            <v>3.2837400000000003E-2</v>
          </cell>
        </row>
        <row r="825">
          <cell r="I825">
            <v>3.2877400000000001E-2</v>
          </cell>
        </row>
        <row r="826">
          <cell r="I826">
            <v>3.2917399999999999E-2</v>
          </cell>
        </row>
        <row r="827">
          <cell r="I827">
            <v>3.2957399999999998E-2</v>
          </cell>
        </row>
        <row r="828">
          <cell r="I828">
            <v>3.2997400000000003E-2</v>
          </cell>
        </row>
        <row r="829">
          <cell r="I829">
            <v>3.3037400000000001E-2</v>
          </cell>
        </row>
        <row r="830">
          <cell r="I830">
            <v>3.30774E-2</v>
          </cell>
        </row>
        <row r="831">
          <cell r="I831">
            <v>3.3117399999999998E-2</v>
          </cell>
        </row>
        <row r="832">
          <cell r="I832">
            <v>3.3157399999999997E-2</v>
          </cell>
        </row>
        <row r="833">
          <cell r="I833">
            <v>3.3197400000000002E-2</v>
          </cell>
        </row>
        <row r="834">
          <cell r="I834">
            <v>3.32374E-2</v>
          </cell>
        </row>
        <row r="835">
          <cell r="I835">
            <v>3.3277399999999999E-2</v>
          </cell>
        </row>
        <row r="836">
          <cell r="I836">
            <v>3.3317399999999997E-2</v>
          </cell>
        </row>
        <row r="837">
          <cell r="I837">
            <v>3.3357400000000002E-2</v>
          </cell>
        </row>
        <row r="838">
          <cell r="I838">
            <v>3.3397400000000001E-2</v>
          </cell>
        </row>
        <row r="839">
          <cell r="I839">
            <v>3.3437399999999999E-2</v>
          </cell>
        </row>
        <row r="840">
          <cell r="I840">
            <v>3.3477399999999997E-2</v>
          </cell>
        </row>
        <row r="841">
          <cell r="I841">
            <v>3.3517400000000003E-2</v>
          </cell>
        </row>
        <row r="842">
          <cell r="I842">
            <v>3.3557400000000001E-2</v>
          </cell>
        </row>
        <row r="843">
          <cell r="I843">
            <v>3.3597399999999999E-2</v>
          </cell>
        </row>
        <row r="844">
          <cell r="I844">
            <v>3.3637399999999998E-2</v>
          </cell>
        </row>
        <row r="845">
          <cell r="I845">
            <v>3.3677400000000003E-2</v>
          </cell>
        </row>
        <row r="846">
          <cell r="I846">
            <v>3.3717400000000002E-2</v>
          </cell>
        </row>
        <row r="847">
          <cell r="I847">
            <v>3.37574E-2</v>
          </cell>
        </row>
        <row r="848">
          <cell r="I848">
            <v>3.3797399999999998E-2</v>
          </cell>
        </row>
        <row r="849">
          <cell r="I849">
            <v>3.3837399999999997E-2</v>
          </cell>
        </row>
        <row r="850">
          <cell r="I850">
            <v>3.3877400000000002E-2</v>
          </cell>
        </row>
        <row r="851">
          <cell r="I851">
            <v>3.39174E-2</v>
          </cell>
        </row>
        <row r="852">
          <cell r="I852">
            <v>3.3957399999999999E-2</v>
          </cell>
        </row>
        <row r="853">
          <cell r="I853">
            <v>3.3997399999999997E-2</v>
          </cell>
        </row>
        <row r="854">
          <cell r="I854">
            <v>3.4037400000000002E-2</v>
          </cell>
        </row>
        <row r="855">
          <cell r="I855">
            <v>3.4077400000000001E-2</v>
          </cell>
        </row>
        <row r="856">
          <cell r="I856">
            <v>3.4117399999999999E-2</v>
          </cell>
        </row>
        <row r="857">
          <cell r="I857">
            <v>3.4157399999999997E-2</v>
          </cell>
        </row>
        <row r="858">
          <cell r="I858">
            <v>3.4197400000000003E-2</v>
          </cell>
        </row>
        <row r="859">
          <cell r="I859">
            <v>3.4237400000000001E-2</v>
          </cell>
        </row>
        <row r="860">
          <cell r="I860">
            <v>3.42774E-2</v>
          </cell>
        </row>
        <row r="861">
          <cell r="I861">
            <v>3.4317399999999998E-2</v>
          </cell>
        </row>
        <row r="862">
          <cell r="I862">
            <v>3.4357400000000003E-2</v>
          </cell>
        </row>
        <row r="863">
          <cell r="I863">
            <v>3.4397400000000002E-2</v>
          </cell>
        </row>
        <row r="864">
          <cell r="I864">
            <v>3.44374E-2</v>
          </cell>
        </row>
        <row r="865">
          <cell r="I865">
            <v>3.4477399999999998E-2</v>
          </cell>
        </row>
        <row r="866">
          <cell r="I866">
            <v>3.4517399999999997E-2</v>
          </cell>
        </row>
        <row r="867">
          <cell r="I867">
            <v>3.4557400000000002E-2</v>
          </cell>
        </row>
        <row r="868">
          <cell r="I868">
            <v>3.45974E-2</v>
          </cell>
        </row>
        <row r="869">
          <cell r="I869">
            <v>3.4637399999999999E-2</v>
          </cell>
        </row>
        <row r="870">
          <cell r="I870">
            <v>3.4677399999999997E-2</v>
          </cell>
        </row>
        <row r="871">
          <cell r="I871">
            <v>3.4717400000000002E-2</v>
          </cell>
        </row>
        <row r="872">
          <cell r="I872">
            <v>3.4757400000000001E-2</v>
          </cell>
        </row>
        <row r="873">
          <cell r="I873">
            <v>3.4797399999999999E-2</v>
          </cell>
        </row>
        <row r="874">
          <cell r="I874">
            <v>3.4837399999999998E-2</v>
          </cell>
        </row>
        <row r="875">
          <cell r="I875">
            <v>3.4877400000000003E-2</v>
          </cell>
        </row>
        <row r="876">
          <cell r="I876">
            <v>3.4917400000000001E-2</v>
          </cell>
        </row>
        <row r="877">
          <cell r="I877">
            <v>3.49574E-2</v>
          </cell>
        </row>
        <row r="878">
          <cell r="I878">
            <v>3.4997399999999998E-2</v>
          </cell>
        </row>
        <row r="879">
          <cell r="I879">
            <v>3.5037400000000003E-2</v>
          </cell>
        </row>
        <row r="880">
          <cell r="I880">
            <v>3.5077400000000002E-2</v>
          </cell>
        </row>
        <row r="881">
          <cell r="I881">
            <v>3.51174E-2</v>
          </cell>
        </row>
        <row r="882">
          <cell r="I882">
            <v>3.5157399999999998E-2</v>
          </cell>
        </row>
        <row r="883">
          <cell r="I883">
            <v>3.5197399999999997E-2</v>
          </cell>
        </row>
        <row r="884">
          <cell r="I884">
            <v>3.5237400000000002E-2</v>
          </cell>
        </row>
        <row r="885">
          <cell r="I885">
            <v>3.52774E-2</v>
          </cell>
        </row>
        <row r="886">
          <cell r="I886">
            <v>3.5317399999999999E-2</v>
          </cell>
        </row>
        <row r="887">
          <cell r="I887">
            <v>3.5357399999999997E-2</v>
          </cell>
        </row>
        <row r="888">
          <cell r="I888">
            <v>3.5397400000000002E-2</v>
          </cell>
        </row>
        <row r="889">
          <cell r="I889">
            <v>3.5437400000000001E-2</v>
          </cell>
        </row>
        <row r="890">
          <cell r="I890">
            <v>3.5477399999999999E-2</v>
          </cell>
        </row>
        <row r="891">
          <cell r="I891">
            <v>3.5517399999999998E-2</v>
          </cell>
        </row>
        <row r="892">
          <cell r="I892">
            <v>3.5557400000000003E-2</v>
          </cell>
        </row>
        <row r="893">
          <cell r="I893">
            <v>3.5597400000000001E-2</v>
          </cell>
        </row>
        <row r="894">
          <cell r="I894">
            <v>3.56374E-2</v>
          </cell>
        </row>
        <row r="895">
          <cell r="I895">
            <v>3.5677399999999998E-2</v>
          </cell>
        </row>
        <row r="896">
          <cell r="I896">
            <v>3.5717400000000003E-2</v>
          </cell>
        </row>
        <row r="897">
          <cell r="I897">
            <v>3.5757400000000002E-2</v>
          </cell>
        </row>
        <row r="898">
          <cell r="I898">
            <v>3.57974E-2</v>
          </cell>
        </row>
        <row r="899">
          <cell r="I899">
            <v>3.5837399999999998E-2</v>
          </cell>
        </row>
        <row r="900">
          <cell r="I900">
            <v>3.5877399999999997E-2</v>
          </cell>
        </row>
        <row r="901">
          <cell r="I901">
            <v>3.5917400000000002E-2</v>
          </cell>
        </row>
        <row r="902">
          <cell r="I902">
            <v>3.59574E-2</v>
          </cell>
        </row>
        <row r="903">
          <cell r="I903">
            <v>3.5997399999999999E-2</v>
          </cell>
        </row>
        <row r="904">
          <cell r="I904">
            <v>3.6037399999999997E-2</v>
          </cell>
        </row>
        <row r="905">
          <cell r="I905">
            <v>3.6077400000000003E-2</v>
          </cell>
        </row>
        <row r="906">
          <cell r="I906">
            <v>3.6117400000000001E-2</v>
          </cell>
        </row>
        <row r="907">
          <cell r="I907">
            <v>3.6157399999999999E-2</v>
          </cell>
        </row>
        <row r="908">
          <cell r="I908">
            <v>3.6197399999999998E-2</v>
          </cell>
        </row>
        <row r="909">
          <cell r="I909">
            <v>3.6237400000000003E-2</v>
          </cell>
        </row>
        <row r="910">
          <cell r="I910">
            <v>3.6277400000000001E-2</v>
          </cell>
        </row>
        <row r="911">
          <cell r="I911">
            <v>3.63174E-2</v>
          </cell>
        </row>
        <row r="912">
          <cell r="I912">
            <v>3.6357399999999998E-2</v>
          </cell>
        </row>
        <row r="913">
          <cell r="I913">
            <v>3.6397400000000003E-2</v>
          </cell>
        </row>
        <row r="914">
          <cell r="I914">
            <v>3.6437400000000002E-2</v>
          </cell>
        </row>
        <row r="915">
          <cell r="I915">
            <v>3.64774E-2</v>
          </cell>
        </row>
        <row r="916">
          <cell r="I916">
            <v>3.6517399999999998E-2</v>
          </cell>
        </row>
        <row r="917">
          <cell r="I917">
            <v>3.6557399999999997E-2</v>
          </cell>
        </row>
        <row r="918">
          <cell r="I918">
            <v>3.6597400000000002E-2</v>
          </cell>
        </row>
        <row r="919">
          <cell r="I919">
            <v>3.6637400000000001E-2</v>
          </cell>
        </row>
        <row r="920">
          <cell r="I920">
            <v>3.6677399999999999E-2</v>
          </cell>
        </row>
        <row r="921">
          <cell r="I921">
            <v>3.6717399999999997E-2</v>
          </cell>
        </row>
        <row r="922">
          <cell r="I922">
            <v>3.6757400000000003E-2</v>
          </cell>
        </row>
        <row r="923">
          <cell r="I923">
            <v>3.6797400000000001E-2</v>
          </cell>
        </row>
        <row r="924">
          <cell r="I924">
            <v>3.6837399999999999E-2</v>
          </cell>
        </row>
        <row r="925">
          <cell r="I925">
            <v>3.6877399999999998E-2</v>
          </cell>
        </row>
        <row r="926">
          <cell r="I926">
            <v>3.6917400000000003E-2</v>
          </cell>
        </row>
        <row r="927">
          <cell r="I927">
            <v>3.6957400000000001E-2</v>
          </cell>
        </row>
        <row r="928">
          <cell r="I928">
            <v>3.69974E-2</v>
          </cell>
        </row>
        <row r="929">
          <cell r="I929">
            <v>3.7037399999999998E-2</v>
          </cell>
        </row>
        <row r="930">
          <cell r="I930">
            <v>3.7077400000000003E-2</v>
          </cell>
        </row>
        <row r="931">
          <cell r="I931">
            <v>3.7117400000000002E-2</v>
          </cell>
        </row>
        <row r="932">
          <cell r="I932">
            <v>3.71574E-2</v>
          </cell>
        </row>
        <row r="933">
          <cell r="I933">
            <v>3.7197399999999999E-2</v>
          </cell>
        </row>
        <row r="934">
          <cell r="I934">
            <v>3.7237399999999997E-2</v>
          </cell>
        </row>
        <row r="935">
          <cell r="I935">
            <v>3.7277400000000002E-2</v>
          </cell>
        </row>
        <row r="936">
          <cell r="I936">
            <v>3.7317400000000001E-2</v>
          </cell>
        </row>
        <row r="937">
          <cell r="I937">
            <v>3.7357399999999999E-2</v>
          </cell>
        </row>
        <row r="938">
          <cell r="I938">
            <v>3.7397399999999997E-2</v>
          </cell>
        </row>
        <row r="939">
          <cell r="I939">
            <v>3.7437400000000003E-2</v>
          </cell>
        </row>
        <row r="940">
          <cell r="I940">
            <v>3.7477400000000001E-2</v>
          </cell>
        </row>
        <row r="941">
          <cell r="I941">
            <v>3.7517399999999999E-2</v>
          </cell>
        </row>
        <row r="942">
          <cell r="I942">
            <v>3.7557399999999998E-2</v>
          </cell>
        </row>
        <row r="943">
          <cell r="I943">
            <v>3.7597400000000003E-2</v>
          </cell>
        </row>
        <row r="944">
          <cell r="I944">
            <v>3.7637400000000001E-2</v>
          </cell>
        </row>
        <row r="945">
          <cell r="I945">
            <v>3.76774E-2</v>
          </cell>
        </row>
        <row r="946">
          <cell r="I946">
            <v>3.7717399999999998E-2</v>
          </cell>
        </row>
        <row r="947">
          <cell r="I947">
            <v>3.7757400000000003E-2</v>
          </cell>
        </row>
        <row r="948">
          <cell r="I948">
            <v>3.7797400000000002E-2</v>
          </cell>
        </row>
        <row r="949">
          <cell r="I949">
            <v>3.78374E-2</v>
          </cell>
        </row>
        <row r="950">
          <cell r="I950">
            <v>3.7877399999999999E-2</v>
          </cell>
        </row>
        <row r="951">
          <cell r="I951">
            <v>3.7917399999999997E-2</v>
          </cell>
        </row>
        <row r="952">
          <cell r="I952">
            <v>3.7957400000000002E-2</v>
          </cell>
        </row>
        <row r="953">
          <cell r="I953">
            <v>3.7997400000000001E-2</v>
          </cell>
        </row>
        <row r="954">
          <cell r="I954">
            <v>3.8037399999999999E-2</v>
          </cell>
        </row>
        <row r="955">
          <cell r="I955">
            <v>3.8077399999999997E-2</v>
          </cell>
        </row>
        <row r="956">
          <cell r="I956">
            <v>3.8117400000000003E-2</v>
          </cell>
        </row>
        <row r="957">
          <cell r="I957">
            <v>3.8157400000000001E-2</v>
          </cell>
        </row>
        <row r="958">
          <cell r="I958">
            <v>3.8197399999999999E-2</v>
          </cell>
        </row>
        <row r="959">
          <cell r="I959">
            <v>3.8237399999999998E-2</v>
          </cell>
        </row>
        <row r="960">
          <cell r="I960">
            <v>3.8277400000000003E-2</v>
          </cell>
        </row>
        <row r="961">
          <cell r="I961">
            <v>3.8317400000000001E-2</v>
          </cell>
        </row>
        <row r="962">
          <cell r="I962">
            <v>3.83574E-2</v>
          </cell>
        </row>
        <row r="963">
          <cell r="I963">
            <v>3.8397399999999998E-2</v>
          </cell>
        </row>
        <row r="964">
          <cell r="I964">
            <v>3.8437399999999997E-2</v>
          </cell>
        </row>
        <row r="965">
          <cell r="I965">
            <v>3.8477400000000002E-2</v>
          </cell>
        </row>
        <row r="966">
          <cell r="I966">
            <v>3.85174E-2</v>
          </cell>
        </row>
        <row r="967">
          <cell r="I967">
            <v>3.8557399999999999E-2</v>
          </cell>
        </row>
        <row r="968">
          <cell r="I968">
            <v>3.8597399999999997E-2</v>
          </cell>
        </row>
        <row r="969">
          <cell r="I969">
            <v>3.8637400000000002E-2</v>
          </cell>
        </row>
        <row r="970">
          <cell r="I970">
            <v>3.8677400000000001E-2</v>
          </cell>
        </row>
        <row r="971">
          <cell r="I971">
            <v>3.8717399999999999E-2</v>
          </cell>
        </row>
        <row r="972">
          <cell r="I972">
            <v>3.8757399999999997E-2</v>
          </cell>
        </row>
        <row r="973">
          <cell r="I973">
            <v>3.8797400000000003E-2</v>
          </cell>
        </row>
        <row r="974">
          <cell r="I974">
            <v>3.8837400000000001E-2</v>
          </cell>
        </row>
        <row r="975">
          <cell r="I975">
            <v>3.8877399999999999E-2</v>
          </cell>
        </row>
        <row r="976">
          <cell r="I976">
            <v>3.8917399999999998E-2</v>
          </cell>
        </row>
        <row r="977">
          <cell r="I977">
            <v>3.8957400000000003E-2</v>
          </cell>
        </row>
        <row r="978">
          <cell r="I978">
            <v>3.8997400000000002E-2</v>
          </cell>
        </row>
        <row r="979">
          <cell r="I979">
            <v>3.90374E-2</v>
          </cell>
        </row>
        <row r="980">
          <cell r="I980">
            <v>3.9077399999999998E-2</v>
          </cell>
        </row>
        <row r="981">
          <cell r="I981">
            <v>3.9117399999999997E-2</v>
          </cell>
        </row>
        <row r="982">
          <cell r="I982">
            <v>3.9157400000000002E-2</v>
          </cell>
        </row>
        <row r="983">
          <cell r="I983">
            <v>3.91974E-2</v>
          </cell>
        </row>
        <row r="984">
          <cell r="I984">
            <v>3.9237399999999999E-2</v>
          </cell>
        </row>
        <row r="985">
          <cell r="I985">
            <v>3.9277399999999997E-2</v>
          </cell>
        </row>
        <row r="986">
          <cell r="I986">
            <v>3.9317400000000002E-2</v>
          </cell>
        </row>
        <row r="987">
          <cell r="I987">
            <v>3.9357400000000001E-2</v>
          </cell>
        </row>
        <row r="988">
          <cell r="I988">
            <v>3.9397399999999999E-2</v>
          </cell>
        </row>
        <row r="989">
          <cell r="I989">
            <v>3.9437399999999997E-2</v>
          </cell>
        </row>
        <row r="990">
          <cell r="I990">
            <v>3.9477400000000003E-2</v>
          </cell>
        </row>
        <row r="991">
          <cell r="I991">
            <v>3.9517400000000001E-2</v>
          </cell>
        </row>
        <row r="992">
          <cell r="I992">
            <v>3.95574E-2</v>
          </cell>
        </row>
        <row r="993">
          <cell r="I993">
            <v>3.9597399999999998E-2</v>
          </cell>
        </row>
        <row r="994">
          <cell r="I994">
            <v>3.9637400000000003E-2</v>
          </cell>
        </row>
        <row r="995">
          <cell r="I995">
            <v>3.9677400000000002E-2</v>
          </cell>
        </row>
        <row r="996">
          <cell r="I996">
            <v>3.97174E-2</v>
          </cell>
        </row>
        <row r="997">
          <cell r="I997">
            <v>3.9757399999999998E-2</v>
          </cell>
        </row>
        <row r="998">
          <cell r="I998">
            <v>3.9797399999999997E-2</v>
          </cell>
        </row>
        <row r="999">
          <cell r="I999">
            <v>3.9837400000000002E-2</v>
          </cell>
        </row>
        <row r="1000">
          <cell r="I1000">
            <v>3.98774E-2</v>
          </cell>
        </row>
        <row r="1001">
          <cell r="I1001">
            <v>3.9917399999999999E-2</v>
          </cell>
        </row>
        <row r="1002">
          <cell r="I1002">
            <v>3.9957399999999997E-2</v>
          </cell>
        </row>
        <row r="1003">
          <cell r="I1003">
            <v>3.9997400000000002E-2</v>
          </cell>
        </row>
        <row r="1004">
          <cell r="I1004">
            <v>4.0037400000000001E-2</v>
          </cell>
        </row>
        <row r="1005">
          <cell r="I1005">
            <v>4.0077399999999999E-2</v>
          </cell>
        </row>
        <row r="1006">
          <cell r="I1006">
            <v>4.0117399999999998E-2</v>
          </cell>
        </row>
        <row r="1007">
          <cell r="I1007">
            <v>4.0157400000000003E-2</v>
          </cell>
        </row>
        <row r="1008">
          <cell r="I1008">
            <v>4.0197400000000001E-2</v>
          </cell>
        </row>
        <row r="1009">
          <cell r="I1009">
            <v>4.02374E-2</v>
          </cell>
        </row>
        <row r="1010">
          <cell r="I1010">
            <v>4.0277399999999998E-2</v>
          </cell>
        </row>
        <row r="1011">
          <cell r="I1011">
            <v>4.0317400000000003E-2</v>
          </cell>
        </row>
        <row r="1012">
          <cell r="I1012">
            <v>4.0357400000000002E-2</v>
          </cell>
        </row>
        <row r="1013">
          <cell r="I1013">
            <v>4.03974E-2</v>
          </cell>
        </row>
        <row r="1014">
          <cell r="I1014">
            <v>4.0437399999999998E-2</v>
          </cell>
        </row>
        <row r="1015">
          <cell r="I1015">
            <v>4.0477399999999997E-2</v>
          </cell>
        </row>
        <row r="1016">
          <cell r="I1016">
            <v>4.0517400000000002E-2</v>
          </cell>
        </row>
        <row r="1017">
          <cell r="I1017">
            <v>4.05574E-2</v>
          </cell>
        </row>
        <row r="1018">
          <cell r="I1018">
            <v>4.0597399999999999E-2</v>
          </cell>
        </row>
        <row r="1019">
          <cell r="I1019">
            <v>4.0637399999999997E-2</v>
          </cell>
        </row>
        <row r="1020">
          <cell r="I1020">
            <v>4.0677400000000002E-2</v>
          </cell>
        </row>
        <row r="1021">
          <cell r="I1021">
            <v>4.0717400000000001E-2</v>
          </cell>
        </row>
        <row r="1022">
          <cell r="I1022">
            <v>4.0757399999999999E-2</v>
          </cell>
        </row>
        <row r="1023">
          <cell r="I1023">
            <v>4.0797399999999998E-2</v>
          </cell>
        </row>
        <row r="1024">
          <cell r="I1024">
            <v>4.0837400000000003E-2</v>
          </cell>
        </row>
        <row r="1025">
          <cell r="I1025">
            <v>4.0877400000000001E-2</v>
          </cell>
        </row>
        <row r="1026">
          <cell r="I1026">
            <v>4.09174E-2</v>
          </cell>
        </row>
        <row r="1027">
          <cell r="I1027">
            <v>4.0957399999999998E-2</v>
          </cell>
        </row>
        <row r="1028">
          <cell r="I1028">
            <v>4.0997400000000003E-2</v>
          </cell>
        </row>
        <row r="1029">
          <cell r="I1029">
            <v>4.1037400000000002E-2</v>
          </cell>
        </row>
        <row r="1030">
          <cell r="I1030">
            <v>4.10774E-2</v>
          </cell>
        </row>
        <row r="1031">
          <cell r="I1031">
            <v>4.1117399999999998E-2</v>
          </cell>
        </row>
        <row r="1032">
          <cell r="I1032">
            <v>4.1157399999999997E-2</v>
          </cell>
        </row>
        <row r="1033">
          <cell r="I1033">
            <v>4.1197400000000002E-2</v>
          </cell>
        </row>
        <row r="1034">
          <cell r="I1034">
            <v>4.12374E-2</v>
          </cell>
        </row>
        <row r="1035">
          <cell r="I1035">
            <v>4.1277399999999999E-2</v>
          </cell>
        </row>
        <row r="1036">
          <cell r="I1036">
            <v>4.1317399999999997E-2</v>
          </cell>
        </row>
        <row r="1037">
          <cell r="I1037">
            <v>4.1357400000000002E-2</v>
          </cell>
        </row>
        <row r="1038">
          <cell r="I1038">
            <v>4.1397400000000001E-2</v>
          </cell>
        </row>
        <row r="1039">
          <cell r="I1039">
            <v>4.1437399999999999E-2</v>
          </cell>
        </row>
        <row r="1040">
          <cell r="I1040">
            <v>4.1477399999999998E-2</v>
          </cell>
        </row>
        <row r="1041">
          <cell r="I1041">
            <v>4.1517400000000003E-2</v>
          </cell>
        </row>
        <row r="1042">
          <cell r="I1042">
            <v>4.1557400000000001E-2</v>
          </cell>
        </row>
        <row r="1043">
          <cell r="I1043">
            <v>4.15974E-2</v>
          </cell>
        </row>
        <row r="1044">
          <cell r="I1044">
            <v>4.1637399999999998E-2</v>
          </cell>
        </row>
        <row r="1045">
          <cell r="I1045">
            <v>4.1677400000000003E-2</v>
          </cell>
        </row>
        <row r="1046">
          <cell r="I1046">
            <v>4.1717400000000002E-2</v>
          </cell>
        </row>
        <row r="1047">
          <cell r="I1047">
            <v>4.17574E-2</v>
          </cell>
        </row>
        <row r="1048">
          <cell r="I1048">
            <v>4.1797399999999998E-2</v>
          </cell>
        </row>
        <row r="1049">
          <cell r="I1049">
            <v>4.1837399999999997E-2</v>
          </cell>
        </row>
        <row r="1050">
          <cell r="I1050">
            <v>4.1877400000000002E-2</v>
          </cell>
        </row>
        <row r="1051">
          <cell r="I1051">
            <v>4.19174E-2</v>
          </cell>
        </row>
        <row r="1052">
          <cell r="I1052">
            <v>4.1957399999999999E-2</v>
          </cell>
        </row>
        <row r="1053">
          <cell r="I1053">
            <v>4.1997399999999997E-2</v>
          </cell>
        </row>
        <row r="1054">
          <cell r="I1054">
            <v>4.2037400000000003E-2</v>
          </cell>
        </row>
        <row r="1055">
          <cell r="I1055">
            <v>4.2077400000000001E-2</v>
          </cell>
        </row>
        <row r="1056">
          <cell r="I1056">
            <v>4.2117399999999999E-2</v>
          </cell>
        </row>
        <row r="1057">
          <cell r="I1057">
            <v>4.2157399999999998E-2</v>
          </cell>
        </row>
        <row r="1058">
          <cell r="I1058">
            <v>4.2197400000000003E-2</v>
          </cell>
        </row>
        <row r="1059">
          <cell r="I1059">
            <v>4.2237400000000001E-2</v>
          </cell>
        </row>
        <row r="1060">
          <cell r="I1060">
            <v>4.22774E-2</v>
          </cell>
        </row>
        <row r="1061">
          <cell r="I1061">
            <v>4.2317399999999998E-2</v>
          </cell>
        </row>
        <row r="1062">
          <cell r="I1062">
            <v>4.2357400000000003E-2</v>
          </cell>
        </row>
        <row r="1063">
          <cell r="I1063">
            <v>4.2397400000000002E-2</v>
          </cell>
        </row>
        <row r="1064">
          <cell r="I1064">
            <v>4.24374E-2</v>
          </cell>
        </row>
        <row r="1065">
          <cell r="I1065">
            <v>4.2477399999999998E-2</v>
          </cell>
        </row>
        <row r="1066">
          <cell r="I1066">
            <v>4.2517399999999997E-2</v>
          </cell>
        </row>
        <row r="1067">
          <cell r="I1067">
            <v>4.2557400000000002E-2</v>
          </cell>
        </row>
        <row r="1068">
          <cell r="I1068">
            <v>4.2597400000000001E-2</v>
          </cell>
        </row>
        <row r="1069">
          <cell r="I1069">
            <v>4.2637399999999999E-2</v>
          </cell>
        </row>
        <row r="1070">
          <cell r="I1070">
            <v>4.2677399999999997E-2</v>
          </cell>
        </row>
        <row r="1071">
          <cell r="I1071">
            <v>4.2717400000000003E-2</v>
          </cell>
        </row>
        <row r="1072">
          <cell r="I1072">
            <v>4.2757400000000001E-2</v>
          </cell>
        </row>
        <row r="1073">
          <cell r="I1073">
            <v>4.2797399999999999E-2</v>
          </cell>
        </row>
        <row r="1074">
          <cell r="I1074">
            <v>4.2837399999999998E-2</v>
          </cell>
        </row>
        <row r="1075">
          <cell r="I1075">
            <v>4.2877400000000003E-2</v>
          </cell>
        </row>
        <row r="1076">
          <cell r="I1076">
            <v>4.2917400000000001E-2</v>
          </cell>
        </row>
        <row r="1077">
          <cell r="I1077">
            <v>4.29574E-2</v>
          </cell>
        </row>
        <row r="1078">
          <cell r="I1078">
            <v>4.2997399999999998E-2</v>
          </cell>
        </row>
        <row r="1079">
          <cell r="I1079">
            <v>4.3037400000000003E-2</v>
          </cell>
        </row>
        <row r="1080">
          <cell r="I1080">
            <v>4.3077400000000002E-2</v>
          </cell>
        </row>
        <row r="1081">
          <cell r="I1081">
            <v>4.31174E-2</v>
          </cell>
        </row>
        <row r="1082">
          <cell r="I1082">
            <v>4.3157399999999999E-2</v>
          </cell>
        </row>
        <row r="1083">
          <cell r="I1083">
            <v>4.3197399999999997E-2</v>
          </cell>
        </row>
        <row r="1084">
          <cell r="I1084">
            <v>4.3237400000000002E-2</v>
          </cell>
        </row>
        <row r="1085">
          <cell r="I1085">
            <v>4.3277400000000001E-2</v>
          </cell>
        </row>
        <row r="1086">
          <cell r="I1086">
            <v>4.3317399999999999E-2</v>
          </cell>
        </row>
        <row r="1087">
          <cell r="I1087">
            <v>4.3357399999999997E-2</v>
          </cell>
        </row>
        <row r="1088">
          <cell r="I1088">
            <v>4.3397400000000003E-2</v>
          </cell>
        </row>
        <row r="1089">
          <cell r="I1089">
            <v>4.3437400000000001E-2</v>
          </cell>
        </row>
        <row r="1090">
          <cell r="I1090">
            <v>4.3477399999999999E-2</v>
          </cell>
        </row>
        <row r="1091">
          <cell r="I1091">
            <v>4.3517399999999998E-2</v>
          </cell>
        </row>
        <row r="1092">
          <cell r="I1092">
            <v>4.3557400000000003E-2</v>
          </cell>
        </row>
        <row r="1093">
          <cell r="I1093">
            <v>4.3597400000000001E-2</v>
          </cell>
        </row>
        <row r="1094">
          <cell r="I1094">
            <v>4.36374E-2</v>
          </cell>
        </row>
        <row r="1095">
          <cell r="I1095">
            <v>4.3677399999999998E-2</v>
          </cell>
        </row>
        <row r="1096">
          <cell r="I1096">
            <v>4.3717399999999997E-2</v>
          </cell>
        </row>
        <row r="1097">
          <cell r="I1097">
            <v>4.3757400000000002E-2</v>
          </cell>
        </row>
        <row r="1098">
          <cell r="I1098">
            <v>4.37974E-2</v>
          </cell>
        </row>
        <row r="1099">
          <cell r="I1099">
            <v>4.3837399999999999E-2</v>
          </cell>
        </row>
        <row r="1100">
          <cell r="I1100">
            <v>4.3877399999999997E-2</v>
          </cell>
        </row>
        <row r="1101">
          <cell r="I1101">
            <v>4.3917400000000002E-2</v>
          </cell>
        </row>
        <row r="1102">
          <cell r="I1102">
            <v>4.3957400000000001E-2</v>
          </cell>
        </row>
        <row r="1103">
          <cell r="I1103">
            <v>4.3997399999999999E-2</v>
          </cell>
        </row>
        <row r="1104">
          <cell r="I1104">
            <v>4.4037399999999997E-2</v>
          </cell>
        </row>
        <row r="1105">
          <cell r="I1105">
            <v>4.4077400000000003E-2</v>
          </cell>
        </row>
        <row r="1106">
          <cell r="I1106">
            <v>4.4117400000000001E-2</v>
          </cell>
        </row>
        <row r="1107">
          <cell r="I1107">
            <v>4.4157399999999999E-2</v>
          </cell>
        </row>
        <row r="1108">
          <cell r="I1108">
            <v>4.4197399999999998E-2</v>
          </cell>
        </row>
        <row r="1109">
          <cell r="I1109">
            <v>4.4237400000000003E-2</v>
          </cell>
        </row>
        <row r="1110">
          <cell r="I1110">
            <v>4.4277400000000001E-2</v>
          </cell>
        </row>
        <row r="1111">
          <cell r="I1111">
            <v>4.43174E-2</v>
          </cell>
        </row>
        <row r="1112">
          <cell r="I1112">
            <v>4.4357399999999998E-2</v>
          </cell>
        </row>
        <row r="1113">
          <cell r="I1113">
            <v>4.4397399999999997E-2</v>
          </cell>
        </row>
        <row r="1114">
          <cell r="I1114">
            <v>4.4437400000000002E-2</v>
          </cell>
        </row>
        <row r="1115">
          <cell r="I1115">
            <v>4.44774E-2</v>
          </cell>
        </row>
        <row r="1116">
          <cell r="I1116">
            <v>4.4517399999999999E-2</v>
          </cell>
        </row>
        <row r="1117">
          <cell r="I1117">
            <v>4.4557399999999997E-2</v>
          </cell>
        </row>
        <row r="1118">
          <cell r="I1118">
            <v>4.4597400000000002E-2</v>
          </cell>
        </row>
        <row r="1119">
          <cell r="I1119">
            <v>4.4637400000000001E-2</v>
          </cell>
        </row>
        <row r="1120">
          <cell r="I1120">
            <v>4.4677399999999999E-2</v>
          </cell>
        </row>
        <row r="1121">
          <cell r="I1121">
            <v>4.4717399999999997E-2</v>
          </cell>
        </row>
        <row r="1122">
          <cell r="I1122">
            <v>4.4757400000000003E-2</v>
          </cell>
        </row>
        <row r="1123">
          <cell r="I1123">
            <v>4.4797400000000001E-2</v>
          </cell>
        </row>
        <row r="1124">
          <cell r="I1124">
            <v>4.4837399999999999E-2</v>
          </cell>
        </row>
        <row r="1125">
          <cell r="I1125">
            <v>4.4877399999999998E-2</v>
          </cell>
        </row>
        <row r="1126">
          <cell r="I1126">
            <v>4.4917400000000003E-2</v>
          </cell>
        </row>
        <row r="1127">
          <cell r="I1127">
            <v>4.4957400000000002E-2</v>
          </cell>
        </row>
        <row r="1128">
          <cell r="I1128">
            <v>4.49974E-2</v>
          </cell>
        </row>
        <row r="1129">
          <cell r="I1129">
            <v>4.5037399999999998E-2</v>
          </cell>
        </row>
        <row r="1130">
          <cell r="I1130">
            <v>4.5077399999999997E-2</v>
          </cell>
        </row>
        <row r="1131">
          <cell r="I1131">
            <v>4.5117400000000002E-2</v>
          </cell>
        </row>
        <row r="1132">
          <cell r="I1132">
            <v>4.51574E-2</v>
          </cell>
        </row>
        <row r="1133">
          <cell r="I1133">
            <v>4.5197399999999999E-2</v>
          </cell>
        </row>
        <row r="1134">
          <cell r="I1134">
            <v>4.5237399999999997E-2</v>
          </cell>
        </row>
        <row r="1135">
          <cell r="I1135">
            <v>4.5277400000000002E-2</v>
          </cell>
        </row>
        <row r="1136">
          <cell r="I1136">
            <v>4.5317400000000001E-2</v>
          </cell>
        </row>
        <row r="1137">
          <cell r="I1137">
            <v>4.5357399999999999E-2</v>
          </cell>
        </row>
        <row r="1138">
          <cell r="I1138">
            <v>4.5397399999999997E-2</v>
          </cell>
        </row>
        <row r="1139">
          <cell r="I1139">
            <v>4.5437400000000003E-2</v>
          </cell>
        </row>
        <row r="1140">
          <cell r="I1140">
            <v>4.5477400000000001E-2</v>
          </cell>
        </row>
        <row r="1141">
          <cell r="I1141">
            <v>4.55174E-2</v>
          </cell>
        </row>
        <row r="1142">
          <cell r="I1142">
            <v>4.5557399999999998E-2</v>
          </cell>
        </row>
        <row r="1143">
          <cell r="I1143">
            <v>4.5597400000000003E-2</v>
          </cell>
        </row>
        <row r="1144">
          <cell r="I1144">
            <v>4.5637400000000002E-2</v>
          </cell>
        </row>
        <row r="1145">
          <cell r="I1145">
            <v>4.56774E-2</v>
          </cell>
        </row>
        <row r="1146">
          <cell r="I1146">
            <v>4.5717399999999998E-2</v>
          </cell>
        </row>
        <row r="1147">
          <cell r="I1147">
            <v>4.5757399999999997E-2</v>
          </cell>
        </row>
        <row r="1148">
          <cell r="I1148">
            <v>4.5797400000000002E-2</v>
          </cell>
        </row>
        <row r="1149">
          <cell r="I1149">
            <v>4.58374E-2</v>
          </cell>
        </row>
        <row r="1150">
          <cell r="I1150">
            <v>4.5877399999999999E-2</v>
          </cell>
        </row>
        <row r="1151">
          <cell r="I1151">
            <v>4.5917399999999997E-2</v>
          </cell>
        </row>
        <row r="1152">
          <cell r="I1152">
            <v>4.5957400000000002E-2</v>
          </cell>
        </row>
        <row r="1153">
          <cell r="I1153">
            <v>4.5997400000000001E-2</v>
          </cell>
        </row>
        <row r="1154">
          <cell r="I1154">
            <v>4.6037399999999999E-2</v>
          </cell>
        </row>
        <row r="1155">
          <cell r="I1155">
            <v>4.6077399999999998E-2</v>
          </cell>
        </row>
        <row r="1156">
          <cell r="I1156">
            <v>4.6117400000000003E-2</v>
          </cell>
        </row>
        <row r="1157">
          <cell r="I1157">
            <v>4.6157400000000001E-2</v>
          </cell>
        </row>
        <row r="1158">
          <cell r="I1158">
            <v>4.61974E-2</v>
          </cell>
        </row>
        <row r="1159">
          <cell r="I1159">
            <v>4.6237399999999998E-2</v>
          </cell>
        </row>
        <row r="1160">
          <cell r="I1160">
            <v>4.6277400000000003E-2</v>
          </cell>
        </row>
        <row r="1161">
          <cell r="I1161">
            <v>4.6317400000000002E-2</v>
          </cell>
        </row>
        <row r="1162">
          <cell r="I1162">
            <v>4.63574E-2</v>
          </cell>
        </row>
        <row r="1163">
          <cell r="I1163">
            <v>4.6397399999999998E-2</v>
          </cell>
        </row>
        <row r="1164">
          <cell r="I1164">
            <v>4.6437399999999997E-2</v>
          </cell>
        </row>
        <row r="1165">
          <cell r="I1165">
            <v>4.6477400000000002E-2</v>
          </cell>
        </row>
        <row r="1166">
          <cell r="I1166">
            <v>4.65174E-2</v>
          </cell>
        </row>
        <row r="1167">
          <cell r="I1167">
            <v>4.6557399999999999E-2</v>
          </cell>
        </row>
        <row r="1168">
          <cell r="I1168">
            <v>4.6597399999999997E-2</v>
          </cell>
        </row>
        <row r="1169">
          <cell r="I1169">
            <v>4.6637400000000002E-2</v>
          </cell>
        </row>
        <row r="1170">
          <cell r="I1170">
            <v>4.6677400000000001E-2</v>
          </cell>
        </row>
        <row r="1171">
          <cell r="I1171">
            <v>4.6717399999999999E-2</v>
          </cell>
        </row>
        <row r="1172">
          <cell r="I1172">
            <v>4.6757399999999998E-2</v>
          </cell>
        </row>
        <row r="1173">
          <cell r="I1173">
            <v>4.6797400000000003E-2</v>
          </cell>
        </row>
        <row r="1174">
          <cell r="I1174">
            <v>4.6837400000000001E-2</v>
          </cell>
        </row>
        <row r="1175">
          <cell r="I1175">
            <v>4.68774E-2</v>
          </cell>
        </row>
        <row r="1176">
          <cell r="I1176">
            <v>4.6917399999999998E-2</v>
          </cell>
        </row>
        <row r="1177">
          <cell r="I1177">
            <v>4.6957400000000003E-2</v>
          </cell>
        </row>
        <row r="1178">
          <cell r="I1178">
            <v>4.6997400000000002E-2</v>
          </cell>
        </row>
        <row r="1179">
          <cell r="I1179">
            <v>4.70374E-2</v>
          </cell>
        </row>
        <row r="1180">
          <cell r="I1180">
            <v>4.7077399999999998E-2</v>
          </cell>
        </row>
        <row r="1181">
          <cell r="I1181">
            <v>4.7117399999999997E-2</v>
          </cell>
        </row>
        <row r="1182">
          <cell r="I1182">
            <v>4.7157400000000002E-2</v>
          </cell>
        </row>
        <row r="1183">
          <cell r="I1183">
            <v>4.71974E-2</v>
          </cell>
        </row>
        <row r="1184">
          <cell r="I1184">
            <v>4.7237399999999999E-2</v>
          </cell>
        </row>
        <row r="1185">
          <cell r="I1185">
            <v>4.7277399999999997E-2</v>
          </cell>
        </row>
        <row r="1186">
          <cell r="I1186">
            <v>4.7317400000000003E-2</v>
          </cell>
        </row>
        <row r="1187">
          <cell r="I1187">
            <v>4.7357400000000001E-2</v>
          </cell>
        </row>
        <row r="1188">
          <cell r="I1188">
            <v>4.7397399999999999E-2</v>
          </cell>
        </row>
        <row r="1189">
          <cell r="I1189">
            <v>4.7437399999999998E-2</v>
          </cell>
        </row>
        <row r="1190">
          <cell r="I1190">
            <v>4.7477400000000003E-2</v>
          </cell>
        </row>
        <row r="1191">
          <cell r="I1191">
            <v>4.7517400000000001E-2</v>
          </cell>
        </row>
        <row r="1192">
          <cell r="I1192">
            <v>4.75574E-2</v>
          </cell>
        </row>
        <row r="1193">
          <cell r="I1193">
            <v>4.7597399999999998E-2</v>
          </cell>
        </row>
        <row r="1194">
          <cell r="I1194">
            <v>4.7637400000000003E-2</v>
          </cell>
        </row>
        <row r="1195">
          <cell r="I1195">
            <v>4.7677400000000002E-2</v>
          </cell>
        </row>
        <row r="1196">
          <cell r="I1196">
            <v>4.77174E-2</v>
          </cell>
        </row>
        <row r="1197">
          <cell r="I1197">
            <v>4.7757399999999998E-2</v>
          </cell>
        </row>
        <row r="1198">
          <cell r="I1198">
            <v>4.7797399999999997E-2</v>
          </cell>
        </row>
        <row r="1199">
          <cell r="I1199">
            <v>4.7837400000000002E-2</v>
          </cell>
        </row>
        <row r="1200">
          <cell r="I1200">
            <v>4.7877400000000001E-2</v>
          </cell>
        </row>
        <row r="1201">
          <cell r="I1201">
            <v>4.7917399999999999E-2</v>
          </cell>
        </row>
        <row r="1202">
          <cell r="I1202">
            <v>4.7957399999999997E-2</v>
          </cell>
        </row>
        <row r="1203">
          <cell r="I1203">
            <v>4.7997400000000003E-2</v>
          </cell>
        </row>
        <row r="1204">
          <cell r="I1204">
            <v>4.8037400000000001E-2</v>
          </cell>
        </row>
        <row r="1205">
          <cell r="I1205">
            <v>4.8077399999999999E-2</v>
          </cell>
        </row>
        <row r="1206">
          <cell r="I1206">
            <v>4.8117399999999998E-2</v>
          </cell>
        </row>
        <row r="1207">
          <cell r="I1207">
            <v>4.8157400000000003E-2</v>
          </cell>
        </row>
        <row r="1208">
          <cell r="I1208">
            <v>4.8197400000000001E-2</v>
          </cell>
        </row>
        <row r="1209">
          <cell r="I1209">
            <v>4.82374E-2</v>
          </cell>
        </row>
        <row r="1210">
          <cell r="I1210">
            <v>4.8277399999999998E-2</v>
          </cell>
        </row>
        <row r="1211">
          <cell r="I1211">
            <v>4.8317400000000003E-2</v>
          </cell>
        </row>
        <row r="1212">
          <cell r="I1212">
            <v>4.8357400000000002E-2</v>
          </cell>
        </row>
        <row r="1213">
          <cell r="I1213">
            <v>4.83974E-2</v>
          </cell>
        </row>
        <row r="1214">
          <cell r="I1214">
            <v>4.8437399999999999E-2</v>
          </cell>
        </row>
        <row r="1215">
          <cell r="I1215">
            <v>4.8477399999999997E-2</v>
          </cell>
        </row>
        <row r="1216">
          <cell r="I1216">
            <v>4.8517400000000002E-2</v>
          </cell>
        </row>
        <row r="1217">
          <cell r="I1217">
            <v>4.8557400000000001E-2</v>
          </cell>
        </row>
        <row r="1218">
          <cell r="I1218">
            <v>4.8597399999999999E-2</v>
          </cell>
        </row>
        <row r="1219">
          <cell r="I1219">
            <v>4.8637399999999997E-2</v>
          </cell>
        </row>
        <row r="1220">
          <cell r="I1220">
            <v>4.8677400000000003E-2</v>
          </cell>
        </row>
        <row r="1221">
          <cell r="I1221">
            <v>4.8717400000000001E-2</v>
          </cell>
        </row>
        <row r="1222">
          <cell r="I1222">
            <v>4.8757399999999999E-2</v>
          </cell>
        </row>
        <row r="1223">
          <cell r="I1223">
            <v>4.8797399999999998E-2</v>
          </cell>
        </row>
        <row r="1224">
          <cell r="I1224">
            <v>4.8837400000000003E-2</v>
          </cell>
        </row>
        <row r="1225">
          <cell r="I1225">
            <v>4.8877400000000001E-2</v>
          </cell>
        </row>
        <row r="1226">
          <cell r="I1226">
            <v>4.89174E-2</v>
          </cell>
        </row>
        <row r="1227">
          <cell r="I1227">
            <v>4.8957399999999998E-2</v>
          </cell>
        </row>
        <row r="1228">
          <cell r="I1228">
            <v>4.8997400000000003E-2</v>
          </cell>
        </row>
        <row r="1229">
          <cell r="I1229">
            <v>4.9037400000000002E-2</v>
          </cell>
        </row>
        <row r="1230">
          <cell r="I1230">
            <v>4.90774E-2</v>
          </cell>
        </row>
        <row r="1231">
          <cell r="I1231">
            <v>4.9117399999999999E-2</v>
          </cell>
        </row>
        <row r="1232">
          <cell r="I1232">
            <v>4.9157399999999997E-2</v>
          </cell>
        </row>
        <row r="1233">
          <cell r="I1233">
            <v>4.9197400000000002E-2</v>
          </cell>
        </row>
        <row r="1234">
          <cell r="I1234">
            <v>4.9237400000000001E-2</v>
          </cell>
        </row>
        <row r="1235">
          <cell r="I1235">
            <v>4.9277399999999999E-2</v>
          </cell>
        </row>
        <row r="1236">
          <cell r="I1236">
            <v>4.9317399999999997E-2</v>
          </cell>
        </row>
        <row r="1237">
          <cell r="I1237">
            <v>4.9357400000000003E-2</v>
          </cell>
        </row>
        <row r="1238">
          <cell r="I1238">
            <v>4.9397400000000001E-2</v>
          </cell>
        </row>
        <row r="1239">
          <cell r="I1239">
            <v>4.9437399999999999E-2</v>
          </cell>
        </row>
        <row r="1240">
          <cell r="I1240">
            <v>4.9477399999999998E-2</v>
          </cell>
        </row>
        <row r="1241">
          <cell r="I1241">
            <v>4.9517400000000003E-2</v>
          </cell>
        </row>
        <row r="1242">
          <cell r="I1242">
            <v>4.9557400000000001E-2</v>
          </cell>
        </row>
        <row r="1243">
          <cell r="I1243">
            <v>4.95974E-2</v>
          </cell>
        </row>
        <row r="1244">
          <cell r="I1244">
            <v>4.9637399999999998E-2</v>
          </cell>
        </row>
        <row r="1245">
          <cell r="I1245">
            <v>4.9677399999999997E-2</v>
          </cell>
        </row>
        <row r="1246">
          <cell r="I1246">
            <v>4.9717400000000002E-2</v>
          </cell>
        </row>
        <row r="1247">
          <cell r="I1247">
            <v>4.97574E-2</v>
          </cell>
        </row>
        <row r="1248">
          <cell r="I1248">
            <v>4.9797399999999999E-2</v>
          </cell>
        </row>
        <row r="1249">
          <cell r="I1249">
            <v>4.9837399999999997E-2</v>
          </cell>
        </row>
        <row r="1250">
          <cell r="I1250">
            <v>4.9877400000000002E-2</v>
          </cell>
        </row>
        <row r="1251">
          <cell r="I1251">
            <v>4.9917400000000001E-2</v>
          </cell>
        </row>
        <row r="1252">
          <cell r="I1252">
            <v>4.9957399999999999E-2</v>
          </cell>
        </row>
        <row r="1253">
          <cell r="I1253">
            <v>4.9997399999999997E-2</v>
          </cell>
        </row>
        <row r="1254">
          <cell r="I1254">
            <v>5.0037400000000003E-2</v>
          </cell>
        </row>
        <row r="1255">
          <cell r="I1255">
            <v>5.0077400000000001E-2</v>
          </cell>
        </row>
        <row r="1256">
          <cell r="I1256">
            <v>5.0117399999999999E-2</v>
          </cell>
        </row>
        <row r="1257">
          <cell r="I1257">
            <v>5.0157399999999998E-2</v>
          </cell>
        </row>
        <row r="1258">
          <cell r="I1258">
            <v>5.0197400000000003E-2</v>
          </cell>
        </row>
        <row r="1259">
          <cell r="I1259">
            <v>5.0237400000000001E-2</v>
          </cell>
        </row>
        <row r="1260">
          <cell r="I1260">
            <v>5.02774E-2</v>
          </cell>
        </row>
        <row r="1261">
          <cell r="I1261">
            <v>5.0317399999999998E-2</v>
          </cell>
        </row>
        <row r="1262">
          <cell r="I1262">
            <v>5.0357399999999997E-2</v>
          </cell>
        </row>
        <row r="1263">
          <cell r="I1263">
            <v>5.0397400000000002E-2</v>
          </cell>
        </row>
        <row r="1264">
          <cell r="I1264">
            <v>5.04374E-2</v>
          </cell>
        </row>
        <row r="1265">
          <cell r="I1265">
            <v>5.0477399999999999E-2</v>
          </cell>
        </row>
        <row r="1266">
          <cell r="I1266">
            <v>5.0517399999999997E-2</v>
          </cell>
        </row>
        <row r="1267">
          <cell r="I1267">
            <v>5.0557400000000002E-2</v>
          </cell>
        </row>
        <row r="1268">
          <cell r="I1268">
            <v>5.0597400000000001E-2</v>
          </cell>
        </row>
        <row r="1269">
          <cell r="I1269">
            <v>5.0637399999999999E-2</v>
          </cell>
        </row>
        <row r="1270">
          <cell r="I1270">
            <v>5.0677399999999997E-2</v>
          </cell>
        </row>
        <row r="1271">
          <cell r="I1271">
            <v>5.0717400000000003E-2</v>
          </cell>
        </row>
        <row r="1272">
          <cell r="I1272">
            <v>5.0757400000000001E-2</v>
          </cell>
        </row>
        <row r="1273">
          <cell r="I1273">
            <v>5.0797399999999999E-2</v>
          </cell>
        </row>
        <row r="1274">
          <cell r="I1274">
            <v>5.0837399999999998E-2</v>
          </cell>
        </row>
        <row r="1275">
          <cell r="I1275">
            <v>5.0877400000000003E-2</v>
          </cell>
        </row>
        <row r="1276">
          <cell r="I1276">
            <v>5.0917400000000002E-2</v>
          </cell>
        </row>
        <row r="1277">
          <cell r="I1277">
            <v>5.09574E-2</v>
          </cell>
        </row>
        <row r="1278">
          <cell r="I1278">
            <v>5.0997399999999998E-2</v>
          </cell>
        </row>
        <row r="1279">
          <cell r="I1279">
            <v>5.1037399999999997E-2</v>
          </cell>
        </row>
        <row r="1280">
          <cell r="I1280">
            <v>5.1077400000000002E-2</v>
          </cell>
        </row>
        <row r="1281">
          <cell r="I1281">
            <v>5.11174E-2</v>
          </cell>
        </row>
        <row r="1282">
          <cell r="I1282">
            <v>5.1157399999999999E-2</v>
          </cell>
        </row>
        <row r="1283">
          <cell r="I1283">
            <v>5.1197399999999997E-2</v>
          </cell>
        </row>
        <row r="1284">
          <cell r="I1284">
            <v>5.1237400000000002E-2</v>
          </cell>
        </row>
        <row r="1285">
          <cell r="I1285">
            <v>5.1277400000000001E-2</v>
          </cell>
        </row>
        <row r="1286">
          <cell r="I1286">
            <v>5.1317399999999999E-2</v>
          </cell>
        </row>
        <row r="1287">
          <cell r="I1287">
            <v>5.1357399999999997E-2</v>
          </cell>
        </row>
        <row r="1288">
          <cell r="I1288">
            <v>5.1397400000000003E-2</v>
          </cell>
        </row>
        <row r="1289">
          <cell r="I1289">
            <v>5.1437400000000001E-2</v>
          </cell>
        </row>
        <row r="1290">
          <cell r="I1290">
            <v>5.14774E-2</v>
          </cell>
        </row>
        <row r="1291">
          <cell r="I1291">
            <v>5.1517399999999998E-2</v>
          </cell>
        </row>
        <row r="1292">
          <cell r="I1292">
            <v>5.1557400000000003E-2</v>
          </cell>
        </row>
        <row r="1293">
          <cell r="I1293">
            <v>5.1597400000000002E-2</v>
          </cell>
        </row>
        <row r="1294">
          <cell r="I1294">
            <v>5.16374E-2</v>
          </cell>
        </row>
        <row r="1295">
          <cell r="I1295">
            <v>5.1677399999999998E-2</v>
          </cell>
        </row>
        <row r="1296">
          <cell r="I1296">
            <v>5.1717399999999997E-2</v>
          </cell>
        </row>
        <row r="1297">
          <cell r="I1297">
            <v>5.1757400000000002E-2</v>
          </cell>
        </row>
        <row r="1298">
          <cell r="I1298">
            <v>5.17974E-2</v>
          </cell>
        </row>
        <row r="1299">
          <cell r="I1299">
            <v>5.1837399999999999E-2</v>
          </cell>
        </row>
        <row r="1300">
          <cell r="I1300">
            <v>5.1877399999999997E-2</v>
          </cell>
        </row>
        <row r="1301">
          <cell r="I1301">
            <v>5.1917400000000002E-2</v>
          </cell>
        </row>
        <row r="1302">
          <cell r="I1302">
            <v>5.1957400000000001E-2</v>
          </cell>
        </row>
        <row r="1303">
          <cell r="I1303">
            <v>5.1997399999999999E-2</v>
          </cell>
        </row>
        <row r="1304">
          <cell r="I1304">
            <v>5.2037399999999998E-2</v>
          </cell>
        </row>
        <row r="1305">
          <cell r="I1305">
            <v>5.2077400000000003E-2</v>
          </cell>
        </row>
        <row r="1306">
          <cell r="I1306">
            <v>5.2117400000000001E-2</v>
          </cell>
        </row>
        <row r="1307">
          <cell r="I1307">
            <v>5.21574E-2</v>
          </cell>
        </row>
        <row r="1308">
          <cell r="I1308">
            <v>5.2197399999999998E-2</v>
          </cell>
        </row>
        <row r="1309">
          <cell r="I1309">
            <v>5.2237400000000003E-2</v>
          </cell>
        </row>
        <row r="1310">
          <cell r="I1310">
            <v>5.2277400000000002E-2</v>
          </cell>
        </row>
        <row r="1311">
          <cell r="I1311">
            <v>5.23174E-2</v>
          </cell>
        </row>
        <row r="1312">
          <cell r="I1312">
            <v>5.2357399999999998E-2</v>
          </cell>
        </row>
        <row r="1313">
          <cell r="I1313">
            <v>5.2397399999999997E-2</v>
          </cell>
        </row>
        <row r="1314">
          <cell r="I1314">
            <v>5.2437400000000002E-2</v>
          </cell>
        </row>
        <row r="1315">
          <cell r="I1315">
            <v>5.24774E-2</v>
          </cell>
        </row>
        <row r="1316">
          <cell r="I1316">
            <v>5.2517399999999999E-2</v>
          </cell>
        </row>
        <row r="1317">
          <cell r="I1317">
            <v>5.2557399999999997E-2</v>
          </cell>
        </row>
        <row r="1318">
          <cell r="I1318">
            <v>5.2597400000000002E-2</v>
          </cell>
        </row>
        <row r="1319">
          <cell r="I1319">
            <v>5.2637400000000001E-2</v>
          </cell>
        </row>
        <row r="1320">
          <cell r="I1320">
            <v>5.2677399999999999E-2</v>
          </cell>
        </row>
        <row r="1321">
          <cell r="I1321">
            <v>5.2717399999999998E-2</v>
          </cell>
        </row>
        <row r="1322">
          <cell r="I1322">
            <v>5.2757400000000003E-2</v>
          </cell>
        </row>
        <row r="1323">
          <cell r="I1323">
            <v>5.2797400000000001E-2</v>
          </cell>
        </row>
        <row r="1324">
          <cell r="I1324">
            <v>5.28374E-2</v>
          </cell>
        </row>
        <row r="1325">
          <cell r="I1325">
            <v>5.2877399999999998E-2</v>
          </cell>
        </row>
        <row r="1326">
          <cell r="I1326">
            <v>5.2917400000000003E-2</v>
          </cell>
        </row>
        <row r="1327">
          <cell r="I1327">
            <v>5.2957400000000002E-2</v>
          </cell>
        </row>
        <row r="1328">
          <cell r="I1328">
            <v>5.29974E-2</v>
          </cell>
        </row>
        <row r="1329">
          <cell r="I1329">
            <v>5.3037399999999998E-2</v>
          </cell>
        </row>
        <row r="1330">
          <cell r="I1330">
            <v>5.3077399999999997E-2</v>
          </cell>
        </row>
        <row r="1331">
          <cell r="I1331">
            <v>5.3117400000000002E-2</v>
          </cell>
        </row>
        <row r="1332">
          <cell r="I1332">
            <v>5.31574E-2</v>
          </cell>
        </row>
        <row r="1333">
          <cell r="I1333">
            <v>5.3197399999999999E-2</v>
          </cell>
        </row>
        <row r="1334">
          <cell r="I1334">
            <v>5.3237399999999997E-2</v>
          </cell>
        </row>
        <row r="1335">
          <cell r="I1335">
            <v>5.3277400000000003E-2</v>
          </cell>
        </row>
        <row r="1336">
          <cell r="I1336">
            <v>5.3317400000000001E-2</v>
          </cell>
        </row>
        <row r="1337">
          <cell r="I1337">
            <v>5.3357399999999999E-2</v>
          </cell>
        </row>
        <row r="1338">
          <cell r="I1338">
            <v>5.3397399999999998E-2</v>
          </cell>
        </row>
        <row r="1339">
          <cell r="I1339">
            <v>5.3437400000000003E-2</v>
          </cell>
        </row>
        <row r="1340">
          <cell r="I1340">
            <v>5.3477400000000001E-2</v>
          </cell>
        </row>
        <row r="1341">
          <cell r="I1341">
            <v>5.35174E-2</v>
          </cell>
        </row>
        <row r="1342">
          <cell r="I1342">
            <v>5.3557399999999998E-2</v>
          </cell>
        </row>
        <row r="1343">
          <cell r="I1343">
            <v>5.3597400000000003E-2</v>
          </cell>
        </row>
        <row r="1344">
          <cell r="I1344">
            <v>5.3637400000000002E-2</v>
          </cell>
        </row>
        <row r="1345">
          <cell r="I1345">
            <v>5.36774E-2</v>
          </cell>
        </row>
        <row r="1346">
          <cell r="I1346">
            <v>5.3717399999999998E-2</v>
          </cell>
        </row>
        <row r="1347">
          <cell r="I1347">
            <v>5.3757399999999997E-2</v>
          </cell>
        </row>
        <row r="1348">
          <cell r="I1348">
            <v>5.3797400000000002E-2</v>
          </cell>
        </row>
        <row r="1349">
          <cell r="I1349">
            <v>5.3837400000000001E-2</v>
          </cell>
        </row>
        <row r="1350">
          <cell r="I1350">
            <v>5.3877399999999999E-2</v>
          </cell>
        </row>
        <row r="1351">
          <cell r="I1351">
            <v>5.3917399999999997E-2</v>
          </cell>
        </row>
        <row r="1352">
          <cell r="I1352">
            <v>5.3957400000000003E-2</v>
          </cell>
        </row>
        <row r="1353">
          <cell r="I1353">
            <v>5.3997400000000001E-2</v>
          </cell>
        </row>
        <row r="1354">
          <cell r="I1354">
            <v>5.4037399999999999E-2</v>
          </cell>
        </row>
        <row r="1355">
          <cell r="I1355">
            <v>5.4077399999999998E-2</v>
          </cell>
        </row>
        <row r="1356">
          <cell r="I1356">
            <v>5.4117400000000003E-2</v>
          </cell>
        </row>
        <row r="1357">
          <cell r="I1357">
            <v>5.4157400000000001E-2</v>
          </cell>
        </row>
        <row r="1358">
          <cell r="I1358">
            <v>5.41974E-2</v>
          </cell>
        </row>
        <row r="1359">
          <cell r="I1359">
            <v>5.4237399999999998E-2</v>
          </cell>
        </row>
        <row r="1360">
          <cell r="I1360">
            <v>5.4277400000000003E-2</v>
          </cell>
        </row>
        <row r="1361">
          <cell r="I1361">
            <v>5.4317400000000002E-2</v>
          </cell>
        </row>
        <row r="1362">
          <cell r="I1362">
            <v>5.43574E-2</v>
          </cell>
        </row>
        <row r="1363">
          <cell r="I1363">
            <v>5.4397399999999999E-2</v>
          </cell>
        </row>
        <row r="1364">
          <cell r="I1364">
            <v>5.4437399999999997E-2</v>
          </cell>
        </row>
        <row r="1365">
          <cell r="I1365">
            <v>5.4477400000000002E-2</v>
          </cell>
        </row>
        <row r="1366">
          <cell r="I1366">
            <v>5.4517400000000001E-2</v>
          </cell>
        </row>
        <row r="1367">
          <cell r="I1367">
            <v>5.4557399999999999E-2</v>
          </cell>
        </row>
        <row r="1368">
          <cell r="I1368">
            <v>5.4597399999999997E-2</v>
          </cell>
        </row>
        <row r="1369">
          <cell r="I1369">
            <v>5.4637400000000003E-2</v>
          </cell>
        </row>
        <row r="1370">
          <cell r="I1370">
            <v>5.4677400000000001E-2</v>
          </cell>
        </row>
        <row r="1371">
          <cell r="I1371">
            <v>5.4717399999999999E-2</v>
          </cell>
        </row>
        <row r="1372">
          <cell r="I1372">
            <v>5.4757399999999998E-2</v>
          </cell>
        </row>
        <row r="1373">
          <cell r="I1373">
            <v>5.4797400000000003E-2</v>
          </cell>
        </row>
        <row r="1374">
          <cell r="I1374">
            <v>5.4837400000000001E-2</v>
          </cell>
        </row>
        <row r="1375">
          <cell r="I1375">
            <v>5.48774E-2</v>
          </cell>
        </row>
        <row r="1376">
          <cell r="I1376">
            <v>5.4917399999999998E-2</v>
          </cell>
        </row>
        <row r="1377">
          <cell r="I1377">
            <v>5.4957399999999997E-2</v>
          </cell>
        </row>
        <row r="1378">
          <cell r="I1378">
            <v>5.4997400000000002E-2</v>
          </cell>
        </row>
        <row r="1379">
          <cell r="I1379">
            <v>5.50374E-2</v>
          </cell>
        </row>
        <row r="1380">
          <cell r="I1380">
            <v>5.5077399999999999E-2</v>
          </cell>
        </row>
        <row r="1381">
          <cell r="I1381">
            <v>5.5117399999999997E-2</v>
          </cell>
        </row>
        <row r="1382">
          <cell r="I1382">
            <v>5.5157400000000002E-2</v>
          </cell>
        </row>
        <row r="1383">
          <cell r="I1383">
            <v>5.5197400000000001E-2</v>
          </cell>
        </row>
        <row r="1384">
          <cell r="I1384">
            <v>5.5237399999999999E-2</v>
          </cell>
        </row>
        <row r="1385">
          <cell r="I1385">
            <v>5.5277399999999997E-2</v>
          </cell>
        </row>
        <row r="1386">
          <cell r="I1386">
            <v>5.5317400000000003E-2</v>
          </cell>
        </row>
        <row r="1387">
          <cell r="I1387">
            <v>5.5357400000000001E-2</v>
          </cell>
        </row>
        <row r="1388">
          <cell r="I1388">
            <v>5.5397399999999999E-2</v>
          </cell>
        </row>
        <row r="1389">
          <cell r="I1389">
            <v>5.5437399999999998E-2</v>
          </cell>
        </row>
        <row r="1390">
          <cell r="I1390">
            <v>5.5477400000000003E-2</v>
          </cell>
        </row>
        <row r="1391">
          <cell r="I1391">
            <v>5.5517400000000001E-2</v>
          </cell>
        </row>
        <row r="1392">
          <cell r="I1392">
            <v>5.55574E-2</v>
          </cell>
        </row>
        <row r="1393">
          <cell r="I1393">
            <v>5.5597399999999998E-2</v>
          </cell>
        </row>
        <row r="1394">
          <cell r="I1394">
            <v>5.5637399999999997E-2</v>
          </cell>
        </row>
        <row r="1395">
          <cell r="I1395">
            <v>5.5677400000000002E-2</v>
          </cell>
        </row>
        <row r="1396">
          <cell r="I1396">
            <v>5.57174E-2</v>
          </cell>
        </row>
        <row r="1397">
          <cell r="I1397">
            <v>5.5757399999999999E-2</v>
          </cell>
        </row>
        <row r="1398">
          <cell r="I1398">
            <v>5.5797399999999997E-2</v>
          </cell>
        </row>
        <row r="1399">
          <cell r="I1399">
            <v>5.5837400000000002E-2</v>
          </cell>
        </row>
        <row r="1400">
          <cell r="I1400">
            <v>5.5877400000000001E-2</v>
          </cell>
        </row>
        <row r="1401">
          <cell r="I1401">
            <v>5.5917399999999999E-2</v>
          </cell>
        </row>
        <row r="1402">
          <cell r="I1402">
            <v>5.5957399999999997E-2</v>
          </cell>
        </row>
        <row r="1403">
          <cell r="I1403">
            <v>5.5997400000000003E-2</v>
          </cell>
        </row>
        <row r="1404">
          <cell r="I1404">
            <v>5.6037400000000001E-2</v>
          </cell>
        </row>
        <row r="1405">
          <cell r="I1405">
            <v>5.6077399999999999E-2</v>
          </cell>
        </row>
        <row r="1406">
          <cell r="I1406">
            <v>5.6117399999999998E-2</v>
          </cell>
        </row>
        <row r="1407">
          <cell r="I1407">
            <v>5.6157400000000003E-2</v>
          </cell>
        </row>
        <row r="1408">
          <cell r="I1408">
            <v>5.6197400000000002E-2</v>
          </cell>
        </row>
        <row r="1409">
          <cell r="I1409">
            <v>5.62374E-2</v>
          </cell>
        </row>
        <row r="1410">
          <cell r="I1410">
            <v>5.6277399999999998E-2</v>
          </cell>
        </row>
        <row r="1411">
          <cell r="I1411">
            <v>5.6317399999999997E-2</v>
          </cell>
        </row>
        <row r="1412">
          <cell r="I1412">
            <v>5.6357400000000002E-2</v>
          </cell>
        </row>
        <row r="1413">
          <cell r="I1413">
            <v>5.63974E-2</v>
          </cell>
        </row>
        <row r="1414">
          <cell r="I1414">
            <v>5.6437399999999999E-2</v>
          </cell>
        </row>
        <row r="1415">
          <cell r="I1415">
            <v>5.6477399999999997E-2</v>
          </cell>
        </row>
        <row r="1416">
          <cell r="I1416">
            <v>5.6517400000000002E-2</v>
          </cell>
        </row>
        <row r="1417">
          <cell r="I1417">
            <v>5.6557400000000001E-2</v>
          </cell>
        </row>
        <row r="1418">
          <cell r="I1418">
            <v>5.6597399999999999E-2</v>
          </cell>
        </row>
        <row r="1419">
          <cell r="I1419">
            <v>5.6637399999999997E-2</v>
          </cell>
        </row>
        <row r="1420">
          <cell r="I1420">
            <v>5.6677400000000003E-2</v>
          </cell>
        </row>
        <row r="1421">
          <cell r="I1421">
            <v>5.6717400000000001E-2</v>
          </cell>
        </row>
        <row r="1422">
          <cell r="I1422">
            <v>5.67574E-2</v>
          </cell>
        </row>
        <row r="1423">
          <cell r="I1423">
            <v>5.6797399999999998E-2</v>
          </cell>
        </row>
        <row r="1424">
          <cell r="I1424">
            <v>5.6837400000000003E-2</v>
          </cell>
        </row>
        <row r="1425">
          <cell r="I1425">
            <v>5.6877400000000002E-2</v>
          </cell>
        </row>
        <row r="1426">
          <cell r="I1426">
            <v>5.69174E-2</v>
          </cell>
        </row>
        <row r="1427">
          <cell r="I1427">
            <v>5.6957399999999998E-2</v>
          </cell>
        </row>
        <row r="1428">
          <cell r="I1428">
            <v>5.6997399999999997E-2</v>
          </cell>
        </row>
        <row r="1429">
          <cell r="I1429">
            <v>5.7037400000000002E-2</v>
          </cell>
        </row>
        <row r="1430">
          <cell r="I1430">
            <v>5.70774E-2</v>
          </cell>
        </row>
        <row r="1431">
          <cell r="I1431">
            <v>5.7117399999999999E-2</v>
          </cell>
        </row>
        <row r="1432">
          <cell r="I1432">
            <v>5.7157399999999997E-2</v>
          </cell>
        </row>
        <row r="1433">
          <cell r="I1433">
            <v>5.7197400000000002E-2</v>
          </cell>
        </row>
        <row r="1434">
          <cell r="I1434">
            <v>5.7237400000000001E-2</v>
          </cell>
        </row>
        <row r="1435">
          <cell r="I1435">
            <v>5.7277399999999999E-2</v>
          </cell>
        </row>
        <row r="1436">
          <cell r="I1436">
            <v>5.7317399999999998E-2</v>
          </cell>
        </row>
        <row r="1437">
          <cell r="I1437">
            <v>5.7357400000000003E-2</v>
          </cell>
        </row>
        <row r="1438">
          <cell r="I1438">
            <v>5.7397400000000001E-2</v>
          </cell>
        </row>
        <row r="1439">
          <cell r="I1439">
            <v>5.74374E-2</v>
          </cell>
        </row>
        <row r="1440">
          <cell r="I1440">
            <v>5.7477399999999998E-2</v>
          </cell>
        </row>
        <row r="1441">
          <cell r="I1441">
            <v>5.7517400000000003E-2</v>
          </cell>
        </row>
        <row r="1442">
          <cell r="I1442">
            <v>5.7557400000000002E-2</v>
          </cell>
        </row>
        <row r="1443">
          <cell r="I1443">
            <v>5.75974E-2</v>
          </cell>
        </row>
        <row r="1444">
          <cell r="I1444">
            <v>5.7637399999999998E-2</v>
          </cell>
        </row>
        <row r="1445">
          <cell r="I1445">
            <v>5.7677399999999997E-2</v>
          </cell>
        </row>
        <row r="1446">
          <cell r="I1446">
            <v>5.7717400000000002E-2</v>
          </cell>
        </row>
        <row r="1447">
          <cell r="I1447">
            <v>5.77574E-2</v>
          </cell>
        </row>
        <row r="1448">
          <cell r="I1448">
            <v>5.7797399999999999E-2</v>
          </cell>
        </row>
        <row r="1449">
          <cell r="I1449">
            <v>5.7837399999999997E-2</v>
          </cell>
        </row>
        <row r="1450">
          <cell r="I1450">
            <v>5.7877400000000002E-2</v>
          </cell>
        </row>
        <row r="1451">
          <cell r="I1451">
            <v>5.7917400000000001E-2</v>
          </cell>
        </row>
        <row r="1452">
          <cell r="I1452">
            <v>5.7957399999999999E-2</v>
          </cell>
        </row>
        <row r="1453">
          <cell r="I1453">
            <v>5.7997399999999998E-2</v>
          </cell>
        </row>
        <row r="1454">
          <cell r="I1454">
            <v>5.8037400000000003E-2</v>
          </cell>
        </row>
        <row r="1455">
          <cell r="I1455">
            <v>5.8077400000000001E-2</v>
          </cell>
        </row>
        <row r="1456">
          <cell r="I1456">
            <v>5.81174E-2</v>
          </cell>
        </row>
        <row r="1457">
          <cell r="I1457">
            <v>5.8157399999999998E-2</v>
          </cell>
        </row>
        <row r="1458">
          <cell r="I1458">
            <v>5.8197400000000003E-2</v>
          </cell>
        </row>
        <row r="1459">
          <cell r="I1459">
            <v>5.8237400000000002E-2</v>
          </cell>
        </row>
        <row r="1460">
          <cell r="I1460">
            <v>5.82774E-2</v>
          </cell>
        </row>
        <row r="1461">
          <cell r="I1461">
            <v>5.8317399999999998E-2</v>
          </cell>
        </row>
        <row r="1462">
          <cell r="I1462">
            <v>5.8357399999999997E-2</v>
          </cell>
        </row>
        <row r="1463">
          <cell r="I1463">
            <v>5.8397400000000002E-2</v>
          </cell>
        </row>
        <row r="1464">
          <cell r="I1464">
            <v>5.84374E-2</v>
          </cell>
        </row>
        <row r="1465">
          <cell r="I1465">
            <v>5.8477399999999999E-2</v>
          </cell>
        </row>
        <row r="1466">
          <cell r="I1466">
            <v>5.8517399999999997E-2</v>
          </cell>
        </row>
        <row r="1467">
          <cell r="I1467">
            <v>5.8557400000000003E-2</v>
          </cell>
        </row>
        <row r="1468">
          <cell r="I1468">
            <v>5.8597400000000001E-2</v>
          </cell>
        </row>
        <row r="1469">
          <cell r="I1469">
            <v>5.8637399999999999E-2</v>
          </cell>
        </row>
        <row r="1470">
          <cell r="I1470">
            <v>5.8677399999999998E-2</v>
          </cell>
        </row>
        <row r="1471">
          <cell r="I1471">
            <v>5.8717400000000003E-2</v>
          </cell>
        </row>
        <row r="1472">
          <cell r="I1472">
            <v>5.8757400000000001E-2</v>
          </cell>
        </row>
        <row r="1473">
          <cell r="I1473">
            <v>5.87974E-2</v>
          </cell>
        </row>
        <row r="1474">
          <cell r="I1474">
            <v>5.8837399999999998E-2</v>
          </cell>
        </row>
        <row r="1475">
          <cell r="I1475">
            <v>5.8877400000000003E-2</v>
          </cell>
        </row>
        <row r="1476">
          <cell r="I1476">
            <v>5.8917400000000002E-2</v>
          </cell>
        </row>
        <row r="1477">
          <cell r="I1477">
            <v>5.89574E-2</v>
          </cell>
        </row>
        <row r="1478">
          <cell r="I1478">
            <v>5.8997399999999998E-2</v>
          </cell>
        </row>
        <row r="1479">
          <cell r="I1479">
            <v>5.9037399999999997E-2</v>
          </cell>
        </row>
        <row r="1480">
          <cell r="I1480">
            <v>5.9077400000000002E-2</v>
          </cell>
        </row>
        <row r="1481">
          <cell r="I1481">
            <v>5.9117400000000001E-2</v>
          </cell>
        </row>
        <row r="1482">
          <cell r="I1482">
            <v>5.9157399999999999E-2</v>
          </cell>
        </row>
        <row r="1483">
          <cell r="I1483">
            <v>5.9197399999999997E-2</v>
          </cell>
        </row>
        <row r="1484">
          <cell r="I1484">
            <v>5.9237400000000003E-2</v>
          </cell>
        </row>
        <row r="1485">
          <cell r="I1485">
            <v>5.9277400000000001E-2</v>
          </cell>
        </row>
        <row r="1486">
          <cell r="I1486">
            <v>5.9317399999999999E-2</v>
          </cell>
        </row>
        <row r="1487">
          <cell r="I1487">
            <v>5.9357399999999998E-2</v>
          </cell>
        </row>
        <row r="1488">
          <cell r="I1488">
            <v>5.9397400000000003E-2</v>
          </cell>
        </row>
        <row r="1489">
          <cell r="I1489">
            <v>5.9437400000000001E-2</v>
          </cell>
        </row>
        <row r="1490">
          <cell r="I1490">
            <v>5.94774E-2</v>
          </cell>
        </row>
        <row r="1491">
          <cell r="I1491">
            <v>5.9517399999999998E-2</v>
          </cell>
        </row>
        <row r="1492">
          <cell r="I1492">
            <v>5.9557400000000003E-2</v>
          </cell>
        </row>
        <row r="1493">
          <cell r="I1493">
            <v>5.9597400000000002E-2</v>
          </cell>
        </row>
        <row r="1494">
          <cell r="I1494">
            <v>5.96374E-2</v>
          </cell>
        </row>
        <row r="1495">
          <cell r="I1495">
            <v>5.9677399999999999E-2</v>
          </cell>
        </row>
        <row r="1496">
          <cell r="I1496">
            <v>5.9717399999999997E-2</v>
          </cell>
        </row>
        <row r="1497">
          <cell r="I1497">
            <v>5.9757400000000002E-2</v>
          </cell>
        </row>
        <row r="1498">
          <cell r="I1498">
            <v>5.9797400000000001E-2</v>
          </cell>
        </row>
        <row r="1499">
          <cell r="I1499">
            <v>5.9837399999999999E-2</v>
          </cell>
        </row>
        <row r="1500">
          <cell r="I1500">
            <v>5.9877399999999997E-2</v>
          </cell>
        </row>
        <row r="1501">
          <cell r="I1501">
            <v>5.9917400000000003E-2</v>
          </cell>
        </row>
        <row r="1502">
          <cell r="I1502">
            <v>5.9957400000000001E-2</v>
          </cell>
        </row>
        <row r="1503">
          <cell r="I1503">
            <v>5.9997399999999999E-2</v>
          </cell>
        </row>
        <row r="1504">
          <cell r="I1504">
            <v>6.0037399999999998E-2</v>
          </cell>
        </row>
        <row r="1505">
          <cell r="I1505">
            <v>6.0077400000000003E-2</v>
          </cell>
        </row>
        <row r="1506">
          <cell r="I1506">
            <v>6.0117400000000001E-2</v>
          </cell>
        </row>
        <row r="1507">
          <cell r="I1507">
            <v>6.01574E-2</v>
          </cell>
        </row>
        <row r="1508">
          <cell r="I1508">
            <v>6.0197399999999998E-2</v>
          </cell>
        </row>
        <row r="1509">
          <cell r="I1509">
            <v>6.0237400000000003E-2</v>
          </cell>
        </row>
        <row r="1510">
          <cell r="I1510">
            <v>6.0277400000000002E-2</v>
          </cell>
        </row>
        <row r="1511">
          <cell r="I1511">
            <v>6.03174E-2</v>
          </cell>
        </row>
        <row r="1512">
          <cell r="I1512">
            <v>6.0357399999999999E-2</v>
          </cell>
        </row>
        <row r="1513">
          <cell r="I1513">
            <v>6.0397399999999997E-2</v>
          </cell>
        </row>
        <row r="1514">
          <cell r="I1514">
            <v>6.0437400000000002E-2</v>
          </cell>
        </row>
        <row r="1515">
          <cell r="I1515">
            <v>6.0477400000000001E-2</v>
          </cell>
        </row>
        <row r="1516">
          <cell r="I1516">
            <v>6.0517399999999999E-2</v>
          </cell>
        </row>
        <row r="1517">
          <cell r="I1517">
            <v>6.0557399999999997E-2</v>
          </cell>
        </row>
        <row r="1518">
          <cell r="I1518">
            <v>6.0597400000000003E-2</v>
          </cell>
        </row>
        <row r="1519">
          <cell r="I1519">
            <v>6.0637400000000001E-2</v>
          </cell>
        </row>
        <row r="1520">
          <cell r="I1520">
            <v>6.0677399999999999E-2</v>
          </cell>
        </row>
        <row r="1521">
          <cell r="I1521">
            <v>6.0717399999999998E-2</v>
          </cell>
        </row>
        <row r="1522">
          <cell r="I1522">
            <v>6.0757400000000003E-2</v>
          </cell>
        </row>
        <row r="1523">
          <cell r="I1523">
            <v>6.0797400000000001E-2</v>
          </cell>
        </row>
        <row r="1524">
          <cell r="I1524">
            <v>6.08374E-2</v>
          </cell>
        </row>
        <row r="1525">
          <cell r="I1525">
            <v>6.0877399999999998E-2</v>
          </cell>
        </row>
        <row r="1526">
          <cell r="I1526">
            <v>6.0917399999999997E-2</v>
          </cell>
        </row>
        <row r="1527">
          <cell r="I1527">
            <v>6.0957400000000002E-2</v>
          </cell>
        </row>
        <row r="1528">
          <cell r="I1528">
            <v>6.09974E-2</v>
          </cell>
        </row>
        <row r="1529">
          <cell r="I1529">
            <v>6.1037399999999999E-2</v>
          </cell>
        </row>
        <row r="1530">
          <cell r="I1530">
            <v>6.1077399999999997E-2</v>
          </cell>
        </row>
        <row r="1531">
          <cell r="I1531">
            <v>6.1117400000000002E-2</v>
          </cell>
        </row>
        <row r="1532">
          <cell r="I1532">
            <v>6.1157400000000001E-2</v>
          </cell>
        </row>
        <row r="1533">
          <cell r="I1533">
            <v>6.1197399999999999E-2</v>
          </cell>
        </row>
        <row r="1534">
          <cell r="I1534">
            <v>6.1237399999999997E-2</v>
          </cell>
        </row>
        <row r="1535">
          <cell r="I1535">
            <v>6.1277400000000003E-2</v>
          </cell>
        </row>
        <row r="1536">
          <cell r="I1536">
            <v>6.1317400000000001E-2</v>
          </cell>
        </row>
        <row r="1537">
          <cell r="I1537">
            <v>6.1357399999999999E-2</v>
          </cell>
        </row>
        <row r="1538">
          <cell r="I1538">
            <v>6.1397399999999998E-2</v>
          </cell>
        </row>
        <row r="1539">
          <cell r="I1539">
            <v>6.1437400000000003E-2</v>
          </cell>
        </row>
        <row r="1540">
          <cell r="I1540">
            <v>6.1477400000000001E-2</v>
          </cell>
        </row>
        <row r="1541">
          <cell r="I1541">
            <v>6.15174E-2</v>
          </cell>
        </row>
        <row r="1542">
          <cell r="I1542">
            <v>6.1557399999999998E-2</v>
          </cell>
        </row>
        <row r="1543">
          <cell r="I1543">
            <v>6.1597399999999997E-2</v>
          </cell>
        </row>
        <row r="1544">
          <cell r="I1544">
            <v>6.1637400000000002E-2</v>
          </cell>
        </row>
        <row r="1545">
          <cell r="I1545">
            <v>6.16774E-2</v>
          </cell>
        </row>
        <row r="1546">
          <cell r="I1546">
            <v>6.1717399999999999E-2</v>
          </cell>
        </row>
        <row r="1547">
          <cell r="I1547">
            <v>6.1757399999999997E-2</v>
          </cell>
        </row>
        <row r="1548">
          <cell r="I1548">
            <v>6.1797400000000002E-2</v>
          </cell>
        </row>
        <row r="1549">
          <cell r="I1549">
            <v>6.1837400000000001E-2</v>
          </cell>
        </row>
        <row r="1550">
          <cell r="I1550">
            <v>6.1877399999999999E-2</v>
          </cell>
        </row>
        <row r="1551">
          <cell r="I1551">
            <v>6.1917399999999997E-2</v>
          </cell>
        </row>
        <row r="1552">
          <cell r="I1552">
            <v>6.1957400000000003E-2</v>
          </cell>
        </row>
        <row r="1553">
          <cell r="I1553">
            <v>6.1997400000000001E-2</v>
          </cell>
        </row>
        <row r="1554">
          <cell r="I1554">
            <v>6.2037399999999999E-2</v>
          </cell>
        </row>
        <row r="1555">
          <cell r="I1555">
            <v>6.2077399999999998E-2</v>
          </cell>
        </row>
        <row r="1556">
          <cell r="I1556">
            <v>6.2117400000000003E-2</v>
          </cell>
        </row>
        <row r="1557">
          <cell r="I1557">
            <v>6.2157400000000002E-2</v>
          </cell>
        </row>
        <row r="1558">
          <cell r="I1558">
            <v>6.21974E-2</v>
          </cell>
        </row>
        <row r="1559">
          <cell r="I1559">
            <v>6.2237399999999998E-2</v>
          </cell>
        </row>
        <row r="1560">
          <cell r="I1560">
            <v>6.2277399999999997E-2</v>
          </cell>
        </row>
        <row r="1561">
          <cell r="I1561">
            <v>6.2317400000000002E-2</v>
          </cell>
        </row>
        <row r="1562">
          <cell r="I1562">
            <v>6.23574E-2</v>
          </cell>
        </row>
        <row r="1563">
          <cell r="I1563">
            <v>6.2397399999999999E-2</v>
          </cell>
        </row>
        <row r="1564">
          <cell r="I1564">
            <v>6.2437399999999997E-2</v>
          </cell>
        </row>
        <row r="1565">
          <cell r="I1565">
            <v>6.2477400000000002E-2</v>
          </cell>
        </row>
        <row r="1566">
          <cell r="I1566">
            <v>6.2517400000000001E-2</v>
          </cell>
        </row>
        <row r="1567">
          <cell r="I1567">
            <v>6.2557399999999999E-2</v>
          </cell>
        </row>
        <row r="1568">
          <cell r="I1568">
            <v>6.2597399999999997E-2</v>
          </cell>
        </row>
        <row r="1569">
          <cell r="I1569">
            <v>6.2637399999999996E-2</v>
          </cell>
        </row>
        <row r="1570">
          <cell r="I1570">
            <v>6.2677399999999994E-2</v>
          </cell>
        </row>
        <row r="1571">
          <cell r="I1571">
            <v>6.2717400000000006E-2</v>
          </cell>
        </row>
        <row r="1572">
          <cell r="I1572">
            <v>6.2757400000000005E-2</v>
          </cell>
        </row>
        <row r="1573">
          <cell r="I1573">
            <v>6.2797400000000003E-2</v>
          </cell>
        </row>
        <row r="1574">
          <cell r="I1574">
            <v>6.2837400000000002E-2</v>
          </cell>
        </row>
        <row r="1575">
          <cell r="I1575">
            <v>6.28774E-2</v>
          </cell>
        </row>
        <row r="1576">
          <cell r="I1576">
            <v>6.2917399999999998E-2</v>
          </cell>
        </row>
        <row r="1577">
          <cell r="I1577">
            <v>6.2957399999999997E-2</v>
          </cell>
        </row>
        <row r="1578">
          <cell r="I1578">
            <v>6.2997399999999995E-2</v>
          </cell>
        </row>
        <row r="1579">
          <cell r="I1579">
            <v>6.3037399999999993E-2</v>
          </cell>
        </row>
        <row r="1580">
          <cell r="I1580">
            <v>6.3077400000000006E-2</v>
          </cell>
        </row>
        <row r="1581">
          <cell r="I1581">
            <v>6.3117400000000004E-2</v>
          </cell>
        </row>
        <row r="1582">
          <cell r="I1582">
            <v>6.3157400000000002E-2</v>
          </cell>
        </row>
        <row r="1583">
          <cell r="I1583">
            <v>6.3197400000000001E-2</v>
          </cell>
        </row>
        <row r="1584">
          <cell r="I1584">
            <v>6.3237399999999999E-2</v>
          </cell>
        </row>
        <row r="1585">
          <cell r="I1585">
            <v>6.3277399999999998E-2</v>
          </cell>
        </row>
        <row r="1586">
          <cell r="I1586">
            <v>6.3317399999999996E-2</v>
          </cell>
        </row>
        <row r="1587">
          <cell r="I1587">
            <v>6.3357399999999994E-2</v>
          </cell>
        </row>
        <row r="1588">
          <cell r="I1588">
            <v>6.3397400000000007E-2</v>
          </cell>
        </row>
        <row r="1589">
          <cell r="I1589">
            <v>6.3437400000000005E-2</v>
          </cell>
        </row>
        <row r="1590">
          <cell r="I1590">
            <v>6.3477400000000003E-2</v>
          </cell>
        </row>
        <row r="1591">
          <cell r="I1591">
            <v>6.3517400000000002E-2</v>
          </cell>
        </row>
        <row r="1592">
          <cell r="I1592">
            <v>6.35574E-2</v>
          </cell>
        </row>
        <row r="1593">
          <cell r="I1593">
            <v>6.3597399999999998E-2</v>
          </cell>
        </row>
        <row r="1594">
          <cell r="I1594">
            <v>6.3637399999999997E-2</v>
          </cell>
        </row>
        <row r="1595">
          <cell r="I1595">
            <v>6.3677399999999995E-2</v>
          </cell>
        </row>
        <row r="1596">
          <cell r="I1596">
            <v>6.3717399999999993E-2</v>
          </cell>
        </row>
        <row r="1597">
          <cell r="I1597">
            <v>6.3757400000000006E-2</v>
          </cell>
        </row>
        <row r="1598">
          <cell r="I1598">
            <v>6.3797400000000004E-2</v>
          </cell>
        </row>
        <row r="1599">
          <cell r="I1599">
            <v>6.3837400000000002E-2</v>
          </cell>
        </row>
        <row r="1600">
          <cell r="I1600">
            <v>6.3877400000000001E-2</v>
          </cell>
        </row>
        <row r="1601">
          <cell r="I1601">
            <v>6.3917399999999999E-2</v>
          </cell>
        </row>
        <row r="1602">
          <cell r="I1602">
            <v>6.3957399999999998E-2</v>
          </cell>
        </row>
        <row r="1603">
          <cell r="I1603">
            <v>6.3997399999999996E-2</v>
          </cell>
        </row>
        <row r="1604">
          <cell r="I1604">
            <v>6.4037399999999994E-2</v>
          </cell>
        </row>
        <row r="1605">
          <cell r="I1605">
            <v>6.4077400000000007E-2</v>
          </cell>
        </row>
        <row r="1606">
          <cell r="I1606">
            <v>6.4117400000000005E-2</v>
          </cell>
        </row>
        <row r="1607">
          <cell r="I1607">
            <v>6.4157400000000003E-2</v>
          </cell>
        </row>
        <row r="1608">
          <cell r="I1608">
            <v>6.4197400000000002E-2</v>
          </cell>
        </row>
        <row r="1609">
          <cell r="I1609">
            <v>6.42374E-2</v>
          </cell>
        </row>
        <row r="1610">
          <cell r="I1610">
            <v>6.4277399999999998E-2</v>
          </cell>
        </row>
        <row r="1611">
          <cell r="I1611">
            <v>6.4317399999999997E-2</v>
          </cell>
        </row>
        <row r="1612">
          <cell r="I1612">
            <v>6.4357399999999995E-2</v>
          </cell>
        </row>
        <row r="1613">
          <cell r="I1613">
            <v>6.4397399999999994E-2</v>
          </cell>
        </row>
        <row r="1614">
          <cell r="I1614">
            <v>6.4437400000000006E-2</v>
          </cell>
        </row>
        <row r="1615">
          <cell r="I1615">
            <v>6.4477400000000004E-2</v>
          </cell>
        </row>
        <row r="1616">
          <cell r="I1616">
            <v>6.4517400000000003E-2</v>
          </cell>
        </row>
        <row r="1617">
          <cell r="I1617">
            <v>6.4557400000000001E-2</v>
          </cell>
        </row>
        <row r="1618">
          <cell r="I1618">
            <v>6.4597399999999999E-2</v>
          </cell>
        </row>
        <row r="1619">
          <cell r="I1619">
            <v>6.4637399999999998E-2</v>
          </cell>
        </row>
        <row r="1620">
          <cell r="I1620">
            <v>6.4677399999999996E-2</v>
          </cell>
        </row>
        <row r="1621">
          <cell r="I1621">
            <v>6.4717399999999994E-2</v>
          </cell>
        </row>
        <row r="1622">
          <cell r="I1622">
            <v>6.4757400000000007E-2</v>
          </cell>
        </row>
        <row r="1623">
          <cell r="I1623">
            <v>6.4797400000000005E-2</v>
          </cell>
        </row>
        <row r="1624">
          <cell r="I1624">
            <v>6.4837400000000003E-2</v>
          </cell>
        </row>
        <row r="1625">
          <cell r="I1625">
            <v>6.4877400000000002E-2</v>
          </cell>
        </row>
        <row r="1626">
          <cell r="I1626">
            <v>6.49174E-2</v>
          </cell>
        </row>
        <row r="1627">
          <cell r="I1627">
            <v>6.4957399999999998E-2</v>
          </cell>
        </row>
        <row r="1628">
          <cell r="I1628">
            <v>6.4997399999999997E-2</v>
          </cell>
        </row>
        <row r="1629">
          <cell r="I1629">
            <v>6.5037399999999995E-2</v>
          </cell>
        </row>
        <row r="1630">
          <cell r="I1630">
            <v>6.5077399999999994E-2</v>
          </cell>
        </row>
        <row r="1631">
          <cell r="I1631">
            <v>6.5117400000000006E-2</v>
          </cell>
        </row>
        <row r="1632">
          <cell r="I1632">
            <v>6.5157400000000004E-2</v>
          </cell>
        </row>
        <row r="1633">
          <cell r="I1633">
            <v>6.5197400000000003E-2</v>
          </cell>
        </row>
        <row r="1634">
          <cell r="I1634">
            <v>6.5237400000000001E-2</v>
          </cell>
        </row>
        <row r="1635">
          <cell r="I1635">
            <v>6.5277399999999999E-2</v>
          </cell>
        </row>
        <row r="1636">
          <cell r="I1636">
            <v>6.5317399999999998E-2</v>
          </cell>
        </row>
        <row r="1637">
          <cell r="I1637">
            <v>6.5357399999999996E-2</v>
          </cell>
        </row>
        <row r="1638">
          <cell r="I1638">
            <v>6.5397399999999994E-2</v>
          </cell>
        </row>
        <row r="1639">
          <cell r="I1639">
            <v>6.5437400000000007E-2</v>
          </cell>
        </row>
        <row r="1640">
          <cell r="I1640">
            <v>6.5477400000000005E-2</v>
          </cell>
        </row>
        <row r="1641">
          <cell r="I1641">
            <v>6.5517400000000003E-2</v>
          </cell>
        </row>
        <row r="1642">
          <cell r="I1642">
            <v>6.5557400000000002E-2</v>
          </cell>
        </row>
        <row r="1643">
          <cell r="I1643">
            <v>6.55974E-2</v>
          </cell>
        </row>
        <row r="1644">
          <cell r="I1644">
            <v>6.5637399999999999E-2</v>
          </cell>
        </row>
        <row r="1645">
          <cell r="I1645">
            <v>6.5677399999999997E-2</v>
          </cell>
        </row>
        <row r="1646">
          <cell r="I1646">
            <v>6.5717399999999995E-2</v>
          </cell>
        </row>
        <row r="1647">
          <cell r="I1647">
            <v>6.5757399999999994E-2</v>
          </cell>
        </row>
        <row r="1648">
          <cell r="I1648">
            <v>6.5797400000000006E-2</v>
          </cell>
        </row>
        <row r="1649">
          <cell r="I1649">
            <v>6.5837400000000004E-2</v>
          </cell>
        </row>
        <row r="1650">
          <cell r="I1650">
            <v>6.5877400000000003E-2</v>
          </cell>
        </row>
        <row r="1651">
          <cell r="I1651">
            <v>6.5917400000000001E-2</v>
          </cell>
        </row>
        <row r="1652">
          <cell r="I1652">
            <v>6.5957399999999999E-2</v>
          </cell>
        </row>
        <row r="1653">
          <cell r="I1653">
            <v>6.5997399999999998E-2</v>
          </cell>
        </row>
        <row r="1654">
          <cell r="I1654">
            <v>6.6037399999999996E-2</v>
          </cell>
        </row>
        <row r="1655">
          <cell r="I1655">
            <v>6.6077399999999994E-2</v>
          </cell>
        </row>
        <row r="1656">
          <cell r="I1656">
            <v>6.6117400000000007E-2</v>
          </cell>
        </row>
        <row r="1657">
          <cell r="I1657">
            <v>6.6157400000000005E-2</v>
          </cell>
        </row>
        <row r="1658">
          <cell r="I1658">
            <v>6.6197400000000003E-2</v>
          </cell>
        </row>
        <row r="1659">
          <cell r="I1659">
            <v>6.6237400000000002E-2</v>
          </cell>
        </row>
        <row r="1660">
          <cell r="I1660">
            <v>6.62774E-2</v>
          </cell>
        </row>
        <row r="1661">
          <cell r="I1661">
            <v>6.6317399999999999E-2</v>
          </cell>
        </row>
        <row r="1662">
          <cell r="I1662">
            <v>6.6357399999999997E-2</v>
          </cell>
        </row>
        <row r="1663">
          <cell r="I1663">
            <v>6.6397399999999995E-2</v>
          </cell>
        </row>
        <row r="1664">
          <cell r="I1664">
            <v>6.6437399999999994E-2</v>
          </cell>
        </row>
        <row r="1665">
          <cell r="I1665">
            <v>6.6477400000000006E-2</v>
          </cell>
        </row>
        <row r="1666">
          <cell r="I1666">
            <v>6.6517400000000004E-2</v>
          </cell>
        </row>
        <row r="1667">
          <cell r="I1667">
            <v>6.6557400000000003E-2</v>
          </cell>
        </row>
        <row r="1668">
          <cell r="I1668">
            <v>6.6597400000000001E-2</v>
          </cell>
        </row>
        <row r="1669">
          <cell r="I1669">
            <v>6.6637399999999999E-2</v>
          </cell>
        </row>
        <row r="1670">
          <cell r="I1670">
            <v>6.6677399999999998E-2</v>
          </cell>
        </row>
        <row r="1671">
          <cell r="I1671">
            <v>6.6717399999999996E-2</v>
          </cell>
        </row>
        <row r="1672">
          <cell r="I1672">
            <v>6.6757399999999995E-2</v>
          </cell>
        </row>
        <row r="1673">
          <cell r="I1673">
            <v>6.6797400000000007E-2</v>
          </cell>
        </row>
        <row r="1674">
          <cell r="I1674">
            <v>6.6837400000000005E-2</v>
          </cell>
        </row>
        <row r="1675">
          <cell r="I1675">
            <v>6.6877400000000004E-2</v>
          </cell>
        </row>
        <row r="1676">
          <cell r="I1676">
            <v>6.6917400000000002E-2</v>
          </cell>
        </row>
        <row r="1677">
          <cell r="I1677">
            <v>6.69574E-2</v>
          </cell>
        </row>
        <row r="1678">
          <cell r="I1678">
            <v>6.6997399999999999E-2</v>
          </cell>
        </row>
        <row r="1679">
          <cell r="I1679">
            <v>6.7037399999999997E-2</v>
          </cell>
        </row>
        <row r="1680">
          <cell r="I1680">
            <v>6.7077399999999995E-2</v>
          </cell>
        </row>
        <row r="1681">
          <cell r="I1681">
            <v>6.7117399999999994E-2</v>
          </cell>
        </row>
        <row r="1682">
          <cell r="I1682">
            <v>6.7157400000000006E-2</v>
          </cell>
        </row>
        <row r="1683">
          <cell r="I1683">
            <v>6.7197400000000004E-2</v>
          </cell>
        </row>
        <row r="1684">
          <cell r="I1684">
            <v>6.7237400000000003E-2</v>
          </cell>
        </row>
        <row r="1685">
          <cell r="I1685">
            <v>6.7277400000000001E-2</v>
          </cell>
        </row>
        <row r="1686">
          <cell r="I1686">
            <v>6.7317399999999999E-2</v>
          </cell>
        </row>
        <row r="1687">
          <cell r="I1687">
            <v>6.7357399999999998E-2</v>
          </cell>
        </row>
        <row r="1688">
          <cell r="I1688">
            <v>6.7397399999999996E-2</v>
          </cell>
        </row>
        <row r="1689">
          <cell r="I1689">
            <v>6.7437399999999995E-2</v>
          </cell>
        </row>
        <row r="1690">
          <cell r="I1690">
            <v>6.7477400000000007E-2</v>
          </cell>
        </row>
        <row r="1691">
          <cell r="I1691">
            <v>6.7517400000000005E-2</v>
          </cell>
        </row>
        <row r="1692">
          <cell r="I1692">
            <v>6.7557400000000004E-2</v>
          </cell>
        </row>
        <row r="1693">
          <cell r="I1693">
            <v>6.7597400000000002E-2</v>
          </cell>
        </row>
        <row r="1694">
          <cell r="I1694">
            <v>6.76374E-2</v>
          </cell>
        </row>
        <row r="1695">
          <cell r="I1695">
            <v>6.7677399999999999E-2</v>
          </cell>
        </row>
        <row r="1696">
          <cell r="I1696">
            <v>6.7717399999999997E-2</v>
          </cell>
        </row>
        <row r="1697">
          <cell r="I1697">
            <v>6.7757399999999995E-2</v>
          </cell>
        </row>
        <row r="1698">
          <cell r="I1698">
            <v>6.7797399999999994E-2</v>
          </cell>
        </row>
        <row r="1699">
          <cell r="I1699">
            <v>6.7837400000000006E-2</v>
          </cell>
        </row>
        <row r="1700">
          <cell r="I1700">
            <v>6.7877400000000004E-2</v>
          </cell>
        </row>
        <row r="1701">
          <cell r="I1701">
            <v>6.7917400000000003E-2</v>
          </cell>
        </row>
        <row r="1702">
          <cell r="I1702">
            <v>6.7957400000000001E-2</v>
          </cell>
        </row>
        <row r="1703">
          <cell r="I1703">
            <v>6.79974E-2</v>
          </cell>
        </row>
        <row r="1704">
          <cell r="I1704">
            <v>6.8037399999999998E-2</v>
          </cell>
        </row>
        <row r="1705">
          <cell r="I1705">
            <v>6.8077399999999996E-2</v>
          </cell>
        </row>
        <row r="1706">
          <cell r="I1706">
            <v>6.8117399999999995E-2</v>
          </cell>
        </row>
        <row r="1707">
          <cell r="I1707">
            <v>6.8157400000000007E-2</v>
          </cell>
        </row>
        <row r="1708">
          <cell r="I1708">
            <v>6.8197400000000005E-2</v>
          </cell>
        </row>
        <row r="1709">
          <cell r="I1709">
            <v>6.8237400000000004E-2</v>
          </cell>
        </row>
        <row r="1710">
          <cell r="I1710">
            <v>6.8277400000000002E-2</v>
          </cell>
        </row>
        <row r="1711">
          <cell r="I1711">
            <v>6.83174E-2</v>
          </cell>
        </row>
        <row r="1712">
          <cell r="I1712">
            <v>6.8357399999999999E-2</v>
          </cell>
        </row>
        <row r="1713">
          <cell r="I1713">
            <v>6.8397399999999997E-2</v>
          </cell>
        </row>
        <row r="1714">
          <cell r="I1714">
            <v>6.8437399999999995E-2</v>
          </cell>
        </row>
        <row r="1715">
          <cell r="I1715">
            <v>6.8477399999999994E-2</v>
          </cell>
        </row>
        <row r="1716">
          <cell r="I1716">
            <v>6.8517400000000006E-2</v>
          </cell>
        </row>
        <row r="1717">
          <cell r="I1717">
            <v>6.8557400000000004E-2</v>
          </cell>
        </row>
        <row r="1718">
          <cell r="I1718">
            <v>6.8597400000000003E-2</v>
          </cell>
        </row>
        <row r="1719">
          <cell r="I1719">
            <v>6.8637400000000001E-2</v>
          </cell>
        </row>
        <row r="1720">
          <cell r="I1720">
            <v>6.86774E-2</v>
          </cell>
        </row>
        <row r="1721">
          <cell r="I1721">
            <v>6.8717399999999998E-2</v>
          </cell>
        </row>
        <row r="1722">
          <cell r="I1722">
            <v>6.8757399999999996E-2</v>
          </cell>
        </row>
        <row r="1723">
          <cell r="I1723">
            <v>6.8797399999999995E-2</v>
          </cell>
        </row>
        <row r="1724">
          <cell r="I1724">
            <v>6.8837400000000007E-2</v>
          </cell>
        </row>
        <row r="1725">
          <cell r="I1725">
            <v>6.8877400000000005E-2</v>
          </cell>
        </row>
        <row r="1726">
          <cell r="I1726">
            <v>6.8917400000000004E-2</v>
          </cell>
        </row>
        <row r="1727">
          <cell r="I1727">
            <v>6.8957400000000002E-2</v>
          </cell>
        </row>
        <row r="1728">
          <cell r="I1728">
            <v>6.89974E-2</v>
          </cell>
        </row>
        <row r="1729">
          <cell r="I1729">
            <v>6.9037399999999999E-2</v>
          </cell>
        </row>
        <row r="1730">
          <cell r="I1730">
            <v>6.9077399999999997E-2</v>
          </cell>
        </row>
        <row r="1731">
          <cell r="I1731">
            <v>6.9117399999999996E-2</v>
          </cell>
        </row>
        <row r="1732">
          <cell r="I1732">
            <v>6.9157399999999994E-2</v>
          </cell>
        </row>
        <row r="1733">
          <cell r="I1733">
            <v>6.9197400000000006E-2</v>
          </cell>
        </row>
        <row r="1734">
          <cell r="I1734">
            <v>6.9237400000000004E-2</v>
          </cell>
        </row>
        <row r="1735">
          <cell r="I1735">
            <v>6.9277400000000003E-2</v>
          </cell>
        </row>
        <row r="1736">
          <cell r="I1736">
            <v>6.9317400000000001E-2</v>
          </cell>
        </row>
        <row r="1737">
          <cell r="I1737">
            <v>6.93574E-2</v>
          </cell>
        </row>
        <row r="1738">
          <cell r="I1738">
            <v>6.9397399999999998E-2</v>
          </cell>
        </row>
        <row r="1739">
          <cell r="I1739">
            <v>6.9437399999999996E-2</v>
          </cell>
        </row>
        <row r="1740">
          <cell r="I1740">
            <v>6.9477399999999995E-2</v>
          </cell>
        </row>
        <row r="1741">
          <cell r="I1741">
            <v>6.9517399999999993E-2</v>
          </cell>
        </row>
        <row r="1742">
          <cell r="I1742">
            <v>6.9557400000000005E-2</v>
          </cell>
        </row>
        <row r="1743">
          <cell r="I1743">
            <v>6.9597400000000004E-2</v>
          </cell>
        </row>
        <row r="1744">
          <cell r="I1744">
            <v>6.9637400000000002E-2</v>
          </cell>
        </row>
        <row r="1745">
          <cell r="I1745">
            <v>6.96774E-2</v>
          </cell>
        </row>
        <row r="1746">
          <cell r="I1746">
            <v>6.9717399999999999E-2</v>
          </cell>
        </row>
        <row r="1747">
          <cell r="I1747">
            <v>6.9757399999999997E-2</v>
          </cell>
        </row>
        <row r="1748">
          <cell r="I1748">
            <v>6.9797399999999996E-2</v>
          </cell>
        </row>
        <row r="1749">
          <cell r="I1749">
            <v>6.9837399999999994E-2</v>
          </cell>
        </row>
        <row r="1750">
          <cell r="I1750">
            <v>6.9877400000000006E-2</v>
          </cell>
        </row>
        <row r="1751">
          <cell r="I1751">
            <v>6.9917400000000005E-2</v>
          </cell>
        </row>
        <row r="1752">
          <cell r="I1752">
            <v>6.9957400000000003E-2</v>
          </cell>
        </row>
        <row r="1753">
          <cell r="I1753">
            <v>6.9997400000000001E-2</v>
          </cell>
        </row>
        <row r="1754">
          <cell r="I1754">
            <v>7.00374E-2</v>
          </cell>
        </row>
        <row r="1755">
          <cell r="I1755">
            <v>7.0077399999999998E-2</v>
          </cell>
        </row>
        <row r="1756">
          <cell r="I1756">
            <v>7.0117399999999996E-2</v>
          </cell>
        </row>
        <row r="1757">
          <cell r="I1757">
            <v>7.0157399999999995E-2</v>
          </cell>
        </row>
        <row r="1758">
          <cell r="I1758">
            <v>7.0197399999999993E-2</v>
          </cell>
        </row>
        <row r="1759">
          <cell r="I1759">
            <v>7.0237400000000005E-2</v>
          </cell>
        </row>
        <row r="1760">
          <cell r="I1760">
            <v>7.0277400000000004E-2</v>
          </cell>
        </row>
        <row r="1761">
          <cell r="I1761">
            <v>7.0317400000000002E-2</v>
          </cell>
        </row>
        <row r="1762">
          <cell r="I1762">
            <v>7.03574E-2</v>
          </cell>
        </row>
        <row r="1763">
          <cell r="I1763">
            <v>7.0397399999999999E-2</v>
          </cell>
        </row>
        <row r="1764">
          <cell r="I1764">
            <v>7.0437399999999997E-2</v>
          </cell>
        </row>
        <row r="1765">
          <cell r="I1765">
            <v>7.0477399999999996E-2</v>
          </cell>
        </row>
        <row r="1766">
          <cell r="I1766">
            <v>7.0517399999999994E-2</v>
          </cell>
        </row>
        <row r="1767">
          <cell r="I1767">
            <v>7.0557400000000006E-2</v>
          </cell>
        </row>
        <row r="1768">
          <cell r="I1768">
            <v>7.0597400000000005E-2</v>
          </cell>
        </row>
        <row r="1769">
          <cell r="I1769">
            <v>7.0637400000000003E-2</v>
          </cell>
        </row>
        <row r="1770">
          <cell r="I1770">
            <v>7.0677400000000001E-2</v>
          </cell>
        </row>
        <row r="1771">
          <cell r="I1771">
            <v>7.07174E-2</v>
          </cell>
        </row>
        <row r="1772">
          <cell r="I1772">
            <v>7.0757399999999998E-2</v>
          </cell>
        </row>
        <row r="1773">
          <cell r="I1773">
            <v>7.0797399999999996E-2</v>
          </cell>
        </row>
        <row r="1774">
          <cell r="I1774">
            <v>7.0837399999999995E-2</v>
          </cell>
        </row>
        <row r="1775">
          <cell r="I1775">
            <v>7.0877399999999993E-2</v>
          </cell>
        </row>
        <row r="1776">
          <cell r="I1776">
            <v>7.0917400000000005E-2</v>
          </cell>
        </row>
        <row r="1777">
          <cell r="I1777">
            <v>7.0957400000000004E-2</v>
          </cell>
        </row>
        <row r="1778">
          <cell r="I1778">
            <v>7.0997400000000002E-2</v>
          </cell>
        </row>
        <row r="1779">
          <cell r="I1779">
            <v>7.1037400000000001E-2</v>
          </cell>
        </row>
        <row r="1780">
          <cell r="I1780">
            <v>7.1077399999999999E-2</v>
          </cell>
        </row>
        <row r="1781">
          <cell r="I1781">
            <v>7.1117399999999997E-2</v>
          </cell>
        </row>
        <row r="1782">
          <cell r="I1782">
            <v>7.1157399999999996E-2</v>
          </cell>
        </row>
        <row r="1783">
          <cell r="I1783">
            <v>7.1197399999999994E-2</v>
          </cell>
        </row>
        <row r="1784">
          <cell r="I1784">
            <v>7.1237400000000006E-2</v>
          </cell>
        </row>
        <row r="1785">
          <cell r="I1785">
            <v>7.1277400000000005E-2</v>
          </cell>
        </row>
        <row r="1786">
          <cell r="I1786">
            <v>7.1317400000000003E-2</v>
          </cell>
        </row>
        <row r="1787">
          <cell r="I1787">
            <v>7.1357400000000001E-2</v>
          </cell>
        </row>
        <row r="1788">
          <cell r="I1788">
            <v>7.13974E-2</v>
          </cell>
        </row>
        <row r="1789">
          <cell r="I1789">
            <v>7.1437399999999998E-2</v>
          </cell>
        </row>
        <row r="1790">
          <cell r="I1790">
            <v>7.1477399999999996E-2</v>
          </cell>
        </row>
        <row r="1791">
          <cell r="I1791">
            <v>7.1517399999999995E-2</v>
          </cell>
        </row>
        <row r="1792">
          <cell r="I1792">
            <v>7.1557399999999993E-2</v>
          </cell>
        </row>
        <row r="1793">
          <cell r="I1793">
            <v>7.1597400000000005E-2</v>
          </cell>
        </row>
        <row r="1794">
          <cell r="I1794">
            <v>7.1637400000000004E-2</v>
          </cell>
        </row>
        <row r="1795">
          <cell r="I1795">
            <v>7.1677400000000002E-2</v>
          </cell>
        </row>
        <row r="1796">
          <cell r="I1796">
            <v>7.1717400000000001E-2</v>
          </cell>
        </row>
        <row r="1797">
          <cell r="I1797">
            <v>7.1757399999999999E-2</v>
          </cell>
        </row>
        <row r="1798">
          <cell r="I1798">
            <v>7.1797399999999997E-2</v>
          </cell>
        </row>
        <row r="1799">
          <cell r="I1799">
            <v>7.1837399999999996E-2</v>
          </cell>
        </row>
        <row r="1800">
          <cell r="I1800">
            <v>7.1877399999999994E-2</v>
          </cell>
        </row>
        <row r="1801">
          <cell r="I1801">
            <v>7.1917400000000006E-2</v>
          </cell>
        </row>
        <row r="1802">
          <cell r="I1802">
            <v>7.1957400000000005E-2</v>
          </cell>
        </row>
        <row r="1803">
          <cell r="I1803">
            <v>7.1997400000000003E-2</v>
          </cell>
        </row>
        <row r="1804">
          <cell r="I1804">
            <v>7.2037400000000001E-2</v>
          </cell>
        </row>
        <row r="1805">
          <cell r="I1805">
            <v>7.20774E-2</v>
          </cell>
        </row>
        <row r="1806">
          <cell r="I1806">
            <v>7.2117399999999998E-2</v>
          </cell>
        </row>
        <row r="1807">
          <cell r="I1807">
            <v>7.2157399999999997E-2</v>
          </cell>
        </row>
        <row r="1808">
          <cell r="I1808">
            <v>7.2197399999999995E-2</v>
          </cell>
        </row>
        <row r="1809">
          <cell r="I1809">
            <v>7.2237399999999993E-2</v>
          </cell>
        </row>
        <row r="1810">
          <cell r="I1810">
            <v>7.2277400000000006E-2</v>
          </cell>
        </row>
        <row r="1811">
          <cell r="I1811">
            <v>7.2317400000000004E-2</v>
          </cell>
        </row>
        <row r="1812">
          <cell r="I1812">
            <v>7.2357400000000002E-2</v>
          </cell>
        </row>
        <row r="1813">
          <cell r="I1813">
            <v>7.2397400000000001E-2</v>
          </cell>
        </row>
        <row r="1814">
          <cell r="I1814">
            <v>7.2437399999999999E-2</v>
          </cell>
        </row>
        <row r="1815">
          <cell r="I1815">
            <v>7.2477399999999997E-2</v>
          </cell>
        </row>
        <row r="1816">
          <cell r="I1816">
            <v>7.2517399999999996E-2</v>
          </cell>
        </row>
        <row r="1817">
          <cell r="I1817">
            <v>7.2557399999999994E-2</v>
          </cell>
        </row>
        <row r="1818">
          <cell r="I1818">
            <v>7.2597400000000006E-2</v>
          </cell>
        </row>
        <row r="1819">
          <cell r="I1819">
            <v>7.2637400000000005E-2</v>
          </cell>
        </row>
        <row r="1820">
          <cell r="I1820">
            <v>7.2677400000000003E-2</v>
          </cell>
        </row>
        <row r="1821">
          <cell r="I1821">
            <v>7.2717400000000001E-2</v>
          </cell>
        </row>
        <row r="1822">
          <cell r="I1822">
            <v>7.27574E-2</v>
          </cell>
        </row>
        <row r="1823">
          <cell r="I1823">
            <v>7.2797399999999998E-2</v>
          </cell>
        </row>
        <row r="1824">
          <cell r="I1824">
            <v>7.2837399999999997E-2</v>
          </cell>
        </row>
        <row r="1825">
          <cell r="I1825">
            <v>7.2877399999999995E-2</v>
          </cell>
        </row>
        <row r="1826">
          <cell r="I1826">
            <v>7.2917399999999993E-2</v>
          </cell>
        </row>
        <row r="1827">
          <cell r="I1827">
            <v>7.2957400000000006E-2</v>
          </cell>
        </row>
        <row r="1828">
          <cell r="I1828">
            <v>7.2997400000000004E-2</v>
          </cell>
        </row>
        <row r="1829">
          <cell r="I1829">
            <v>7.3037400000000002E-2</v>
          </cell>
        </row>
        <row r="1830">
          <cell r="I1830">
            <v>7.3077400000000001E-2</v>
          </cell>
        </row>
        <row r="1831">
          <cell r="I1831">
            <v>7.3117399999999999E-2</v>
          </cell>
        </row>
        <row r="1832">
          <cell r="I1832">
            <v>7.3157399999999997E-2</v>
          </cell>
        </row>
        <row r="1833">
          <cell r="I1833">
            <v>7.3197399999999996E-2</v>
          </cell>
        </row>
        <row r="1834">
          <cell r="I1834">
            <v>7.3237399999999994E-2</v>
          </cell>
        </row>
        <row r="1835">
          <cell r="I1835">
            <v>7.3277400000000006E-2</v>
          </cell>
        </row>
        <row r="1836">
          <cell r="I1836">
            <v>7.3317400000000005E-2</v>
          </cell>
        </row>
        <row r="1837">
          <cell r="I1837">
            <v>7.3357400000000003E-2</v>
          </cell>
        </row>
        <row r="1838">
          <cell r="I1838">
            <v>7.3397400000000002E-2</v>
          </cell>
        </row>
        <row r="1839">
          <cell r="I1839">
            <v>7.34374E-2</v>
          </cell>
        </row>
        <row r="1840">
          <cell r="I1840">
            <v>7.3477399999999998E-2</v>
          </cell>
        </row>
        <row r="1841">
          <cell r="I1841">
            <v>7.3517399999999997E-2</v>
          </cell>
        </row>
        <row r="1842">
          <cell r="I1842">
            <v>7.3557399999999995E-2</v>
          </cell>
        </row>
        <row r="1843">
          <cell r="I1843">
            <v>7.3597399999999993E-2</v>
          </cell>
        </row>
        <row r="1844">
          <cell r="I1844">
            <v>7.3637400000000006E-2</v>
          </cell>
        </row>
        <row r="1845">
          <cell r="I1845">
            <v>7.3677400000000004E-2</v>
          </cell>
        </row>
        <row r="1846">
          <cell r="I1846">
            <v>7.3717400000000002E-2</v>
          </cell>
        </row>
        <row r="1847">
          <cell r="I1847">
            <v>7.3757400000000001E-2</v>
          </cell>
        </row>
        <row r="1848">
          <cell r="I1848">
            <v>7.3797399999999999E-2</v>
          </cell>
        </row>
        <row r="1849">
          <cell r="I1849">
            <v>7.3837399999999997E-2</v>
          </cell>
        </row>
        <row r="1850">
          <cell r="I1850">
            <v>7.3877399999999996E-2</v>
          </cell>
        </row>
        <row r="1851">
          <cell r="I1851">
            <v>7.3917399999999994E-2</v>
          </cell>
        </row>
        <row r="1852">
          <cell r="I1852">
            <v>7.3957400000000006E-2</v>
          </cell>
        </row>
        <row r="1853">
          <cell r="I1853">
            <v>7.3997400000000005E-2</v>
          </cell>
        </row>
        <row r="1854">
          <cell r="I1854">
            <v>7.4037400000000003E-2</v>
          </cell>
        </row>
        <row r="1855">
          <cell r="I1855">
            <v>7.4077400000000002E-2</v>
          </cell>
        </row>
        <row r="1856">
          <cell r="I1856">
            <v>7.41174E-2</v>
          </cell>
        </row>
        <row r="1857">
          <cell r="I1857">
            <v>7.4157399999999998E-2</v>
          </cell>
        </row>
        <row r="1858">
          <cell r="I1858">
            <v>7.4197399999999997E-2</v>
          </cell>
        </row>
        <row r="1859">
          <cell r="I1859">
            <v>7.4237399999999995E-2</v>
          </cell>
        </row>
        <row r="1860">
          <cell r="I1860">
            <v>7.4277399999999993E-2</v>
          </cell>
        </row>
        <row r="1861">
          <cell r="I1861">
            <v>7.4317400000000006E-2</v>
          </cell>
        </row>
        <row r="1862">
          <cell r="I1862">
            <v>7.4357400000000004E-2</v>
          </cell>
        </row>
        <row r="1863">
          <cell r="I1863">
            <v>7.4397400000000002E-2</v>
          </cell>
        </row>
        <row r="1864">
          <cell r="I1864">
            <v>7.4437400000000001E-2</v>
          </cell>
        </row>
        <row r="1865">
          <cell r="I1865">
            <v>7.4477399999999999E-2</v>
          </cell>
        </row>
        <row r="1866">
          <cell r="I1866">
            <v>7.4517399999999998E-2</v>
          </cell>
        </row>
        <row r="1867">
          <cell r="I1867">
            <v>7.4557399999999996E-2</v>
          </cell>
        </row>
        <row r="1868">
          <cell r="I1868">
            <v>7.4597399999999994E-2</v>
          </cell>
        </row>
        <row r="1869">
          <cell r="I1869">
            <v>7.4637400000000007E-2</v>
          </cell>
        </row>
        <row r="1870">
          <cell r="I1870">
            <v>7.4677400000000005E-2</v>
          </cell>
        </row>
        <row r="1871">
          <cell r="I1871">
            <v>7.4717400000000003E-2</v>
          </cell>
        </row>
        <row r="1872">
          <cell r="I1872">
            <v>7.4757400000000002E-2</v>
          </cell>
        </row>
        <row r="1873">
          <cell r="I1873">
            <v>7.47974E-2</v>
          </cell>
        </row>
        <row r="1874">
          <cell r="I1874">
            <v>7.4837399999999998E-2</v>
          </cell>
        </row>
        <row r="1875">
          <cell r="I1875">
            <v>7.4877399999999997E-2</v>
          </cell>
        </row>
        <row r="1876">
          <cell r="I1876">
            <v>7.4917399999999995E-2</v>
          </cell>
        </row>
        <row r="1877">
          <cell r="I1877">
            <v>7.4957399999999993E-2</v>
          </cell>
        </row>
        <row r="1878">
          <cell r="I1878">
            <v>7.4997400000000006E-2</v>
          </cell>
        </row>
        <row r="1879">
          <cell r="I1879">
            <v>7.5037400000000004E-2</v>
          </cell>
        </row>
        <row r="1880">
          <cell r="I1880">
            <v>7.5077400000000002E-2</v>
          </cell>
        </row>
        <row r="1881">
          <cell r="I1881">
            <v>7.5117400000000001E-2</v>
          </cell>
        </row>
        <row r="1882">
          <cell r="I1882">
            <v>7.5157399999999999E-2</v>
          </cell>
        </row>
        <row r="1883">
          <cell r="I1883">
            <v>7.5197399999999998E-2</v>
          </cell>
        </row>
        <row r="1884">
          <cell r="I1884">
            <v>7.5237399999999996E-2</v>
          </cell>
        </row>
        <row r="1885">
          <cell r="I1885">
            <v>7.5277399999999994E-2</v>
          </cell>
        </row>
        <row r="1886">
          <cell r="I1886">
            <v>7.5317400000000007E-2</v>
          </cell>
        </row>
        <row r="1887">
          <cell r="I1887">
            <v>7.5357400000000005E-2</v>
          </cell>
        </row>
        <row r="1888">
          <cell r="I1888">
            <v>7.5397400000000003E-2</v>
          </cell>
        </row>
        <row r="1889">
          <cell r="I1889">
            <v>7.5437400000000002E-2</v>
          </cell>
        </row>
        <row r="1890">
          <cell r="I1890">
            <v>7.54774E-2</v>
          </cell>
        </row>
        <row r="1891">
          <cell r="I1891">
            <v>7.5517399999999998E-2</v>
          </cell>
        </row>
        <row r="1892">
          <cell r="I1892">
            <v>7.5557399999999997E-2</v>
          </cell>
        </row>
        <row r="1893">
          <cell r="I1893">
            <v>7.5597399999999995E-2</v>
          </cell>
        </row>
        <row r="1894">
          <cell r="I1894">
            <v>7.5637399999999994E-2</v>
          </cell>
        </row>
        <row r="1895">
          <cell r="I1895">
            <v>7.5677400000000006E-2</v>
          </cell>
        </row>
        <row r="1896">
          <cell r="I1896">
            <v>7.5717400000000004E-2</v>
          </cell>
        </row>
        <row r="1897">
          <cell r="I1897">
            <v>7.5757400000000003E-2</v>
          </cell>
        </row>
        <row r="1898">
          <cell r="I1898">
            <v>7.5797400000000001E-2</v>
          </cell>
        </row>
        <row r="1899">
          <cell r="I1899">
            <v>7.5837399999999999E-2</v>
          </cell>
        </row>
        <row r="1900">
          <cell r="I1900">
            <v>7.5877399999999998E-2</v>
          </cell>
        </row>
        <row r="1901">
          <cell r="I1901">
            <v>7.5917399999999996E-2</v>
          </cell>
        </row>
        <row r="1902">
          <cell r="I1902">
            <v>7.5957399999999994E-2</v>
          </cell>
        </row>
        <row r="1903">
          <cell r="I1903">
            <v>7.5997400000000007E-2</v>
          </cell>
        </row>
        <row r="1904">
          <cell r="I1904">
            <v>7.6037400000000005E-2</v>
          </cell>
        </row>
        <row r="1905">
          <cell r="I1905">
            <v>7.6077400000000003E-2</v>
          </cell>
        </row>
        <row r="1906">
          <cell r="I1906">
            <v>7.6117400000000002E-2</v>
          </cell>
        </row>
        <row r="1907">
          <cell r="I1907">
            <v>7.61574E-2</v>
          </cell>
        </row>
        <row r="1908">
          <cell r="I1908">
            <v>7.6197399999999998E-2</v>
          </cell>
        </row>
        <row r="1909">
          <cell r="I1909">
            <v>7.6237399999999997E-2</v>
          </cell>
        </row>
        <row r="1910">
          <cell r="I1910">
            <v>7.6277399999999995E-2</v>
          </cell>
        </row>
        <row r="1911">
          <cell r="I1911">
            <v>7.6317399999999994E-2</v>
          </cell>
        </row>
        <row r="1912">
          <cell r="I1912">
            <v>7.6357400000000006E-2</v>
          </cell>
        </row>
        <row r="1913">
          <cell r="I1913">
            <v>7.6397400000000004E-2</v>
          </cell>
        </row>
        <row r="1914">
          <cell r="I1914">
            <v>7.6437400000000003E-2</v>
          </cell>
        </row>
        <row r="1915">
          <cell r="I1915">
            <v>7.6477400000000001E-2</v>
          </cell>
        </row>
        <row r="1916">
          <cell r="I1916">
            <v>7.6517399999999999E-2</v>
          </cell>
        </row>
        <row r="1917">
          <cell r="I1917">
            <v>7.6557399999999998E-2</v>
          </cell>
        </row>
        <row r="1918">
          <cell r="I1918">
            <v>7.6597399999999996E-2</v>
          </cell>
        </row>
        <row r="1919">
          <cell r="I1919">
            <v>7.6637399999999994E-2</v>
          </cell>
        </row>
        <row r="1920">
          <cell r="I1920">
            <v>7.6677400000000007E-2</v>
          </cell>
        </row>
        <row r="1921">
          <cell r="I1921">
            <v>7.6717400000000005E-2</v>
          </cell>
        </row>
        <row r="1922">
          <cell r="I1922">
            <v>7.6757400000000003E-2</v>
          </cell>
        </row>
        <row r="1923">
          <cell r="I1923">
            <v>7.6797400000000002E-2</v>
          </cell>
        </row>
        <row r="1924">
          <cell r="I1924">
            <v>7.68374E-2</v>
          </cell>
        </row>
        <row r="1925">
          <cell r="I1925">
            <v>7.6877399999999999E-2</v>
          </cell>
        </row>
        <row r="1926">
          <cell r="I1926">
            <v>7.6917399999999997E-2</v>
          </cell>
        </row>
        <row r="1927">
          <cell r="I1927">
            <v>7.6957399999999995E-2</v>
          </cell>
        </row>
        <row r="1928">
          <cell r="I1928">
            <v>7.6997399999999994E-2</v>
          </cell>
        </row>
        <row r="1929">
          <cell r="I1929">
            <v>7.7037400000000006E-2</v>
          </cell>
        </row>
        <row r="1930">
          <cell r="I1930">
            <v>7.7077400000000004E-2</v>
          </cell>
        </row>
        <row r="1931">
          <cell r="I1931">
            <v>7.7117400000000003E-2</v>
          </cell>
        </row>
        <row r="1932">
          <cell r="I1932">
            <v>7.7157400000000001E-2</v>
          </cell>
        </row>
        <row r="1933">
          <cell r="I1933">
            <v>7.7197399999999999E-2</v>
          </cell>
        </row>
        <row r="1934">
          <cell r="I1934">
            <v>7.7237399999999998E-2</v>
          </cell>
        </row>
        <row r="1935">
          <cell r="I1935">
            <v>7.7277399999999996E-2</v>
          </cell>
        </row>
        <row r="1936">
          <cell r="I1936">
            <v>7.7317399999999994E-2</v>
          </cell>
        </row>
        <row r="1937">
          <cell r="I1937">
            <v>7.7357400000000007E-2</v>
          </cell>
        </row>
        <row r="1938">
          <cell r="I1938">
            <v>7.7397400000000005E-2</v>
          </cell>
        </row>
        <row r="1939">
          <cell r="I1939">
            <v>7.7437400000000003E-2</v>
          </cell>
        </row>
        <row r="1940">
          <cell r="I1940">
            <v>7.7477400000000002E-2</v>
          </cell>
        </row>
        <row r="1941">
          <cell r="I1941">
            <v>7.75174E-2</v>
          </cell>
        </row>
        <row r="1942">
          <cell r="I1942">
            <v>7.7557399999999999E-2</v>
          </cell>
        </row>
        <row r="1943">
          <cell r="I1943">
            <v>7.7597399999999997E-2</v>
          </cell>
        </row>
        <row r="1944">
          <cell r="I1944">
            <v>7.7637399999999995E-2</v>
          </cell>
        </row>
        <row r="1945">
          <cell r="I1945">
            <v>7.7677399999999994E-2</v>
          </cell>
        </row>
        <row r="1946">
          <cell r="I1946">
            <v>7.7717400000000006E-2</v>
          </cell>
        </row>
        <row r="1947">
          <cell r="I1947">
            <v>7.7757400000000004E-2</v>
          </cell>
        </row>
        <row r="1948">
          <cell r="I1948">
            <v>7.7797400000000003E-2</v>
          </cell>
        </row>
        <row r="1949">
          <cell r="I1949">
            <v>7.7837400000000001E-2</v>
          </cell>
        </row>
        <row r="1950">
          <cell r="I1950">
            <v>7.7877399999999999E-2</v>
          </cell>
        </row>
        <row r="1951">
          <cell r="I1951">
            <v>7.7917399999999998E-2</v>
          </cell>
        </row>
        <row r="1952">
          <cell r="I1952">
            <v>7.7957399999999996E-2</v>
          </cell>
        </row>
        <row r="1953">
          <cell r="I1953">
            <v>7.7997399999999995E-2</v>
          </cell>
        </row>
        <row r="1954">
          <cell r="I1954">
            <v>7.8037400000000007E-2</v>
          </cell>
        </row>
        <row r="1955">
          <cell r="I1955">
            <v>7.8077400000000005E-2</v>
          </cell>
        </row>
        <row r="1956">
          <cell r="I1956">
            <v>7.8117400000000004E-2</v>
          </cell>
        </row>
        <row r="1957">
          <cell r="I1957">
            <v>7.8157400000000002E-2</v>
          </cell>
        </row>
        <row r="1958">
          <cell r="I1958">
            <v>7.81974E-2</v>
          </cell>
        </row>
        <row r="1959">
          <cell r="I1959">
            <v>7.8237399999999999E-2</v>
          </cell>
        </row>
        <row r="1960">
          <cell r="I1960">
            <v>7.8277399999999997E-2</v>
          </cell>
        </row>
        <row r="1961">
          <cell r="I1961">
            <v>7.8317399999999995E-2</v>
          </cell>
        </row>
        <row r="1962">
          <cell r="I1962">
            <v>7.8357399999999994E-2</v>
          </cell>
        </row>
        <row r="1963">
          <cell r="I1963">
            <v>7.8397400000000006E-2</v>
          </cell>
        </row>
        <row r="1964">
          <cell r="I1964">
            <v>7.8437400000000004E-2</v>
          </cell>
        </row>
        <row r="1965">
          <cell r="I1965">
            <v>7.8477400000000003E-2</v>
          </cell>
        </row>
        <row r="1966">
          <cell r="I1966">
            <v>7.8517400000000001E-2</v>
          </cell>
        </row>
        <row r="1967">
          <cell r="I1967">
            <v>7.8557399999999999E-2</v>
          </cell>
        </row>
        <row r="1968">
          <cell r="I1968">
            <v>7.8597399999999998E-2</v>
          </cell>
        </row>
        <row r="1969">
          <cell r="I1969">
            <v>7.8637399999999996E-2</v>
          </cell>
        </row>
        <row r="1970">
          <cell r="I1970">
            <v>7.8677399999999995E-2</v>
          </cell>
        </row>
        <row r="1971">
          <cell r="I1971">
            <v>7.8717400000000007E-2</v>
          </cell>
        </row>
        <row r="1972">
          <cell r="I1972">
            <v>7.8757400000000005E-2</v>
          </cell>
        </row>
        <row r="1973">
          <cell r="I1973">
            <v>7.8797400000000004E-2</v>
          </cell>
        </row>
        <row r="1974">
          <cell r="I1974">
            <v>7.8837400000000002E-2</v>
          </cell>
        </row>
        <row r="1975">
          <cell r="I1975">
            <v>7.88774E-2</v>
          </cell>
        </row>
        <row r="1976">
          <cell r="I1976">
            <v>7.8917399999999999E-2</v>
          </cell>
        </row>
        <row r="1977">
          <cell r="I1977">
            <v>7.8957399999999997E-2</v>
          </cell>
        </row>
        <row r="1978">
          <cell r="I1978">
            <v>7.8997399999999995E-2</v>
          </cell>
        </row>
        <row r="1979">
          <cell r="I1979">
            <v>7.9037399999999994E-2</v>
          </cell>
        </row>
        <row r="1980">
          <cell r="I1980">
            <v>7.9077400000000006E-2</v>
          </cell>
        </row>
        <row r="1981">
          <cell r="I1981">
            <v>7.9117400000000004E-2</v>
          </cell>
        </row>
        <row r="1982">
          <cell r="I1982">
            <v>7.9157400000000003E-2</v>
          </cell>
        </row>
        <row r="1983">
          <cell r="I1983">
            <v>7.9197400000000001E-2</v>
          </cell>
        </row>
        <row r="1984">
          <cell r="I1984">
            <v>7.92374E-2</v>
          </cell>
        </row>
        <row r="1985">
          <cell r="I1985">
            <v>7.9277399999999998E-2</v>
          </cell>
        </row>
        <row r="1986">
          <cell r="I1986">
            <v>7.9317399999999996E-2</v>
          </cell>
        </row>
        <row r="1987">
          <cell r="I1987">
            <v>7.9357399999999995E-2</v>
          </cell>
        </row>
        <row r="1988">
          <cell r="I1988">
            <v>7.9397400000000007E-2</v>
          </cell>
        </row>
        <row r="1989">
          <cell r="I1989">
            <v>7.9437400000000005E-2</v>
          </cell>
        </row>
        <row r="1990">
          <cell r="I1990">
            <v>7.9477400000000004E-2</v>
          </cell>
        </row>
        <row r="1991">
          <cell r="I1991">
            <v>7.9517400000000002E-2</v>
          </cell>
        </row>
        <row r="1992">
          <cell r="I1992">
            <v>7.95574E-2</v>
          </cell>
        </row>
        <row r="1993">
          <cell r="I1993">
            <v>7.9597399999999999E-2</v>
          </cell>
        </row>
        <row r="1994">
          <cell r="I1994">
            <v>7.9637399999999997E-2</v>
          </cell>
        </row>
        <row r="1995">
          <cell r="I1995">
            <v>7.9677399999999995E-2</v>
          </cell>
        </row>
        <row r="1996">
          <cell r="I1996">
            <v>7.9717399999999994E-2</v>
          </cell>
        </row>
        <row r="1997">
          <cell r="I1997">
            <v>7.9757400000000006E-2</v>
          </cell>
        </row>
        <row r="1998">
          <cell r="I1998">
            <v>7.9797400000000004E-2</v>
          </cell>
        </row>
        <row r="1999">
          <cell r="I1999">
            <v>7.9837400000000003E-2</v>
          </cell>
        </row>
        <row r="2000">
          <cell r="I2000">
            <v>7.9877400000000001E-2</v>
          </cell>
        </row>
        <row r="2001">
          <cell r="I2001">
            <v>7.99174E-2</v>
          </cell>
        </row>
        <row r="2002">
          <cell r="I2002">
            <v>7.9957399999999998E-2</v>
          </cell>
        </row>
        <row r="2003">
          <cell r="I2003">
            <v>7.9997399999999996E-2</v>
          </cell>
        </row>
        <row r="2004">
          <cell r="I2004">
            <v>8.0037399999999995E-2</v>
          </cell>
        </row>
        <row r="2005">
          <cell r="I2005">
            <v>8.0077400000000007E-2</v>
          </cell>
        </row>
        <row r="2006">
          <cell r="I2006">
            <v>8.0117400000000005E-2</v>
          </cell>
        </row>
        <row r="2007">
          <cell r="I2007">
            <v>8.0157400000000004E-2</v>
          </cell>
        </row>
        <row r="2008">
          <cell r="I2008">
            <v>8.0197400000000002E-2</v>
          </cell>
        </row>
        <row r="2009">
          <cell r="I2009">
            <v>8.02374E-2</v>
          </cell>
        </row>
        <row r="2010">
          <cell r="I2010">
            <v>8.0277399999999999E-2</v>
          </cell>
        </row>
        <row r="2011">
          <cell r="I2011">
            <v>8.0317399999999997E-2</v>
          </cell>
        </row>
        <row r="2012">
          <cell r="I2012">
            <v>8.0357399999999995E-2</v>
          </cell>
        </row>
        <row r="2013">
          <cell r="I2013">
            <v>8.0397399999999994E-2</v>
          </cell>
        </row>
        <row r="2014">
          <cell r="I2014">
            <v>8.0437400000000006E-2</v>
          </cell>
        </row>
        <row r="2015">
          <cell r="I2015">
            <v>8.0477400000000004E-2</v>
          </cell>
        </row>
        <row r="2016">
          <cell r="I2016">
            <v>8.0517400000000003E-2</v>
          </cell>
        </row>
        <row r="2017">
          <cell r="I2017">
            <v>8.0557400000000001E-2</v>
          </cell>
        </row>
        <row r="2018">
          <cell r="I2018">
            <v>8.05974E-2</v>
          </cell>
        </row>
        <row r="2019">
          <cell r="I2019">
            <v>8.0637399999999998E-2</v>
          </cell>
        </row>
        <row r="2020">
          <cell r="I2020">
            <v>8.0677399999999996E-2</v>
          </cell>
        </row>
        <row r="2021">
          <cell r="I2021">
            <v>8.0717399999999995E-2</v>
          </cell>
        </row>
        <row r="2022">
          <cell r="I2022">
            <v>8.0757399999999993E-2</v>
          </cell>
        </row>
        <row r="2023">
          <cell r="I2023">
            <v>8.0797400000000005E-2</v>
          </cell>
        </row>
        <row r="2024">
          <cell r="I2024">
            <v>8.0837400000000004E-2</v>
          </cell>
        </row>
        <row r="2025">
          <cell r="I2025">
            <v>8.0877400000000002E-2</v>
          </cell>
        </row>
        <row r="2026">
          <cell r="I2026">
            <v>8.09174E-2</v>
          </cell>
        </row>
        <row r="2027">
          <cell r="I2027">
            <v>8.0957399999999999E-2</v>
          </cell>
        </row>
        <row r="2028">
          <cell r="I2028">
            <v>8.0997399999999997E-2</v>
          </cell>
        </row>
        <row r="2029">
          <cell r="I2029">
            <v>8.1037399999999996E-2</v>
          </cell>
        </row>
        <row r="2030">
          <cell r="I2030">
            <v>8.1077399999999994E-2</v>
          </cell>
        </row>
        <row r="2031">
          <cell r="I2031">
            <v>8.1117400000000006E-2</v>
          </cell>
        </row>
        <row r="2032">
          <cell r="I2032">
            <v>8.1157400000000005E-2</v>
          </cell>
        </row>
        <row r="2033">
          <cell r="I2033">
            <v>8.1197400000000003E-2</v>
          </cell>
        </row>
        <row r="2034">
          <cell r="I2034">
            <v>8.1237400000000001E-2</v>
          </cell>
        </row>
        <row r="2035">
          <cell r="I2035">
            <v>8.12774E-2</v>
          </cell>
        </row>
        <row r="2036">
          <cell r="I2036">
            <v>8.1317399999999998E-2</v>
          </cell>
        </row>
        <row r="2037">
          <cell r="I2037">
            <v>8.1357399999999996E-2</v>
          </cell>
        </row>
        <row r="2038">
          <cell r="I2038">
            <v>8.1397399999999995E-2</v>
          </cell>
        </row>
        <row r="2039">
          <cell r="I2039">
            <v>8.1437399999999993E-2</v>
          </cell>
        </row>
        <row r="2040">
          <cell r="I2040">
            <v>8.1477400000000005E-2</v>
          </cell>
        </row>
        <row r="2041">
          <cell r="I2041">
            <v>8.1517400000000004E-2</v>
          </cell>
        </row>
        <row r="2042">
          <cell r="I2042">
            <v>8.1557400000000002E-2</v>
          </cell>
        </row>
        <row r="2043">
          <cell r="I2043">
            <v>8.15974E-2</v>
          </cell>
        </row>
        <row r="2044">
          <cell r="I2044">
            <v>8.1637399999999999E-2</v>
          </cell>
        </row>
        <row r="2045">
          <cell r="I2045">
            <v>8.1677399999999997E-2</v>
          </cell>
        </row>
        <row r="2046">
          <cell r="I2046">
            <v>8.1717399999999996E-2</v>
          </cell>
        </row>
        <row r="2047">
          <cell r="I2047">
            <v>8.1757399999999994E-2</v>
          </cell>
        </row>
        <row r="2048">
          <cell r="I2048">
            <v>8.1797400000000006E-2</v>
          </cell>
        </row>
        <row r="2049">
          <cell r="I2049">
            <v>8.1837400000000005E-2</v>
          </cell>
        </row>
        <row r="2050">
          <cell r="I2050">
            <v>8.1877400000000003E-2</v>
          </cell>
        </row>
        <row r="2051">
          <cell r="I2051">
            <v>8.1917400000000001E-2</v>
          </cell>
        </row>
        <row r="2052">
          <cell r="I2052">
            <v>8.19574E-2</v>
          </cell>
        </row>
        <row r="2053">
          <cell r="I2053">
            <v>8.1997399999999998E-2</v>
          </cell>
        </row>
        <row r="2054">
          <cell r="I2054">
            <v>8.2037399999999996E-2</v>
          </cell>
        </row>
        <row r="2055">
          <cell r="I2055">
            <v>8.2077399999999995E-2</v>
          </cell>
        </row>
        <row r="2056">
          <cell r="I2056">
            <v>8.2117399999999993E-2</v>
          </cell>
        </row>
        <row r="2057">
          <cell r="I2057">
            <v>8.2157400000000005E-2</v>
          </cell>
        </row>
        <row r="2058">
          <cell r="I2058">
            <v>8.2197400000000004E-2</v>
          </cell>
        </row>
        <row r="2059">
          <cell r="I2059">
            <v>8.2237400000000002E-2</v>
          </cell>
        </row>
        <row r="2060">
          <cell r="I2060">
            <v>8.2277400000000001E-2</v>
          </cell>
        </row>
        <row r="2061">
          <cell r="I2061">
            <v>8.2317399999999999E-2</v>
          </cell>
        </row>
        <row r="2062">
          <cell r="I2062">
            <v>8.2357399999999997E-2</v>
          </cell>
        </row>
        <row r="2063">
          <cell r="I2063">
            <v>8.2397399999999996E-2</v>
          </cell>
        </row>
        <row r="2064">
          <cell r="I2064">
            <v>8.2437399999999994E-2</v>
          </cell>
        </row>
        <row r="2065">
          <cell r="I2065">
            <v>8.2477400000000006E-2</v>
          </cell>
        </row>
        <row r="2066">
          <cell r="I2066">
            <v>8.2517400000000005E-2</v>
          </cell>
        </row>
        <row r="2067">
          <cell r="I2067">
            <v>8.2557400000000003E-2</v>
          </cell>
        </row>
        <row r="2068">
          <cell r="I2068">
            <v>8.2597400000000001E-2</v>
          </cell>
        </row>
        <row r="2069">
          <cell r="I2069">
            <v>8.26374E-2</v>
          </cell>
        </row>
        <row r="2070">
          <cell r="I2070">
            <v>8.2677399999999998E-2</v>
          </cell>
        </row>
        <row r="2071">
          <cell r="I2071">
            <v>8.2717399999999996E-2</v>
          </cell>
        </row>
        <row r="2072">
          <cell r="I2072">
            <v>8.2757399999999995E-2</v>
          </cell>
        </row>
        <row r="2073">
          <cell r="I2073">
            <v>8.2797399999999993E-2</v>
          </cell>
        </row>
        <row r="2074">
          <cell r="I2074">
            <v>8.2837400000000005E-2</v>
          </cell>
        </row>
        <row r="2075">
          <cell r="I2075">
            <v>8.2877400000000004E-2</v>
          </cell>
        </row>
        <row r="2076">
          <cell r="I2076">
            <v>8.2917400000000002E-2</v>
          </cell>
        </row>
        <row r="2077">
          <cell r="I2077">
            <v>8.2957400000000001E-2</v>
          </cell>
        </row>
        <row r="2078">
          <cell r="I2078">
            <v>8.2997399999999999E-2</v>
          </cell>
        </row>
        <row r="2079">
          <cell r="I2079">
            <v>8.3037399999999997E-2</v>
          </cell>
        </row>
        <row r="2080">
          <cell r="I2080">
            <v>8.3077399999999996E-2</v>
          </cell>
        </row>
        <row r="2081">
          <cell r="I2081">
            <v>8.3117399999999994E-2</v>
          </cell>
        </row>
        <row r="2082">
          <cell r="I2082">
            <v>8.3157400000000006E-2</v>
          </cell>
        </row>
        <row r="2083">
          <cell r="I2083">
            <v>8.3197400000000005E-2</v>
          </cell>
        </row>
        <row r="2084">
          <cell r="I2084">
            <v>8.3237400000000003E-2</v>
          </cell>
        </row>
        <row r="2085">
          <cell r="I2085">
            <v>8.3277400000000001E-2</v>
          </cell>
        </row>
        <row r="2086">
          <cell r="I2086">
            <v>8.33174E-2</v>
          </cell>
        </row>
        <row r="2087">
          <cell r="I2087">
            <v>8.3357399999999998E-2</v>
          </cell>
        </row>
        <row r="2088">
          <cell r="I2088">
            <v>8.3397399999999997E-2</v>
          </cell>
        </row>
        <row r="2089">
          <cell r="I2089">
            <v>8.3437399999999995E-2</v>
          </cell>
        </row>
        <row r="2090">
          <cell r="I2090">
            <v>8.3477399999999993E-2</v>
          </cell>
        </row>
        <row r="2091">
          <cell r="I2091">
            <v>8.3517400000000006E-2</v>
          </cell>
        </row>
        <row r="2092">
          <cell r="I2092">
            <v>8.3557400000000004E-2</v>
          </cell>
        </row>
        <row r="2093">
          <cell r="I2093">
            <v>8.3597400000000002E-2</v>
          </cell>
        </row>
        <row r="2094">
          <cell r="I2094">
            <v>8.3637400000000001E-2</v>
          </cell>
        </row>
        <row r="2095">
          <cell r="I2095">
            <v>8.3677399999999999E-2</v>
          </cell>
        </row>
        <row r="2096">
          <cell r="I2096">
            <v>8.3717399999999997E-2</v>
          </cell>
        </row>
        <row r="2097">
          <cell r="I2097">
            <v>8.3757399999999996E-2</v>
          </cell>
        </row>
        <row r="2098">
          <cell r="I2098">
            <v>8.3797399999999994E-2</v>
          </cell>
        </row>
        <row r="2099">
          <cell r="I2099">
            <v>8.3837400000000006E-2</v>
          </cell>
        </row>
        <row r="2100">
          <cell r="I2100">
            <v>8.3877400000000005E-2</v>
          </cell>
        </row>
        <row r="2101">
          <cell r="I2101">
            <v>8.3917400000000003E-2</v>
          </cell>
        </row>
        <row r="2102">
          <cell r="I2102">
            <v>8.3957400000000001E-2</v>
          </cell>
        </row>
        <row r="2103">
          <cell r="I2103">
            <v>8.39974E-2</v>
          </cell>
        </row>
        <row r="2104">
          <cell r="I2104">
            <v>8.4037399999999998E-2</v>
          </cell>
        </row>
        <row r="2105">
          <cell r="I2105">
            <v>8.4077399999999997E-2</v>
          </cell>
        </row>
        <row r="2106">
          <cell r="I2106">
            <v>8.4117399999999995E-2</v>
          </cell>
        </row>
        <row r="2107">
          <cell r="I2107">
            <v>8.4157399999999993E-2</v>
          </cell>
        </row>
        <row r="2108">
          <cell r="I2108">
            <v>8.4197400000000006E-2</v>
          </cell>
        </row>
        <row r="2109">
          <cell r="I2109">
            <v>8.4237400000000004E-2</v>
          </cell>
        </row>
        <row r="2110">
          <cell r="I2110">
            <v>8.4277400000000002E-2</v>
          </cell>
        </row>
        <row r="2111">
          <cell r="I2111">
            <v>8.4317400000000001E-2</v>
          </cell>
        </row>
        <row r="2112">
          <cell r="I2112">
            <v>8.4357399999999999E-2</v>
          </cell>
        </row>
        <row r="2113">
          <cell r="I2113">
            <v>8.4397399999999997E-2</v>
          </cell>
        </row>
        <row r="2114">
          <cell r="I2114">
            <v>8.4437399999999996E-2</v>
          </cell>
        </row>
        <row r="2115">
          <cell r="I2115">
            <v>8.4477399999999994E-2</v>
          </cell>
        </row>
        <row r="2116">
          <cell r="I2116">
            <v>8.4517400000000006E-2</v>
          </cell>
        </row>
        <row r="2117">
          <cell r="I2117">
            <v>8.4557400000000005E-2</v>
          </cell>
        </row>
        <row r="2118">
          <cell r="I2118">
            <v>8.4597400000000003E-2</v>
          </cell>
        </row>
        <row r="2119">
          <cell r="I2119">
            <v>8.4637400000000002E-2</v>
          </cell>
        </row>
        <row r="2120">
          <cell r="I2120">
            <v>8.46774E-2</v>
          </cell>
        </row>
        <row r="2121">
          <cell r="I2121">
            <v>8.4717399999999998E-2</v>
          </cell>
        </row>
        <row r="2122">
          <cell r="I2122">
            <v>8.4757399999999997E-2</v>
          </cell>
        </row>
        <row r="2123">
          <cell r="I2123">
            <v>8.4797399999999995E-2</v>
          </cell>
        </row>
        <row r="2124">
          <cell r="I2124">
            <v>8.4837399999999993E-2</v>
          </cell>
        </row>
        <row r="2125">
          <cell r="I2125">
            <v>8.4877400000000006E-2</v>
          </cell>
        </row>
        <row r="2126">
          <cell r="I2126">
            <v>8.4917400000000004E-2</v>
          </cell>
        </row>
        <row r="2127">
          <cell r="I2127">
            <v>8.4957400000000002E-2</v>
          </cell>
        </row>
        <row r="2128">
          <cell r="I2128">
            <v>8.4997400000000001E-2</v>
          </cell>
        </row>
        <row r="2129">
          <cell r="I2129">
            <v>8.5037399999999999E-2</v>
          </cell>
        </row>
        <row r="2130">
          <cell r="I2130">
            <v>8.5077399999999997E-2</v>
          </cell>
        </row>
        <row r="2131">
          <cell r="I2131">
            <v>8.5117399999999996E-2</v>
          </cell>
        </row>
        <row r="2132">
          <cell r="I2132">
            <v>8.5157399999999994E-2</v>
          </cell>
        </row>
        <row r="2133">
          <cell r="I2133">
            <v>8.5197400000000006E-2</v>
          </cell>
        </row>
        <row r="2134">
          <cell r="I2134">
            <v>8.5237400000000005E-2</v>
          </cell>
        </row>
        <row r="2135">
          <cell r="I2135">
            <v>8.5277400000000003E-2</v>
          </cell>
        </row>
        <row r="2136">
          <cell r="I2136">
            <v>8.5317400000000002E-2</v>
          </cell>
        </row>
        <row r="2137">
          <cell r="I2137">
            <v>8.53574E-2</v>
          </cell>
        </row>
        <row r="2138">
          <cell r="I2138">
            <v>8.5397399999999998E-2</v>
          </cell>
        </row>
        <row r="2139">
          <cell r="I2139">
            <v>8.5437399999999997E-2</v>
          </cell>
        </row>
        <row r="2140">
          <cell r="I2140">
            <v>8.5477399999999995E-2</v>
          </cell>
        </row>
        <row r="2141">
          <cell r="I2141">
            <v>8.5517399999999993E-2</v>
          </cell>
        </row>
        <row r="2142">
          <cell r="I2142">
            <v>8.5557400000000006E-2</v>
          </cell>
        </row>
        <row r="2143">
          <cell r="I2143">
            <v>8.5597400000000004E-2</v>
          </cell>
        </row>
        <row r="2144">
          <cell r="I2144">
            <v>8.5637400000000002E-2</v>
          </cell>
        </row>
        <row r="2145">
          <cell r="I2145">
            <v>8.5677400000000001E-2</v>
          </cell>
        </row>
        <row r="2146">
          <cell r="I2146">
            <v>8.5717399999999999E-2</v>
          </cell>
        </row>
        <row r="2147">
          <cell r="I2147">
            <v>8.5757399999999998E-2</v>
          </cell>
        </row>
        <row r="2148">
          <cell r="I2148">
            <v>8.5797399999999996E-2</v>
          </cell>
        </row>
        <row r="2149">
          <cell r="I2149">
            <v>8.5837399999999994E-2</v>
          </cell>
        </row>
        <row r="2150">
          <cell r="I2150">
            <v>8.5877400000000007E-2</v>
          </cell>
        </row>
        <row r="2151">
          <cell r="I2151">
            <v>8.5917400000000005E-2</v>
          </cell>
        </row>
        <row r="2152">
          <cell r="I2152">
            <v>8.5957400000000003E-2</v>
          </cell>
        </row>
        <row r="2153">
          <cell r="I2153">
            <v>8.5997400000000002E-2</v>
          </cell>
        </row>
        <row r="2154">
          <cell r="I2154">
            <v>8.60374E-2</v>
          </cell>
        </row>
        <row r="2155">
          <cell r="I2155">
            <v>8.6077399999999998E-2</v>
          </cell>
        </row>
        <row r="2156">
          <cell r="I2156">
            <v>8.6117399999999997E-2</v>
          </cell>
        </row>
        <row r="2157">
          <cell r="I2157">
            <v>8.6157399999999995E-2</v>
          </cell>
        </row>
        <row r="2158">
          <cell r="I2158">
            <v>8.6197399999999993E-2</v>
          </cell>
        </row>
        <row r="2159">
          <cell r="I2159">
            <v>8.6237400000000006E-2</v>
          </cell>
        </row>
        <row r="2160">
          <cell r="I2160">
            <v>8.6277400000000004E-2</v>
          </cell>
        </row>
        <row r="2161">
          <cell r="I2161">
            <v>8.6317400000000002E-2</v>
          </cell>
        </row>
        <row r="2162">
          <cell r="I2162">
            <v>8.6357400000000001E-2</v>
          </cell>
        </row>
        <row r="2163">
          <cell r="I2163">
            <v>8.6397399999999999E-2</v>
          </cell>
        </row>
        <row r="2164">
          <cell r="I2164">
            <v>8.6437399999999998E-2</v>
          </cell>
        </row>
        <row r="2165">
          <cell r="I2165">
            <v>8.6477399999999996E-2</v>
          </cell>
        </row>
        <row r="2166">
          <cell r="I2166">
            <v>8.6517399999999994E-2</v>
          </cell>
        </row>
        <row r="2167">
          <cell r="I2167">
            <v>8.6557400000000007E-2</v>
          </cell>
        </row>
        <row r="2168">
          <cell r="I2168">
            <v>8.6597400000000005E-2</v>
          </cell>
        </row>
        <row r="2169">
          <cell r="I2169">
            <v>8.6637400000000003E-2</v>
          </cell>
        </row>
        <row r="2170">
          <cell r="I2170">
            <v>8.6677400000000002E-2</v>
          </cell>
        </row>
        <row r="2171">
          <cell r="I2171">
            <v>8.67174E-2</v>
          </cell>
        </row>
        <row r="2172">
          <cell r="I2172">
            <v>8.6757399999999998E-2</v>
          </cell>
        </row>
        <row r="2173">
          <cell r="I2173">
            <v>8.6797399999999997E-2</v>
          </cell>
        </row>
        <row r="2174">
          <cell r="I2174">
            <v>8.6837399999999995E-2</v>
          </cell>
        </row>
        <row r="2175">
          <cell r="I2175">
            <v>8.6877399999999994E-2</v>
          </cell>
        </row>
        <row r="2176">
          <cell r="I2176">
            <v>8.6917400000000006E-2</v>
          </cell>
        </row>
        <row r="2177">
          <cell r="I2177">
            <v>8.6957400000000004E-2</v>
          </cell>
        </row>
        <row r="2178">
          <cell r="I2178">
            <v>8.6997400000000003E-2</v>
          </cell>
        </row>
        <row r="2179">
          <cell r="I2179">
            <v>8.7037400000000001E-2</v>
          </cell>
        </row>
        <row r="2180">
          <cell r="I2180">
            <v>8.7077399999999999E-2</v>
          </cell>
        </row>
        <row r="2181">
          <cell r="I2181">
            <v>8.7117399999999998E-2</v>
          </cell>
        </row>
        <row r="2182">
          <cell r="I2182">
            <v>8.7157399999999996E-2</v>
          </cell>
        </row>
        <row r="2183">
          <cell r="I2183">
            <v>8.7197399999999994E-2</v>
          </cell>
        </row>
        <row r="2184">
          <cell r="I2184">
            <v>8.7237400000000007E-2</v>
          </cell>
        </row>
        <row r="2185">
          <cell r="I2185">
            <v>8.7277400000000005E-2</v>
          </cell>
        </row>
        <row r="2186">
          <cell r="I2186">
            <v>8.7317400000000003E-2</v>
          </cell>
        </row>
        <row r="2187">
          <cell r="I2187">
            <v>8.7357400000000002E-2</v>
          </cell>
        </row>
        <row r="2188">
          <cell r="I2188">
            <v>8.73974E-2</v>
          </cell>
        </row>
        <row r="2189">
          <cell r="I2189">
            <v>8.7437399999999998E-2</v>
          </cell>
        </row>
        <row r="2190">
          <cell r="I2190">
            <v>8.7477399999999997E-2</v>
          </cell>
        </row>
        <row r="2191">
          <cell r="I2191">
            <v>8.7517399999999995E-2</v>
          </cell>
        </row>
        <row r="2192">
          <cell r="I2192">
            <v>8.7557399999999994E-2</v>
          </cell>
        </row>
        <row r="2193">
          <cell r="I2193">
            <v>8.7597400000000006E-2</v>
          </cell>
        </row>
        <row r="2194">
          <cell r="I2194">
            <v>8.7637400000000004E-2</v>
          </cell>
        </row>
        <row r="2195">
          <cell r="I2195">
            <v>8.7677400000000003E-2</v>
          </cell>
        </row>
        <row r="2196">
          <cell r="I2196">
            <v>8.7717400000000001E-2</v>
          </cell>
        </row>
        <row r="2197">
          <cell r="I2197">
            <v>8.7757399999999999E-2</v>
          </cell>
        </row>
        <row r="2198">
          <cell r="I2198">
            <v>8.7797399999999998E-2</v>
          </cell>
        </row>
        <row r="2199">
          <cell r="I2199">
            <v>8.7837399999999996E-2</v>
          </cell>
        </row>
        <row r="2200">
          <cell r="I2200">
            <v>8.7877399999999994E-2</v>
          </cell>
        </row>
        <row r="2201">
          <cell r="I2201">
            <v>8.7917400000000007E-2</v>
          </cell>
        </row>
        <row r="2202">
          <cell r="I2202">
            <v>8.7957400000000005E-2</v>
          </cell>
        </row>
        <row r="2203">
          <cell r="I2203">
            <v>8.7997400000000003E-2</v>
          </cell>
        </row>
        <row r="2204">
          <cell r="I2204">
            <v>8.8037400000000002E-2</v>
          </cell>
        </row>
        <row r="2205">
          <cell r="I2205">
            <v>8.80774E-2</v>
          </cell>
        </row>
        <row r="2206">
          <cell r="I2206">
            <v>8.8117399999999999E-2</v>
          </cell>
        </row>
        <row r="2207">
          <cell r="I2207">
            <v>8.8157399999999997E-2</v>
          </cell>
        </row>
        <row r="2208">
          <cell r="I2208">
            <v>8.8197399999999995E-2</v>
          </cell>
        </row>
        <row r="2209">
          <cell r="I2209">
            <v>8.8237399999999994E-2</v>
          </cell>
        </row>
        <row r="2210">
          <cell r="I2210">
            <v>8.8277400000000006E-2</v>
          </cell>
        </row>
        <row r="2211">
          <cell r="I2211">
            <v>8.8317400000000004E-2</v>
          </cell>
        </row>
        <row r="2212">
          <cell r="I2212">
            <v>8.8357400000000003E-2</v>
          </cell>
        </row>
        <row r="2213">
          <cell r="I2213">
            <v>8.8397400000000001E-2</v>
          </cell>
        </row>
        <row r="2214">
          <cell r="I2214">
            <v>8.8437399999999999E-2</v>
          </cell>
        </row>
        <row r="2215">
          <cell r="I2215">
            <v>8.8477399999999998E-2</v>
          </cell>
        </row>
        <row r="2216">
          <cell r="I2216">
            <v>8.8517399999999996E-2</v>
          </cell>
        </row>
        <row r="2217">
          <cell r="I2217">
            <v>8.8557399999999994E-2</v>
          </cell>
        </row>
        <row r="2218">
          <cell r="I2218">
            <v>8.8597400000000007E-2</v>
          </cell>
        </row>
        <row r="2219">
          <cell r="I2219">
            <v>8.8637400000000005E-2</v>
          </cell>
        </row>
        <row r="2220">
          <cell r="I2220">
            <v>8.8677400000000003E-2</v>
          </cell>
        </row>
        <row r="2221">
          <cell r="I2221">
            <v>8.8717400000000002E-2</v>
          </cell>
        </row>
        <row r="2222">
          <cell r="I2222">
            <v>8.87574E-2</v>
          </cell>
        </row>
        <row r="2223">
          <cell r="I2223">
            <v>8.8797399999999999E-2</v>
          </cell>
        </row>
        <row r="2224">
          <cell r="I2224">
            <v>8.8837399999999997E-2</v>
          </cell>
        </row>
        <row r="2225">
          <cell r="I2225">
            <v>8.8877399999999995E-2</v>
          </cell>
        </row>
        <row r="2226">
          <cell r="I2226">
            <v>8.8917399999999994E-2</v>
          </cell>
        </row>
        <row r="2227">
          <cell r="I2227">
            <v>8.8957400000000006E-2</v>
          </cell>
        </row>
        <row r="2228">
          <cell r="I2228">
            <v>8.8997400000000004E-2</v>
          </cell>
        </row>
        <row r="2229">
          <cell r="I2229">
            <v>8.9037400000000003E-2</v>
          </cell>
        </row>
        <row r="2230">
          <cell r="I2230">
            <v>8.9077400000000001E-2</v>
          </cell>
        </row>
        <row r="2231">
          <cell r="I2231">
            <v>8.9117399999999999E-2</v>
          </cell>
        </row>
        <row r="2232">
          <cell r="I2232">
            <v>8.9157399999999998E-2</v>
          </cell>
        </row>
        <row r="2233">
          <cell r="I2233">
            <v>8.9197399999999996E-2</v>
          </cell>
        </row>
        <row r="2234">
          <cell r="I2234">
            <v>8.9237399999999995E-2</v>
          </cell>
        </row>
        <row r="2235">
          <cell r="I2235">
            <v>8.9277400000000007E-2</v>
          </cell>
        </row>
        <row r="2236">
          <cell r="I2236">
            <v>8.9317400000000005E-2</v>
          </cell>
        </row>
        <row r="2237">
          <cell r="I2237">
            <v>8.9357400000000003E-2</v>
          </cell>
        </row>
        <row r="2238">
          <cell r="I2238">
            <v>8.9397400000000002E-2</v>
          </cell>
        </row>
        <row r="2239">
          <cell r="I2239">
            <v>8.94374E-2</v>
          </cell>
        </row>
        <row r="2240">
          <cell r="I2240">
            <v>8.9477399999999999E-2</v>
          </cell>
        </row>
        <row r="2241">
          <cell r="I2241">
            <v>8.9517399999999997E-2</v>
          </cell>
        </row>
        <row r="2242">
          <cell r="I2242">
            <v>8.9557399999999995E-2</v>
          </cell>
        </row>
        <row r="2243">
          <cell r="I2243">
            <v>8.9597399999999994E-2</v>
          </cell>
        </row>
        <row r="2244">
          <cell r="I2244">
            <v>8.9637400000000006E-2</v>
          </cell>
        </row>
        <row r="2245">
          <cell r="I2245">
            <v>8.9677400000000004E-2</v>
          </cell>
        </row>
        <row r="2246">
          <cell r="I2246">
            <v>8.9717400000000003E-2</v>
          </cell>
        </row>
        <row r="2247">
          <cell r="I2247">
            <v>8.9757400000000001E-2</v>
          </cell>
        </row>
        <row r="2248">
          <cell r="I2248">
            <v>8.9797399999999999E-2</v>
          </cell>
        </row>
        <row r="2249">
          <cell r="I2249">
            <v>8.9837399999999998E-2</v>
          </cell>
        </row>
        <row r="2250">
          <cell r="I2250">
            <v>8.9877399999999996E-2</v>
          </cell>
        </row>
        <row r="2251">
          <cell r="I2251">
            <v>8.9917399999999995E-2</v>
          </cell>
        </row>
        <row r="2252">
          <cell r="I2252">
            <v>8.9957400000000007E-2</v>
          </cell>
        </row>
        <row r="2253">
          <cell r="I2253">
            <v>8.9997400000000005E-2</v>
          </cell>
        </row>
        <row r="2254">
          <cell r="I2254">
            <v>9.0037400000000004E-2</v>
          </cell>
        </row>
        <row r="2255">
          <cell r="I2255">
            <v>9.0077400000000002E-2</v>
          </cell>
        </row>
        <row r="2256">
          <cell r="I2256">
            <v>9.01174E-2</v>
          </cell>
        </row>
        <row r="2257">
          <cell r="I2257">
            <v>9.0157399999999999E-2</v>
          </cell>
        </row>
        <row r="2258">
          <cell r="I2258">
            <v>9.0197399999999997E-2</v>
          </cell>
        </row>
        <row r="2259">
          <cell r="I2259">
            <v>9.0237399999999995E-2</v>
          </cell>
        </row>
        <row r="2260">
          <cell r="I2260">
            <v>9.0277399999999994E-2</v>
          </cell>
        </row>
        <row r="2261">
          <cell r="I2261">
            <v>9.0317400000000006E-2</v>
          </cell>
        </row>
        <row r="2262">
          <cell r="I2262">
            <v>9.0357400000000004E-2</v>
          </cell>
        </row>
        <row r="2263">
          <cell r="I2263">
            <v>9.0397400000000003E-2</v>
          </cell>
        </row>
        <row r="2264">
          <cell r="I2264">
            <v>9.0437400000000001E-2</v>
          </cell>
        </row>
        <row r="2265">
          <cell r="I2265">
            <v>9.0477399999999999E-2</v>
          </cell>
        </row>
        <row r="2266">
          <cell r="I2266">
            <v>9.0517399999999998E-2</v>
          </cell>
        </row>
        <row r="2267">
          <cell r="I2267">
            <v>9.0557399999999996E-2</v>
          </cell>
        </row>
        <row r="2268">
          <cell r="I2268">
            <v>9.0597399999999995E-2</v>
          </cell>
        </row>
        <row r="2269">
          <cell r="I2269">
            <v>9.0637400000000007E-2</v>
          </cell>
        </row>
        <row r="2270">
          <cell r="I2270">
            <v>9.0677400000000005E-2</v>
          </cell>
        </row>
        <row r="2271">
          <cell r="I2271">
            <v>9.0717400000000004E-2</v>
          </cell>
        </row>
        <row r="2272">
          <cell r="I2272">
            <v>9.0757400000000002E-2</v>
          </cell>
        </row>
        <row r="2273">
          <cell r="I2273">
            <v>9.07974E-2</v>
          </cell>
        </row>
        <row r="2274">
          <cell r="I2274">
            <v>9.0837399999999999E-2</v>
          </cell>
        </row>
        <row r="2275">
          <cell r="I2275">
            <v>9.0877399999999997E-2</v>
          </cell>
        </row>
        <row r="2276">
          <cell r="I2276">
            <v>9.0917399999999995E-2</v>
          </cell>
        </row>
        <row r="2277">
          <cell r="I2277">
            <v>9.0957399999999994E-2</v>
          </cell>
        </row>
        <row r="2278">
          <cell r="I2278">
            <v>9.0997400000000006E-2</v>
          </cell>
        </row>
        <row r="2279">
          <cell r="I2279">
            <v>9.1037400000000004E-2</v>
          </cell>
        </row>
        <row r="2280">
          <cell r="I2280">
            <v>9.1077400000000003E-2</v>
          </cell>
        </row>
        <row r="2281">
          <cell r="I2281">
            <v>9.1117400000000001E-2</v>
          </cell>
        </row>
        <row r="2282">
          <cell r="I2282">
            <v>9.11574E-2</v>
          </cell>
        </row>
        <row r="2283">
          <cell r="I2283">
            <v>9.1197399999999998E-2</v>
          </cell>
        </row>
        <row r="2284">
          <cell r="I2284">
            <v>9.1237399999999996E-2</v>
          </cell>
        </row>
        <row r="2285">
          <cell r="I2285">
            <v>9.1277399999999995E-2</v>
          </cell>
        </row>
        <row r="2286">
          <cell r="I2286">
            <v>9.1317400000000007E-2</v>
          </cell>
        </row>
        <row r="2287">
          <cell r="I2287">
            <v>9.1357400000000005E-2</v>
          </cell>
        </row>
        <row r="2288">
          <cell r="I2288">
            <v>9.1397400000000004E-2</v>
          </cell>
        </row>
        <row r="2289">
          <cell r="I2289">
            <v>9.1437400000000002E-2</v>
          </cell>
        </row>
        <row r="2290">
          <cell r="I2290">
            <v>9.14774E-2</v>
          </cell>
        </row>
        <row r="2291">
          <cell r="I2291">
            <v>9.1517399999999999E-2</v>
          </cell>
        </row>
        <row r="2292">
          <cell r="I2292">
            <v>9.1557399999999997E-2</v>
          </cell>
        </row>
        <row r="2293">
          <cell r="I2293">
            <v>9.1597399999999995E-2</v>
          </cell>
        </row>
        <row r="2294">
          <cell r="I2294">
            <v>9.1637399999999994E-2</v>
          </cell>
        </row>
        <row r="2295">
          <cell r="I2295">
            <v>9.1677400000000006E-2</v>
          </cell>
        </row>
        <row r="2296">
          <cell r="I2296">
            <v>9.1717400000000004E-2</v>
          </cell>
        </row>
        <row r="2297">
          <cell r="I2297">
            <v>9.1757400000000003E-2</v>
          </cell>
        </row>
        <row r="2298">
          <cell r="I2298">
            <v>9.1797400000000001E-2</v>
          </cell>
        </row>
        <row r="2299">
          <cell r="I2299">
            <v>9.18374E-2</v>
          </cell>
        </row>
        <row r="2300">
          <cell r="I2300">
            <v>9.1877399999999998E-2</v>
          </cell>
        </row>
        <row r="2301">
          <cell r="I2301">
            <v>9.1917399999999996E-2</v>
          </cell>
        </row>
        <row r="2302">
          <cell r="I2302">
            <v>9.1957399999999995E-2</v>
          </cell>
        </row>
        <row r="2303">
          <cell r="I2303">
            <v>9.1997399999999993E-2</v>
          </cell>
        </row>
        <row r="2304">
          <cell r="I2304">
            <v>9.2037400000000005E-2</v>
          </cell>
        </row>
        <row r="2305">
          <cell r="I2305">
            <v>9.2077400000000004E-2</v>
          </cell>
        </row>
        <row r="2306">
          <cell r="I2306">
            <v>9.2117400000000002E-2</v>
          </cell>
        </row>
        <row r="2307">
          <cell r="I2307">
            <v>9.21574E-2</v>
          </cell>
        </row>
        <row r="2308">
          <cell r="I2308">
            <v>9.2197399999999999E-2</v>
          </cell>
        </row>
        <row r="2309">
          <cell r="I2309">
            <v>9.2237399999999997E-2</v>
          </cell>
        </row>
        <row r="2310">
          <cell r="I2310">
            <v>9.2277399999999996E-2</v>
          </cell>
        </row>
        <row r="2311">
          <cell r="I2311">
            <v>9.2317399999999994E-2</v>
          </cell>
        </row>
        <row r="2312">
          <cell r="I2312">
            <v>9.2357400000000006E-2</v>
          </cell>
        </row>
        <row r="2313">
          <cell r="I2313">
            <v>9.2397400000000005E-2</v>
          </cell>
        </row>
        <row r="2314">
          <cell r="I2314">
            <v>9.2437400000000003E-2</v>
          </cell>
        </row>
        <row r="2315">
          <cell r="I2315">
            <v>9.2477400000000001E-2</v>
          </cell>
        </row>
        <row r="2316">
          <cell r="I2316">
            <v>9.25174E-2</v>
          </cell>
        </row>
        <row r="2317">
          <cell r="I2317">
            <v>9.2557399999999998E-2</v>
          </cell>
        </row>
        <row r="2318">
          <cell r="I2318">
            <v>9.2597399999999996E-2</v>
          </cell>
        </row>
        <row r="2319">
          <cell r="I2319">
            <v>9.2637399999999995E-2</v>
          </cell>
        </row>
        <row r="2320">
          <cell r="I2320">
            <v>9.2677399999999993E-2</v>
          </cell>
        </row>
        <row r="2321">
          <cell r="I2321">
            <v>9.2717400000000005E-2</v>
          </cell>
        </row>
        <row r="2322">
          <cell r="I2322">
            <v>9.2757400000000004E-2</v>
          </cell>
        </row>
        <row r="2323">
          <cell r="I2323">
            <v>9.2797400000000002E-2</v>
          </cell>
        </row>
        <row r="2324">
          <cell r="I2324">
            <v>9.28374E-2</v>
          </cell>
        </row>
        <row r="2325">
          <cell r="I2325">
            <v>9.2877399999999999E-2</v>
          </cell>
        </row>
        <row r="2326">
          <cell r="I2326">
            <v>9.2917399999999997E-2</v>
          </cell>
        </row>
        <row r="2327">
          <cell r="I2327">
            <v>9.2957399999999996E-2</v>
          </cell>
        </row>
        <row r="2328">
          <cell r="I2328">
            <v>9.2997399999999994E-2</v>
          </cell>
        </row>
        <row r="2329">
          <cell r="I2329">
            <v>9.3037400000000006E-2</v>
          </cell>
        </row>
        <row r="2330">
          <cell r="I2330">
            <v>9.3077400000000005E-2</v>
          </cell>
        </row>
        <row r="2331">
          <cell r="I2331">
            <v>9.3117400000000003E-2</v>
          </cell>
        </row>
        <row r="2332">
          <cell r="I2332">
            <v>9.3157400000000001E-2</v>
          </cell>
        </row>
        <row r="2333">
          <cell r="I2333">
            <v>9.31974E-2</v>
          </cell>
        </row>
        <row r="2334">
          <cell r="I2334">
            <v>9.3237399999999998E-2</v>
          </cell>
        </row>
        <row r="2335">
          <cell r="I2335">
            <v>9.3277399999999996E-2</v>
          </cell>
        </row>
        <row r="2336">
          <cell r="I2336">
            <v>9.3317399999999995E-2</v>
          </cell>
        </row>
        <row r="2337">
          <cell r="I2337">
            <v>9.3357399999999993E-2</v>
          </cell>
        </row>
        <row r="2338">
          <cell r="I2338">
            <v>9.3397400000000005E-2</v>
          </cell>
        </row>
        <row r="2339">
          <cell r="I2339">
            <v>9.3437400000000004E-2</v>
          </cell>
        </row>
        <row r="2340">
          <cell r="I2340">
            <v>9.3477400000000002E-2</v>
          </cell>
        </row>
        <row r="2341">
          <cell r="I2341">
            <v>9.3517400000000001E-2</v>
          </cell>
        </row>
        <row r="2342">
          <cell r="I2342">
            <v>9.3557399999999999E-2</v>
          </cell>
        </row>
        <row r="2343">
          <cell r="I2343">
            <v>9.3597399999999997E-2</v>
          </cell>
        </row>
        <row r="2344">
          <cell r="I2344">
            <v>9.3637399999999996E-2</v>
          </cell>
        </row>
        <row r="2345">
          <cell r="I2345">
            <v>9.3677399999999994E-2</v>
          </cell>
        </row>
        <row r="2346">
          <cell r="I2346">
            <v>9.3717400000000006E-2</v>
          </cell>
        </row>
        <row r="2347">
          <cell r="I2347">
            <v>9.3757400000000005E-2</v>
          </cell>
        </row>
        <row r="2348">
          <cell r="I2348">
            <v>9.3797400000000003E-2</v>
          </cell>
        </row>
        <row r="2349">
          <cell r="I2349">
            <v>9.3837400000000001E-2</v>
          </cell>
        </row>
        <row r="2350">
          <cell r="I2350">
            <v>9.38774E-2</v>
          </cell>
        </row>
        <row r="2351">
          <cell r="I2351">
            <v>9.3917399999999998E-2</v>
          </cell>
        </row>
        <row r="2352">
          <cell r="I2352">
            <v>9.3957399999999996E-2</v>
          </cell>
        </row>
        <row r="2353">
          <cell r="I2353">
            <v>9.3997399999999995E-2</v>
          </cell>
        </row>
        <row r="2354">
          <cell r="I2354">
            <v>9.4037399999999993E-2</v>
          </cell>
        </row>
        <row r="2355">
          <cell r="I2355">
            <v>9.4077400000000005E-2</v>
          </cell>
        </row>
        <row r="2356">
          <cell r="I2356">
            <v>9.4117400000000004E-2</v>
          </cell>
        </row>
        <row r="2357">
          <cell r="I2357">
            <v>9.4157400000000002E-2</v>
          </cell>
        </row>
        <row r="2358">
          <cell r="I2358">
            <v>9.4197400000000001E-2</v>
          </cell>
        </row>
        <row r="2359">
          <cell r="I2359">
            <v>9.4237399999999999E-2</v>
          </cell>
        </row>
        <row r="2360">
          <cell r="I2360">
            <v>9.4277399999999997E-2</v>
          </cell>
        </row>
        <row r="2361">
          <cell r="I2361">
            <v>9.4317399999999996E-2</v>
          </cell>
        </row>
        <row r="2362">
          <cell r="I2362">
            <v>9.4357399999999994E-2</v>
          </cell>
        </row>
        <row r="2363">
          <cell r="I2363">
            <v>9.4397400000000006E-2</v>
          </cell>
        </row>
        <row r="2364">
          <cell r="I2364">
            <v>9.4437400000000005E-2</v>
          </cell>
        </row>
        <row r="2365">
          <cell r="I2365">
            <v>9.4477400000000003E-2</v>
          </cell>
        </row>
        <row r="2366">
          <cell r="I2366">
            <v>9.4517400000000001E-2</v>
          </cell>
        </row>
        <row r="2367">
          <cell r="I2367">
            <v>9.45574E-2</v>
          </cell>
        </row>
        <row r="2368">
          <cell r="I2368">
            <v>9.4597399999999998E-2</v>
          </cell>
        </row>
        <row r="2369">
          <cell r="I2369">
            <v>9.4637399999999997E-2</v>
          </cell>
        </row>
        <row r="2370">
          <cell r="I2370">
            <v>9.4677399999999995E-2</v>
          </cell>
        </row>
        <row r="2371">
          <cell r="I2371">
            <v>9.4717399999999993E-2</v>
          </cell>
        </row>
        <row r="2372">
          <cell r="I2372">
            <v>9.4757400000000006E-2</v>
          </cell>
        </row>
        <row r="2373">
          <cell r="I2373">
            <v>9.4797400000000004E-2</v>
          </cell>
        </row>
        <row r="2374">
          <cell r="I2374">
            <v>9.4837400000000002E-2</v>
          </cell>
        </row>
        <row r="2375">
          <cell r="I2375">
            <v>9.4877400000000001E-2</v>
          </cell>
        </row>
        <row r="2376">
          <cell r="I2376">
            <v>9.4917399999999999E-2</v>
          </cell>
        </row>
        <row r="2377">
          <cell r="I2377">
            <v>9.4957399999999997E-2</v>
          </cell>
        </row>
        <row r="2378">
          <cell r="I2378">
            <v>9.4997399999999996E-2</v>
          </cell>
        </row>
        <row r="2379">
          <cell r="I2379">
            <v>9.5037399999999994E-2</v>
          </cell>
        </row>
        <row r="2380">
          <cell r="I2380">
            <v>9.5077400000000006E-2</v>
          </cell>
        </row>
        <row r="2381">
          <cell r="I2381">
            <v>9.5117400000000005E-2</v>
          </cell>
        </row>
        <row r="2382">
          <cell r="I2382">
            <v>9.5157400000000003E-2</v>
          </cell>
        </row>
        <row r="2383">
          <cell r="I2383">
            <v>9.5197400000000001E-2</v>
          </cell>
        </row>
        <row r="2384">
          <cell r="I2384">
            <v>9.52374E-2</v>
          </cell>
        </row>
        <row r="2385">
          <cell r="I2385">
            <v>9.5277399999999998E-2</v>
          </cell>
        </row>
        <row r="2386">
          <cell r="I2386">
            <v>9.5317399999999997E-2</v>
          </cell>
        </row>
        <row r="2387">
          <cell r="I2387">
            <v>9.5357399999999995E-2</v>
          </cell>
        </row>
        <row r="2388">
          <cell r="I2388">
            <v>9.5397399999999993E-2</v>
          </cell>
        </row>
        <row r="2389">
          <cell r="I2389">
            <v>9.5437400000000006E-2</v>
          </cell>
        </row>
        <row r="2390">
          <cell r="I2390">
            <v>9.5477400000000004E-2</v>
          </cell>
        </row>
        <row r="2391">
          <cell r="I2391">
            <v>9.5517400000000002E-2</v>
          </cell>
        </row>
        <row r="2392">
          <cell r="I2392">
            <v>9.5557400000000001E-2</v>
          </cell>
        </row>
        <row r="2393">
          <cell r="I2393">
            <v>9.5597399999999999E-2</v>
          </cell>
        </row>
        <row r="2394">
          <cell r="I2394">
            <v>9.5637399999999997E-2</v>
          </cell>
        </row>
        <row r="2395">
          <cell r="I2395">
            <v>9.5677399999999996E-2</v>
          </cell>
        </row>
        <row r="2396">
          <cell r="I2396">
            <v>9.5717399999999994E-2</v>
          </cell>
        </row>
        <row r="2397">
          <cell r="I2397">
            <v>9.5757400000000006E-2</v>
          </cell>
        </row>
        <row r="2398">
          <cell r="I2398">
            <v>9.5797400000000005E-2</v>
          </cell>
        </row>
        <row r="2399">
          <cell r="I2399">
            <v>9.5837400000000003E-2</v>
          </cell>
        </row>
        <row r="2400">
          <cell r="I2400">
            <v>9.5877400000000002E-2</v>
          </cell>
        </row>
        <row r="2401">
          <cell r="I2401">
            <v>9.59174E-2</v>
          </cell>
        </row>
        <row r="2402">
          <cell r="I2402">
            <v>9.5957399999999998E-2</v>
          </cell>
        </row>
        <row r="2403">
          <cell r="I2403">
            <v>9.5997399999999997E-2</v>
          </cell>
        </row>
        <row r="2404">
          <cell r="I2404">
            <v>9.6037399999999995E-2</v>
          </cell>
        </row>
        <row r="2405">
          <cell r="I2405">
            <v>9.6077399999999993E-2</v>
          </cell>
        </row>
        <row r="2406">
          <cell r="I2406">
            <v>9.6117400000000006E-2</v>
          </cell>
        </row>
        <row r="2407">
          <cell r="I2407">
            <v>9.6157400000000004E-2</v>
          </cell>
        </row>
        <row r="2408">
          <cell r="I2408">
            <v>9.6197400000000002E-2</v>
          </cell>
        </row>
        <row r="2409">
          <cell r="I2409">
            <v>9.6237400000000001E-2</v>
          </cell>
        </row>
        <row r="2410">
          <cell r="I2410">
            <v>9.6277399999999999E-2</v>
          </cell>
        </row>
        <row r="2411">
          <cell r="I2411">
            <v>9.6317399999999997E-2</v>
          </cell>
        </row>
        <row r="2412">
          <cell r="I2412">
            <v>9.6357399999999996E-2</v>
          </cell>
        </row>
        <row r="2413">
          <cell r="I2413">
            <v>9.6397399999999994E-2</v>
          </cell>
        </row>
        <row r="2414">
          <cell r="I2414">
            <v>9.6437400000000006E-2</v>
          </cell>
        </row>
        <row r="2415">
          <cell r="I2415">
            <v>9.6477400000000005E-2</v>
          </cell>
        </row>
        <row r="2416">
          <cell r="I2416">
            <v>9.6517400000000003E-2</v>
          </cell>
        </row>
        <row r="2417">
          <cell r="I2417">
            <v>9.6557400000000002E-2</v>
          </cell>
        </row>
        <row r="2418">
          <cell r="I2418">
            <v>9.65974E-2</v>
          </cell>
        </row>
        <row r="2419">
          <cell r="I2419">
            <v>9.6637399999999998E-2</v>
          </cell>
        </row>
        <row r="2420">
          <cell r="I2420">
            <v>9.6677399999999997E-2</v>
          </cell>
        </row>
        <row r="2421">
          <cell r="I2421">
            <v>9.6717399999999995E-2</v>
          </cell>
        </row>
        <row r="2422">
          <cell r="I2422">
            <v>9.6757399999999993E-2</v>
          </cell>
        </row>
        <row r="2423">
          <cell r="I2423">
            <v>9.6797400000000006E-2</v>
          </cell>
        </row>
        <row r="2424">
          <cell r="I2424">
            <v>9.6837400000000004E-2</v>
          </cell>
        </row>
        <row r="2425">
          <cell r="I2425">
            <v>9.6877400000000002E-2</v>
          </cell>
        </row>
        <row r="2426">
          <cell r="I2426">
            <v>9.6917400000000001E-2</v>
          </cell>
        </row>
        <row r="2427">
          <cell r="I2427">
            <v>9.6957399999999999E-2</v>
          </cell>
        </row>
        <row r="2428">
          <cell r="I2428">
            <v>9.6997399999999998E-2</v>
          </cell>
        </row>
        <row r="2429">
          <cell r="I2429">
            <v>9.7037399999999996E-2</v>
          </cell>
        </row>
        <row r="2430">
          <cell r="I2430">
            <v>9.7077399999999994E-2</v>
          </cell>
        </row>
        <row r="2431">
          <cell r="I2431">
            <v>9.7117400000000006E-2</v>
          </cell>
        </row>
        <row r="2432">
          <cell r="I2432">
            <v>9.7157400000000005E-2</v>
          </cell>
        </row>
        <row r="2433">
          <cell r="I2433">
            <v>9.7197400000000003E-2</v>
          </cell>
        </row>
        <row r="2434">
          <cell r="I2434">
            <v>9.7237400000000002E-2</v>
          </cell>
        </row>
        <row r="2435">
          <cell r="I2435">
            <v>9.72774E-2</v>
          </cell>
        </row>
        <row r="2436">
          <cell r="I2436">
            <v>9.7317399999999998E-2</v>
          </cell>
        </row>
        <row r="2437">
          <cell r="I2437">
            <v>9.7357399999999997E-2</v>
          </cell>
        </row>
        <row r="2438">
          <cell r="I2438">
            <v>9.7397399999999995E-2</v>
          </cell>
        </row>
        <row r="2439">
          <cell r="I2439">
            <v>9.7437399999999993E-2</v>
          </cell>
        </row>
        <row r="2440">
          <cell r="I2440">
            <v>9.7477400000000006E-2</v>
          </cell>
        </row>
        <row r="2441">
          <cell r="I2441">
            <v>9.7517400000000004E-2</v>
          </cell>
        </row>
        <row r="2442">
          <cell r="I2442">
            <v>9.7557400000000002E-2</v>
          </cell>
        </row>
        <row r="2443">
          <cell r="I2443">
            <v>9.7597400000000001E-2</v>
          </cell>
        </row>
        <row r="2444">
          <cell r="I2444">
            <v>9.7637399999999999E-2</v>
          </cell>
        </row>
        <row r="2445">
          <cell r="I2445">
            <v>9.7677399999999998E-2</v>
          </cell>
        </row>
        <row r="2446">
          <cell r="I2446">
            <v>9.7717399999999996E-2</v>
          </cell>
        </row>
        <row r="2447">
          <cell r="I2447">
            <v>9.7757399999999994E-2</v>
          </cell>
        </row>
        <row r="2448">
          <cell r="I2448">
            <v>9.7797400000000007E-2</v>
          </cell>
        </row>
        <row r="2449">
          <cell r="I2449">
            <v>9.7837400000000005E-2</v>
          </cell>
        </row>
        <row r="2450">
          <cell r="I2450">
            <v>9.7877400000000003E-2</v>
          </cell>
        </row>
        <row r="2451">
          <cell r="I2451">
            <v>9.7917400000000002E-2</v>
          </cell>
        </row>
        <row r="2452">
          <cell r="I2452">
            <v>9.79574E-2</v>
          </cell>
        </row>
        <row r="2453">
          <cell r="I2453">
            <v>9.7997399999999998E-2</v>
          </cell>
        </row>
        <row r="2454">
          <cell r="I2454">
            <v>9.8037399999999997E-2</v>
          </cell>
        </row>
        <row r="2455">
          <cell r="I2455">
            <v>9.8077399999999995E-2</v>
          </cell>
        </row>
        <row r="2456">
          <cell r="I2456">
            <v>9.8117399999999994E-2</v>
          </cell>
        </row>
        <row r="2457">
          <cell r="I2457">
            <v>9.8157400000000006E-2</v>
          </cell>
        </row>
        <row r="2458">
          <cell r="I2458">
            <v>9.8197400000000004E-2</v>
          </cell>
        </row>
        <row r="2459">
          <cell r="I2459">
            <v>9.8237400000000002E-2</v>
          </cell>
        </row>
        <row r="2460">
          <cell r="I2460">
            <v>9.8277400000000001E-2</v>
          </cell>
        </row>
        <row r="2461">
          <cell r="I2461">
            <v>9.8317399999999999E-2</v>
          </cell>
        </row>
        <row r="2462">
          <cell r="I2462">
            <v>9.8357399999999998E-2</v>
          </cell>
        </row>
        <row r="2463">
          <cell r="I2463">
            <v>9.8397399999999996E-2</v>
          </cell>
        </row>
        <row r="2464">
          <cell r="I2464">
            <v>9.8437399999999994E-2</v>
          </cell>
        </row>
        <row r="2465">
          <cell r="I2465">
            <v>9.8477400000000007E-2</v>
          </cell>
        </row>
        <row r="2466">
          <cell r="I2466">
            <v>9.8517400000000005E-2</v>
          </cell>
        </row>
        <row r="2467">
          <cell r="I2467">
            <v>9.8557400000000003E-2</v>
          </cell>
        </row>
        <row r="2468">
          <cell r="I2468">
            <v>9.8597400000000002E-2</v>
          </cell>
        </row>
        <row r="2469">
          <cell r="I2469">
            <v>9.86374E-2</v>
          </cell>
        </row>
        <row r="2470">
          <cell r="I2470">
            <v>9.8677399999999998E-2</v>
          </cell>
        </row>
        <row r="2471">
          <cell r="I2471">
            <v>9.8717399999999997E-2</v>
          </cell>
        </row>
        <row r="2472">
          <cell r="I2472">
            <v>9.8757399999999995E-2</v>
          </cell>
        </row>
        <row r="2473">
          <cell r="I2473">
            <v>9.8797399999999994E-2</v>
          </cell>
        </row>
        <row r="2474">
          <cell r="I2474">
            <v>9.8837400000000006E-2</v>
          </cell>
        </row>
        <row r="2475">
          <cell r="I2475">
            <v>9.8877400000000004E-2</v>
          </cell>
        </row>
        <row r="2476">
          <cell r="I2476">
            <v>9.8917400000000003E-2</v>
          </cell>
        </row>
        <row r="2477">
          <cell r="I2477">
            <v>9.8957400000000001E-2</v>
          </cell>
        </row>
        <row r="2478">
          <cell r="I2478">
            <v>9.8997399999999999E-2</v>
          </cell>
        </row>
        <row r="2479">
          <cell r="I2479">
            <v>9.9037399999999998E-2</v>
          </cell>
        </row>
        <row r="2480">
          <cell r="I2480">
            <v>9.9077399999999996E-2</v>
          </cell>
        </row>
        <row r="2481">
          <cell r="I2481">
            <v>9.9117399999999994E-2</v>
          </cell>
        </row>
        <row r="2482">
          <cell r="I2482">
            <v>9.9157400000000007E-2</v>
          </cell>
        </row>
        <row r="2483">
          <cell r="I2483">
            <v>9.9197400000000005E-2</v>
          </cell>
        </row>
        <row r="2484">
          <cell r="I2484">
            <v>9.9237400000000003E-2</v>
          </cell>
        </row>
        <row r="2485">
          <cell r="I2485">
            <v>9.9277400000000002E-2</v>
          </cell>
        </row>
        <row r="2486">
          <cell r="I2486">
            <v>9.93174E-2</v>
          </cell>
        </row>
        <row r="2487">
          <cell r="I2487">
            <v>9.9357399999999998E-2</v>
          </cell>
        </row>
        <row r="2488">
          <cell r="I2488">
            <v>9.9397399999999997E-2</v>
          </cell>
        </row>
        <row r="2489">
          <cell r="I2489">
            <v>9.9437399999999995E-2</v>
          </cell>
        </row>
        <row r="2490">
          <cell r="I2490">
            <v>9.9477399999999994E-2</v>
          </cell>
        </row>
        <row r="2491">
          <cell r="I2491">
            <v>9.9517400000000006E-2</v>
          </cell>
        </row>
        <row r="2492">
          <cell r="I2492">
            <v>9.9557400000000004E-2</v>
          </cell>
        </row>
        <row r="2493">
          <cell r="I2493">
            <v>9.9597400000000003E-2</v>
          </cell>
        </row>
        <row r="2494">
          <cell r="I2494">
            <v>9.9637400000000001E-2</v>
          </cell>
        </row>
        <row r="2495">
          <cell r="I2495">
            <v>9.9677399999999999E-2</v>
          </cell>
        </row>
        <row r="2496">
          <cell r="I2496">
            <v>9.9717399999999998E-2</v>
          </cell>
        </row>
        <row r="2497">
          <cell r="I2497">
            <v>9.9757399999999996E-2</v>
          </cell>
        </row>
        <row r="2498">
          <cell r="I2498">
            <v>9.9797399999999994E-2</v>
          </cell>
        </row>
        <row r="2499">
          <cell r="I2499">
            <v>9.9837400000000007E-2</v>
          </cell>
        </row>
        <row r="2500">
          <cell r="I2500">
            <v>9.9877400000000005E-2</v>
          </cell>
        </row>
        <row r="2501">
          <cell r="I2501">
            <v>9.9917400000000003E-2</v>
          </cell>
        </row>
        <row r="2502">
          <cell r="I2502">
            <v>9.9957400000000002E-2</v>
          </cell>
        </row>
        <row r="2503">
          <cell r="I2503">
            <v>9.99974E-2</v>
          </cell>
        </row>
        <row r="2504">
          <cell r="I2504">
            <v>0.100037</v>
          </cell>
        </row>
        <row r="2505">
          <cell r="I2505">
            <v>0.100077</v>
          </cell>
        </row>
        <row r="2506">
          <cell r="I2506">
            <v>0.100117</v>
          </cell>
        </row>
        <row r="2507">
          <cell r="I2507">
            <v>0.100157</v>
          </cell>
        </row>
        <row r="2508">
          <cell r="I2508">
            <v>0.10019699999999999</v>
          </cell>
        </row>
        <row r="2509">
          <cell r="I2509">
            <v>0.10023700000000001</v>
          </cell>
        </row>
        <row r="2510">
          <cell r="I2510">
            <v>0.10027700000000001</v>
          </cell>
        </row>
        <row r="2511">
          <cell r="I2511">
            <v>0.100317</v>
          </cell>
        </row>
        <row r="2512">
          <cell r="I2512">
            <v>0.100357</v>
          </cell>
        </row>
        <row r="2513">
          <cell r="I2513">
            <v>0.100397</v>
          </cell>
        </row>
        <row r="2514">
          <cell r="I2514">
            <v>0.100437</v>
          </cell>
        </row>
        <row r="2515">
          <cell r="I2515">
            <v>0.100477</v>
          </cell>
        </row>
        <row r="2516">
          <cell r="I2516">
            <v>0.100517</v>
          </cell>
        </row>
        <row r="2517">
          <cell r="I2517">
            <v>0.10055699999999999</v>
          </cell>
        </row>
        <row r="2518">
          <cell r="I2518">
            <v>0.10059700000000001</v>
          </cell>
        </row>
        <row r="2519">
          <cell r="I2519">
            <v>0.100637</v>
          </cell>
        </row>
        <row r="2520">
          <cell r="I2520">
            <v>0.100677</v>
          </cell>
        </row>
        <row r="2521">
          <cell r="I2521">
            <v>0.100717</v>
          </cell>
        </row>
        <row r="2522">
          <cell r="I2522">
            <v>0.100757</v>
          </cell>
        </row>
        <row r="2523">
          <cell r="I2523">
            <v>0.100797</v>
          </cell>
        </row>
        <row r="2524">
          <cell r="I2524">
            <v>0.100837</v>
          </cell>
        </row>
        <row r="2525">
          <cell r="I2525">
            <v>0.10087699999999999</v>
          </cell>
        </row>
        <row r="2526">
          <cell r="I2526">
            <v>0.10091700000000001</v>
          </cell>
        </row>
        <row r="2527">
          <cell r="I2527">
            <v>0.10095700000000001</v>
          </cell>
        </row>
        <row r="2528">
          <cell r="I2528">
            <v>0.100997</v>
          </cell>
        </row>
        <row r="2529">
          <cell r="I2529">
            <v>0.101037</v>
          </cell>
        </row>
        <row r="2530">
          <cell r="I2530">
            <v>0.101077</v>
          </cell>
        </row>
        <row r="2531">
          <cell r="I2531">
            <v>0.101117</v>
          </cell>
        </row>
        <row r="2532">
          <cell r="I2532">
            <v>0.101157</v>
          </cell>
        </row>
        <row r="2533">
          <cell r="I2533">
            <v>0.101197</v>
          </cell>
        </row>
        <row r="2534">
          <cell r="I2534">
            <v>0.10123699999999999</v>
          </cell>
        </row>
        <row r="2535">
          <cell r="I2535">
            <v>0.10127700000000001</v>
          </cell>
        </row>
        <row r="2536">
          <cell r="I2536">
            <v>0.101317</v>
          </cell>
        </row>
        <row r="2537">
          <cell r="I2537">
            <v>0.101357</v>
          </cell>
        </row>
        <row r="2538">
          <cell r="I2538">
            <v>0.101397</v>
          </cell>
        </row>
        <row r="2539">
          <cell r="I2539">
            <v>0.101437</v>
          </cell>
        </row>
        <row r="2540">
          <cell r="I2540">
            <v>0.101477</v>
          </cell>
        </row>
        <row r="2541">
          <cell r="I2541">
            <v>0.101517</v>
          </cell>
        </row>
        <row r="2542">
          <cell r="I2542">
            <v>0.10155699999999999</v>
          </cell>
        </row>
        <row r="2543">
          <cell r="I2543">
            <v>0.10159700000000001</v>
          </cell>
        </row>
        <row r="2544">
          <cell r="I2544">
            <v>0.10163700000000001</v>
          </cell>
        </row>
        <row r="2545">
          <cell r="I2545">
            <v>0.101677</v>
          </cell>
        </row>
        <row r="2546">
          <cell r="I2546">
            <v>0.101717</v>
          </cell>
        </row>
        <row r="2547">
          <cell r="I2547">
            <v>0.101757</v>
          </cell>
        </row>
        <row r="2548">
          <cell r="I2548">
            <v>0.101797</v>
          </cell>
        </row>
        <row r="2549">
          <cell r="I2549">
            <v>0.101837</v>
          </cell>
        </row>
        <row r="2550">
          <cell r="I2550">
            <v>0.101877</v>
          </cell>
        </row>
        <row r="2551">
          <cell r="I2551">
            <v>0.10191699999999999</v>
          </cell>
        </row>
        <row r="2552">
          <cell r="I2552">
            <v>0.10195700000000001</v>
          </cell>
        </row>
        <row r="2553">
          <cell r="I2553">
            <v>0.101997</v>
          </cell>
        </row>
        <row r="2554">
          <cell r="I2554">
            <v>0.102037</v>
          </cell>
        </row>
        <row r="2555">
          <cell r="I2555">
            <v>0.102077</v>
          </cell>
        </row>
        <row r="2556">
          <cell r="I2556">
            <v>0.102117</v>
          </cell>
        </row>
        <row r="2557">
          <cell r="I2557">
            <v>0.102157</v>
          </cell>
        </row>
        <row r="2558">
          <cell r="I2558">
            <v>0.102197</v>
          </cell>
        </row>
        <row r="2559">
          <cell r="I2559">
            <v>0.10223699999999999</v>
          </cell>
        </row>
        <row r="2560">
          <cell r="I2560">
            <v>0.10227700000000001</v>
          </cell>
        </row>
        <row r="2561">
          <cell r="I2561">
            <v>0.10231700000000001</v>
          </cell>
        </row>
        <row r="2562">
          <cell r="I2562">
            <v>0.102357</v>
          </cell>
        </row>
        <row r="2563">
          <cell r="I2563">
            <v>0.102397</v>
          </cell>
        </row>
        <row r="2564">
          <cell r="I2564">
            <v>0.102437</v>
          </cell>
        </row>
        <row r="2565">
          <cell r="I2565">
            <v>0.102477</v>
          </cell>
        </row>
        <row r="2566">
          <cell r="I2566">
            <v>0.102517</v>
          </cell>
        </row>
        <row r="2567">
          <cell r="I2567">
            <v>0.102557</v>
          </cell>
        </row>
        <row r="2568">
          <cell r="I2568">
            <v>0.10259699999999999</v>
          </cell>
        </row>
        <row r="2569">
          <cell r="I2569">
            <v>0.10263700000000001</v>
          </cell>
        </row>
        <row r="2570">
          <cell r="I2570">
            <v>0.102677</v>
          </cell>
        </row>
        <row r="2571">
          <cell r="I2571">
            <v>0.102717</v>
          </cell>
        </row>
        <row r="2572">
          <cell r="I2572">
            <v>0.102757</v>
          </cell>
        </row>
        <row r="2573">
          <cell r="I2573">
            <v>0.102797</v>
          </cell>
        </row>
        <row r="2574">
          <cell r="I2574">
            <v>0.102837</v>
          </cell>
        </row>
        <row r="2575">
          <cell r="I2575">
            <v>0.102877</v>
          </cell>
        </row>
        <row r="2576">
          <cell r="I2576">
            <v>0.10291699999999999</v>
          </cell>
        </row>
        <row r="2577">
          <cell r="I2577">
            <v>0.10295700000000001</v>
          </cell>
        </row>
        <row r="2578">
          <cell r="I2578">
            <v>0.10299700000000001</v>
          </cell>
        </row>
        <row r="2579">
          <cell r="I2579">
            <v>0.103037</v>
          </cell>
        </row>
        <row r="2580">
          <cell r="I2580">
            <v>0.103077</v>
          </cell>
        </row>
        <row r="2581">
          <cell r="I2581">
            <v>0.103117</v>
          </cell>
        </row>
        <row r="2582">
          <cell r="I2582">
            <v>0.103157</v>
          </cell>
        </row>
        <row r="2583">
          <cell r="I2583">
            <v>0.103197</v>
          </cell>
        </row>
        <row r="2584">
          <cell r="I2584">
            <v>0.103237</v>
          </cell>
        </row>
        <row r="2585">
          <cell r="I2585">
            <v>0.10327699999999999</v>
          </cell>
        </row>
        <row r="2586">
          <cell r="I2586">
            <v>0.10331700000000001</v>
          </cell>
        </row>
        <row r="2587">
          <cell r="I2587">
            <v>0.103357</v>
          </cell>
        </row>
        <row r="2588">
          <cell r="I2588">
            <v>0.103397</v>
          </cell>
        </row>
        <row r="2589">
          <cell r="I2589">
            <v>0.103437</v>
          </cell>
        </row>
        <row r="2590">
          <cell r="I2590">
            <v>0.103477</v>
          </cell>
        </row>
        <row r="2591">
          <cell r="I2591">
            <v>0.103517</v>
          </cell>
        </row>
        <row r="2592">
          <cell r="I2592">
            <v>0.103557</v>
          </cell>
        </row>
        <row r="2593">
          <cell r="I2593">
            <v>0.10359699999999999</v>
          </cell>
        </row>
        <row r="2594">
          <cell r="I2594">
            <v>0.10363700000000001</v>
          </cell>
        </row>
        <row r="2595">
          <cell r="I2595">
            <v>0.10367700000000001</v>
          </cell>
        </row>
        <row r="2596">
          <cell r="I2596">
            <v>0.103717</v>
          </cell>
        </row>
        <row r="2597">
          <cell r="I2597">
            <v>0.103757</v>
          </cell>
        </row>
        <row r="2598">
          <cell r="I2598">
            <v>0.103797</v>
          </cell>
        </row>
        <row r="2599">
          <cell r="I2599">
            <v>0.103837</v>
          </cell>
        </row>
        <row r="2600">
          <cell r="I2600">
            <v>0.103877</v>
          </cell>
        </row>
        <row r="2601">
          <cell r="I2601">
            <v>0.103917</v>
          </cell>
        </row>
        <row r="2602">
          <cell r="I2602">
            <v>0.10395699999999999</v>
          </cell>
        </row>
        <row r="2603">
          <cell r="I2603">
            <v>0.10399700000000001</v>
          </cell>
        </row>
        <row r="2604">
          <cell r="I2604">
            <v>0.104037</v>
          </cell>
        </row>
        <row r="2605">
          <cell r="I2605">
            <v>0.104077</v>
          </cell>
        </row>
        <row r="2606">
          <cell r="I2606">
            <v>0.104117</v>
          </cell>
        </row>
        <row r="2607">
          <cell r="I2607">
            <v>0.104157</v>
          </cell>
        </row>
        <row r="2608">
          <cell r="I2608">
            <v>0.104197</v>
          </cell>
        </row>
        <row r="2609">
          <cell r="I2609">
            <v>0.104237</v>
          </cell>
        </row>
        <row r="2610">
          <cell r="I2610">
            <v>0.10427699999999999</v>
          </cell>
        </row>
        <row r="2611">
          <cell r="I2611">
            <v>0.10431699999999999</v>
          </cell>
        </row>
        <row r="2612">
          <cell r="I2612">
            <v>0.10435700000000001</v>
          </cell>
        </row>
        <row r="2613">
          <cell r="I2613">
            <v>0.104397</v>
          </cell>
        </row>
        <row r="2614">
          <cell r="I2614">
            <v>0.104437</v>
          </cell>
        </row>
        <row r="2615">
          <cell r="I2615">
            <v>0.104477</v>
          </cell>
        </row>
        <row r="2616">
          <cell r="I2616">
            <v>0.104517</v>
          </cell>
        </row>
        <row r="2617">
          <cell r="I2617">
            <v>0.104557</v>
          </cell>
        </row>
        <row r="2618">
          <cell r="I2618">
            <v>0.104597</v>
          </cell>
        </row>
        <row r="2619">
          <cell r="I2619">
            <v>0.10463699999999999</v>
          </cell>
        </row>
        <row r="2620">
          <cell r="I2620">
            <v>0.10467700000000001</v>
          </cell>
        </row>
        <row r="2621">
          <cell r="I2621">
            <v>0.104717</v>
          </cell>
        </row>
        <row r="2622">
          <cell r="I2622">
            <v>0.104757</v>
          </cell>
        </row>
        <row r="2623">
          <cell r="I2623">
            <v>0.104797</v>
          </cell>
        </row>
        <row r="2624">
          <cell r="I2624">
            <v>0.104837</v>
          </cell>
        </row>
        <row r="2625">
          <cell r="I2625">
            <v>0.104877</v>
          </cell>
        </row>
        <row r="2626">
          <cell r="I2626">
            <v>0.104917</v>
          </cell>
        </row>
        <row r="2627">
          <cell r="I2627">
            <v>0.10495699999999999</v>
          </cell>
        </row>
        <row r="2628">
          <cell r="I2628">
            <v>0.10499699999999999</v>
          </cell>
        </row>
        <row r="2629">
          <cell r="I2629">
            <v>0.10503700000000001</v>
          </cell>
        </row>
        <row r="2630">
          <cell r="I2630">
            <v>0.105077</v>
          </cell>
        </row>
        <row r="2631">
          <cell r="I2631">
            <v>0.105117</v>
          </cell>
        </row>
        <row r="2632">
          <cell r="I2632">
            <v>0.105157</v>
          </cell>
        </row>
        <row r="2633">
          <cell r="I2633">
            <v>0.105197</v>
          </cell>
        </row>
        <row r="2634">
          <cell r="I2634">
            <v>0.105237</v>
          </cell>
        </row>
        <row r="2635">
          <cell r="I2635">
            <v>0.105277</v>
          </cell>
        </row>
        <row r="2636">
          <cell r="I2636">
            <v>0.10531699999999999</v>
          </cell>
        </row>
        <row r="2637">
          <cell r="I2637">
            <v>0.10535700000000001</v>
          </cell>
        </row>
        <row r="2638">
          <cell r="I2638">
            <v>0.105397</v>
          </cell>
        </row>
        <row r="2639">
          <cell r="I2639">
            <v>0.105437</v>
          </cell>
        </row>
        <row r="2640">
          <cell r="I2640">
            <v>0.105477</v>
          </cell>
        </row>
        <row r="2641">
          <cell r="I2641">
            <v>0.105517</v>
          </cell>
        </row>
        <row r="2642">
          <cell r="I2642">
            <v>0.105557</v>
          </cell>
        </row>
        <row r="2643">
          <cell r="I2643">
            <v>0.105597</v>
          </cell>
        </row>
        <row r="2644">
          <cell r="I2644">
            <v>0.10563699999999999</v>
          </cell>
        </row>
        <row r="2645">
          <cell r="I2645">
            <v>0.10567699999999999</v>
          </cell>
        </row>
        <row r="2646">
          <cell r="I2646">
            <v>0.10571700000000001</v>
          </cell>
        </row>
        <row r="2647">
          <cell r="I2647">
            <v>0.105757</v>
          </cell>
        </row>
        <row r="2648">
          <cell r="I2648">
            <v>0.105797</v>
          </cell>
        </row>
        <row r="2649">
          <cell r="I2649">
            <v>0.105837</v>
          </cell>
        </row>
        <row r="2650">
          <cell r="I2650">
            <v>0.105877</v>
          </cell>
        </row>
        <row r="2651">
          <cell r="I2651">
            <v>0.105917</v>
          </cell>
        </row>
        <row r="2652">
          <cell r="I2652">
            <v>0.105957</v>
          </cell>
        </row>
        <row r="2653">
          <cell r="I2653">
            <v>0.10599699999999999</v>
          </cell>
        </row>
        <row r="2654">
          <cell r="I2654">
            <v>0.10603700000000001</v>
          </cell>
        </row>
        <row r="2655">
          <cell r="I2655">
            <v>0.106077</v>
          </cell>
        </row>
        <row r="2656">
          <cell r="I2656">
            <v>0.106117</v>
          </cell>
        </row>
        <row r="2657">
          <cell r="I2657">
            <v>0.106157</v>
          </cell>
        </row>
        <row r="2658">
          <cell r="I2658">
            <v>0.106197</v>
          </cell>
        </row>
        <row r="2659">
          <cell r="I2659">
            <v>0.106237</v>
          </cell>
        </row>
        <row r="2660">
          <cell r="I2660">
            <v>0.106277</v>
          </cell>
        </row>
        <row r="2661">
          <cell r="I2661">
            <v>0.10631699999999999</v>
          </cell>
        </row>
        <row r="2662">
          <cell r="I2662">
            <v>0.10635699999999999</v>
          </cell>
        </row>
        <row r="2663">
          <cell r="I2663">
            <v>0.10639700000000001</v>
          </cell>
        </row>
        <row r="2664">
          <cell r="I2664">
            <v>0.106437</v>
          </cell>
        </row>
        <row r="2665">
          <cell r="I2665">
            <v>0.106477</v>
          </cell>
        </row>
        <row r="2666">
          <cell r="I2666">
            <v>0.106517</v>
          </cell>
        </row>
        <row r="2667">
          <cell r="I2667">
            <v>0.106557</v>
          </cell>
        </row>
        <row r="2668">
          <cell r="I2668">
            <v>0.106597</v>
          </cell>
        </row>
        <row r="2669">
          <cell r="I2669">
            <v>0.106637</v>
          </cell>
        </row>
        <row r="2670">
          <cell r="I2670">
            <v>0.10667699999999999</v>
          </cell>
        </row>
        <row r="2671">
          <cell r="I2671">
            <v>0.10671700000000001</v>
          </cell>
        </row>
        <row r="2672">
          <cell r="I2672">
            <v>0.106757</v>
          </cell>
        </row>
        <row r="2673">
          <cell r="I2673">
            <v>0.106797</v>
          </cell>
        </row>
        <row r="2674">
          <cell r="I2674">
            <v>0.106837</v>
          </cell>
        </row>
        <row r="2675">
          <cell r="I2675">
            <v>0.106877</v>
          </cell>
        </row>
        <row r="2676">
          <cell r="I2676">
            <v>0.106917</v>
          </cell>
        </row>
        <row r="2677">
          <cell r="I2677">
            <v>0.106957</v>
          </cell>
        </row>
        <row r="2678">
          <cell r="I2678">
            <v>0.10699699999999999</v>
          </cell>
        </row>
        <row r="2679">
          <cell r="I2679">
            <v>0.10703699999999999</v>
          </cell>
        </row>
        <row r="2680">
          <cell r="I2680">
            <v>0.10707700000000001</v>
          </cell>
        </row>
        <row r="2681">
          <cell r="I2681">
            <v>0.107117</v>
          </cell>
        </row>
        <row r="2682">
          <cell r="I2682">
            <v>0.107157</v>
          </cell>
        </row>
        <row r="2683">
          <cell r="I2683">
            <v>0.107197</v>
          </cell>
        </row>
        <row r="2684">
          <cell r="I2684">
            <v>0.107237</v>
          </cell>
        </row>
        <row r="2685">
          <cell r="I2685">
            <v>0.107277</v>
          </cell>
        </row>
        <row r="2686">
          <cell r="I2686">
            <v>0.107317</v>
          </cell>
        </row>
        <row r="2687">
          <cell r="I2687">
            <v>0.10735699999999999</v>
          </cell>
        </row>
        <row r="2688">
          <cell r="I2688">
            <v>0.10739700000000001</v>
          </cell>
        </row>
        <row r="2689">
          <cell r="I2689">
            <v>0.107437</v>
          </cell>
        </row>
        <row r="2690">
          <cell r="I2690">
            <v>0.107477</v>
          </cell>
        </row>
        <row r="2691">
          <cell r="I2691">
            <v>0.107517</v>
          </cell>
        </row>
        <row r="2692">
          <cell r="I2692">
            <v>0.107557</v>
          </cell>
        </row>
        <row r="2693">
          <cell r="I2693">
            <v>0.107597</v>
          </cell>
        </row>
        <row r="2694">
          <cell r="I2694">
            <v>0.107637</v>
          </cell>
        </row>
        <row r="2695">
          <cell r="I2695">
            <v>0.10767699999999999</v>
          </cell>
        </row>
        <row r="2696">
          <cell r="I2696">
            <v>0.10771699999999999</v>
          </cell>
        </row>
        <row r="2697">
          <cell r="I2697">
            <v>0.10775700000000001</v>
          </cell>
        </row>
        <row r="2698">
          <cell r="I2698">
            <v>0.107797</v>
          </cell>
        </row>
        <row r="2699">
          <cell r="I2699">
            <v>0.107837</v>
          </cell>
        </row>
        <row r="2700">
          <cell r="I2700">
            <v>0.107877</v>
          </cell>
        </row>
        <row r="2701">
          <cell r="I2701">
            <v>0.107917</v>
          </cell>
        </row>
        <row r="2702">
          <cell r="I2702">
            <v>0.107957</v>
          </cell>
        </row>
        <row r="2703">
          <cell r="I2703">
            <v>0.107997</v>
          </cell>
        </row>
        <row r="2704">
          <cell r="I2704">
            <v>0.10803699999999999</v>
          </cell>
        </row>
        <row r="2705">
          <cell r="I2705">
            <v>0.10807700000000001</v>
          </cell>
        </row>
        <row r="2706">
          <cell r="I2706">
            <v>0.108117</v>
          </cell>
        </row>
        <row r="2707">
          <cell r="I2707">
            <v>0.108157</v>
          </cell>
        </row>
        <row r="2708">
          <cell r="I2708">
            <v>0.108197</v>
          </cell>
        </row>
        <row r="2709">
          <cell r="I2709">
            <v>0.108237</v>
          </cell>
        </row>
        <row r="2710">
          <cell r="I2710">
            <v>0.108277</v>
          </cell>
        </row>
        <row r="2711">
          <cell r="I2711">
            <v>0.108317</v>
          </cell>
        </row>
        <row r="2712">
          <cell r="I2712">
            <v>0.10835699999999999</v>
          </cell>
        </row>
        <row r="2713">
          <cell r="I2713">
            <v>0.10839699999999999</v>
          </cell>
        </row>
        <row r="2714">
          <cell r="I2714">
            <v>0.10843700000000001</v>
          </cell>
        </row>
        <row r="2715">
          <cell r="I2715">
            <v>0.108477</v>
          </cell>
        </row>
        <row r="2716">
          <cell r="I2716">
            <v>0.108517</v>
          </cell>
        </row>
        <row r="2717">
          <cell r="I2717">
            <v>0.108557</v>
          </cell>
        </row>
        <row r="2718">
          <cell r="I2718">
            <v>0.108597</v>
          </cell>
        </row>
        <row r="2719">
          <cell r="I2719">
            <v>0.108637</v>
          </cell>
        </row>
        <row r="2720">
          <cell r="I2720">
            <v>0.108677</v>
          </cell>
        </row>
        <row r="2721">
          <cell r="I2721">
            <v>0.10871699999999999</v>
          </cell>
        </row>
        <row r="2722">
          <cell r="I2722">
            <v>0.10875700000000001</v>
          </cell>
        </row>
        <row r="2723">
          <cell r="I2723">
            <v>0.108797</v>
          </cell>
        </row>
        <row r="2724">
          <cell r="I2724">
            <v>0.108837</v>
          </cell>
        </row>
        <row r="2725">
          <cell r="I2725">
            <v>0.108877</v>
          </cell>
        </row>
        <row r="2726">
          <cell r="I2726">
            <v>0.108917</v>
          </cell>
        </row>
        <row r="2727">
          <cell r="I2727">
            <v>0.108957</v>
          </cell>
        </row>
        <row r="2728">
          <cell r="I2728">
            <v>0.108997</v>
          </cell>
        </row>
        <row r="2729">
          <cell r="I2729">
            <v>0.109037</v>
          </cell>
        </row>
        <row r="2730">
          <cell r="I2730">
            <v>0.10907699999999999</v>
          </cell>
        </row>
        <row r="2731">
          <cell r="I2731">
            <v>0.10911700000000001</v>
          </cell>
        </row>
        <row r="2732">
          <cell r="I2732">
            <v>0.109157</v>
          </cell>
        </row>
        <row r="2733">
          <cell r="I2733">
            <v>0.109197</v>
          </cell>
        </row>
        <row r="2734">
          <cell r="I2734">
            <v>0.109237</v>
          </cell>
        </row>
        <row r="2735">
          <cell r="I2735">
            <v>0.109277</v>
          </cell>
        </row>
        <row r="2736">
          <cell r="I2736">
            <v>0.109317</v>
          </cell>
        </row>
        <row r="2737">
          <cell r="I2737">
            <v>0.109357</v>
          </cell>
        </row>
        <row r="2738">
          <cell r="I2738">
            <v>0.10939699999999999</v>
          </cell>
        </row>
        <row r="2739">
          <cell r="I2739">
            <v>0.10943700000000001</v>
          </cell>
        </row>
        <row r="2740">
          <cell r="I2740">
            <v>0.109477</v>
          </cell>
        </row>
        <row r="2741">
          <cell r="I2741">
            <v>0.109517</v>
          </cell>
        </row>
        <row r="2742">
          <cell r="I2742">
            <v>0.109557</v>
          </cell>
        </row>
        <row r="2743">
          <cell r="I2743">
            <v>0.109597</v>
          </cell>
        </row>
        <row r="2744">
          <cell r="I2744">
            <v>0.109637</v>
          </cell>
        </row>
        <row r="2745">
          <cell r="I2745">
            <v>0.109677</v>
          </cell>
        </row>
        <row r="2746">
          <cell r="I2746">
            <v>0.109717</v>
          </cell>
        </row>
        <row r="2747">
          <cell r="I2747">
            <v>0.10975699999999999</v>
          </cell>
        </row>
        <row r="2748">
          <cell r="I2748">
            <v>0.10979700000000001</v>
          </cell>
        </row>
        <row r="2749">
          <cell r="I2749">
            <v>0.109837</v>
          </cell>
        </row>
        <row r="2750">
          <cell r="I2750">
            <v>0.109877</v>
          </cell>
        </row>
        <row r="2751">
          <cell r="I2751">
            <v>0.109917</v>
          </cell>
        </row>
        <row r="2752">
          <cell r="I2752">
            <v>0.109957</v>
          </cell>
        </row>
        <row r="2753">
          <cell r="I2753">
            <v>0.109997</v>
          </cell>
        </row>
        <row r="2754">
          <cell r="I2754">
            <v>0.110037</v>
          </cell>
        </row>
        <row r="2755">
          <cell r="I2755">
            <v>0.11007699999999999</v>
          </cell>
        </row>
        <row r="2756">
          <cell r="I2756">
            <v>0.11011700000000001</v>
          </cell>
        </row>
        <row r="2757">
          <cell r="I2757">
            <v>0.110157</v>
          </cell>
        </row>
        <row r="2758">
          <cell r="I2758">
            <v>0.110197</v>
          </cell>
        </row>
        <row r="2759">
          <cell r="I2759">
            <v>0.110237</v>
          </cell>
        </row>
        <row r="2760">
          <cell r="I2760">
            <v>0.110277</v>
          </cell>
        </row>
        <row r="2761">
          <cell r="I2761">
            <v>0.110317</v>
          </cell>
        </row>
        <row r="2762">
          <cell r="I2762">
            <v>0.110357</v>
          </cell>
        </row>
        <row r="2763">
          <cell r="I2763">
            <v>0.110397</v>
          </cell>
        </row>
        <row r="2764">
          <cell r="I2764">
            <v>0.11043699999999999</v>
          </cell>
        </row>
        <row r="2765">
          <cell r="I2765">
            <v>0.11047700000000001</v>
          </cell>
        </row>
        <row r="2766">
          <cell r="I2766">
            <v>0.110517</v>
          </cell>
        </row>
        <row r="2767">
          <cell r="I2767">
            <v>0.110557</v>
          </cell>
        </row>
        <row r="2768">
          <cell r="I2768">
            <v>0.110597</v>
          </cell>
        </row>
        <row r="2769">
          <cell r="I2769">
            <v>0.110637</v>
          </cell>
        </row>
        <row r="2770">
          <cell r="I2770">
            <v>0.110677</v>
          </cell>
        </row>
        <row r="2771">
          <cell r="I2771">
            <v>0.110717</v>
          </cell>
        </row>
        <row r="2772">
          <cell r="I2772">
            <v>0.11075699999999999</v>
          </cell>
        </row>
        <row r="2773">
          <cell r="I2773">
            <v>0.11079700000000001</v>
          </cell>
        </row>
        <row r="2774">
          <cell r="I2774">
            <v>0.110837</v>
          </cell>
        </row>
        <row r="2775">
          <cell r="I2775">
            <v>0.110877</v>
          </cell>
        </row>
        <row r="2776">
          <cell r="I2776">
            <v>0.110917</v>
          </cell>
        </row>
        <row r="2777">
          <cell r="I2777">
            <v>0.110957</v>
          </cell>
        </row>
        <row r="2778">
          <cell r="I2778">
            <v>0.110997</v>
          </cell>
        </row>
        <row r="2779">
          <cell r="I2779">
            <v>0.111037</v>
          </cell>
        </row>
        <row r="2780">
          <cell r="I2780">
            <v>0.111077</v>
          </cell>
        </row>
        <row r="2781">
          <cell r="I2781">
            <v>0.11111699999999999</v>
          </cell>
        </row>
        <row r="2782">
          <cell r="I2782">
            <v>0.11115700000000001</v>
          </cell>
        </row>
        <row r="2783">
          <cell r="I2783">
            <v>0.111197</v>
          </cell>
        </row>
        <row r="2784">
          <cell r="I2784">
            <v>0.111237</v>
          </cell>
        </row>
        <row r="2785">
          <cell r="I2785">
            <v>0.111277</v>
          </cell>
        </row>
        <row r="2786">
          <cell r="I2786">
            <v>0.111317</v>
          </cell>
        </row>
        <row r="2787">
          <cell r="I2787">
            <v>0.111357</v>
          </cell>
        </row>
        <row r="2788">
          <cell r="I2788">
            <v>0.111397</v>
          </cell>
        </row>
        <row r="2789">
          <cell r="I2789">
            <v>0.11143699999999999</v>
          </cell>
        </row>
        <row r="2790">
          <cell r="I2790">
            <v>0.11147700000000001</v>
          </cell>
        </row>
        <row r="2791">
          <cell r="I2791">
            <v>0.11151700000000001</v>
          </cell>
        </row>
        <row r="2792">
          <cell r="I2792">
            <v>0.111557</v>
          </cell>
        </row>
        <row r="2793">
          <cell r="I2793">
            <v>0.111597</v>
          </cell>
        </row>
        <row r="2794">
          <cell r="I2794">
            <v>0.111637</v>
          </cell>
        </row>
        <row r="2795">
          <cell r="I2795">
            <v>0.111677</v>
          </cell>
        </row>
        <row r="2796">
          <cell r="I2796">
            <v>0.111717</v>
          </cell>
        </row>
        <row r="2797">
          <cell r="I2797">
            <v>0.111757</v>
          </cell>
        </row>
        <row r="2798">
          <cell r="I2798">
            <v>0.11179699999999999</v>
          </cell>
        </row>
        <row r="2799">
          <cell r="I2799">
            <v>0.11183700000000001</v>
          </cell>
        </row>
        <row r="2800">
          <cell r="I2800">
            <v>0.111877</v>
          </cell>
        </row>
        <row r="2801">
          <cell r="I2801">
            <v>0.111917</v>
          </cell>
        </row>
        <row r="2802">
          <cell r="I2802">
            <v>0.111957</v>
          </cell>
        </row>
        <row r="2803">
          <cell r="I2803">
            <v>0.111997</v>
          </cell>
        </row>
        <row r="2804">
          <cell r="I2804">
            <v>0.112037</v>
          </cell>
        </row>
        <row r="2805">
          <cell r="I2805">
            <v>0.112077</v>
          </cell>
        </row>
        <row r="2806">
          <cell r="I2806">
            <v>0.11211699999999999</v>
          </cell>
        </row>
        <row r="2807">
          <cell r="I2807">
            <v>0.11215700000000001</v>
          </cell>
        </row>
        <row r="2808">
          <cell r="I2808">
            <v>0.11219700000000001</v>
          </cell>
        </row>
        <row r="2809">
          <cell r="I2809">
            <v>0.112237</v>
          </cell>
        </row>
        <row r="2810">
          <cell r="I2810">
            <v>0.112277</v>
          </cell>
        </row>
        <row r="2811">
          <cell r="I2811">
            <v>0.112317</v>
          </cell>
        </row>
        <row r="2812">
          <cell r="I2812">
            <v>0.112357</v>
          </cell>
        </row>
        <row r="2813">
          <cell r="I2813">
            <v>0.112397</v>
          </cell>
        </row>
        <row r="2814">
          <cell r="I2814">
            <v>0.112437</v>
          </cell>
        </row>
        <row r="2815">
          <cell r="I2815">
            <v>0.11247699999999999</v>
          </cell>
        </row>
        <row r="2816">
          <cell r="I2816">
            <v>0.11251700000000001</v>
          </cell>
        </row>
        <row r="2817">
          <cell r="I2817">
            <v>0.112557</v>
          </cell>
        </row>
        <row r="2818">
          <cell r="I2818">
            <v>0.112597</v>
          </cell>
        </row>
        <row r="2819">
          <cell r="I2819">
            <v>0.112637</v>
          </cell>
        </row>
        <row r="2820">
          <cell r="I2820">
            <v>0.112677</v>
          </cell>
        </row>
        <row r="2821">
          <cell r="I2821">
            <v>0.112717</v>
          </cell>
        </row>
        <row r="2822">
          <cell r="I2822">
            <v>0.112757</v>
          </cell>
        </row>
        <row r="2823">
          <cell r="I2823">
            <v>0.11279699999999999</v>
          </cell>
        </row>
        <row r="2824">
          <cell r="I2824">
            <v>0.11283700000000001</v>
          </cell>
        </row>
        <row r="2825">
          <cell r="I2825">
            <v>0.11287700000000001</v>
          </cell>
        </row>
        <row r="2826">
          <cell r="I2826">
            <v>0.112917</v>
          </cell>
        </row>
        <row r="2827">
          <cell r="I2827">
            <v>0.112957</v>
          </cell>
        </row>
        <row r="2828">
          <cell r="I2828">
            <v>0.112997</v>
          </cell>
        </row>
        <row r="2829">
          <cell r="I2829">
            <v>0.113037</v>
          </cell>
        </row>
        <row r="2830">
          <cell r="I2830">
            <v>0.113077</v>
          </cell>
        </row>
        <row r="2831">
          <cell r="I2831">
            <v>0.113117</v>
          </cell>
        </row>
        <row r="2832">
          <cell r="I2832">
            <v>0.11315699999999999</v>
          </cell>
        </row>
        <row r="2833">
          <cell r="I2833">
            <v>0.11319700000000001</v>
          </cell>
        </row>
        <row r="2834">
          <cell r="I2834">
            <v>0.113237</v>
          </cell>
        </row>
        <row r="2835">
          <cell r="I2835">
            <v>0.113277</v>
          </cell>
        </row>
        <row r="2836">
          <cell r="I2836">
            <v>0.113317</v>
          </cell>
        </row>
        <row r="2837">
          <cell r="I2837">
            <v>0.113357</v>
          </cell>
        </row>
        <row r="2838">
          <cell r="I2838">
            <v>0.113397</v>
          </cell>
        </row>
        <row r="2839">
          <cell r="I2839">
            <v>0.113437</v>
          </cell>
        </row>
        <row r="2840">
          <cell r="I2840">
            <v>0.11347699999999999</v>
          </cell>
        </row>
        <row r="2841">
          <cell r="I2841">
            <v>0.11351700000000001</v>
          </cell>
        </row>
        <row r="2842">
          <cell r="I2842">
            <v>0.11355700000000001</v>
          </cell>
        </row>
        <row r="2843">
          <cell r="I2843">
            <v>0.113597</v>
          </cell>
        </row>
        <row r="2844">
          <cell r="I2844">
            <v>0.113637</v>
          </cell>
        </row>
        <row r="2845">
          <cell r="I2845">
            <v>0.113677</v>
          </cell>
        </row>
        <row r="2846">
          <cell r="I2846">
            <v>0.113717</v>
          </cell>
        </row>
        <row r="2847">
          <cell r="I2847">
            <v>0.113757</v>
          </cell>
        </row>
        <row r="2848">
          <cell r="I2848">
            <v>0.113797</v>
          </cell>
        </row>
        <row r="2849">
          <cell r="I2849">
            <v>0.11383699999999999</v>
          </cell>
        </row>
        <row r="2850">
          <cell r="I2850">
            <v>0.11387700000000001</v>
          </cell>
        </row>
        <row r="2851">
          <cell r="I2851">
            <v>0.113917</v>
          </cell>
        </row>
        <row r="2852">
          <cell r="I2852">
            <v>0.113957</v>
          </cell>
        </row>
        <row r="2853">
          <cell r="I2853">
            <v>0.113997</v>
          </cell>
        </row>
        <row r="2854">
          <cell r="I2854">
            <v>0.114037</v>
          </cell>
        </row>
        <row r="2855">
          <cell r="I2855">
            <v>0.114077</v>
          </cell>
        </row>
        <row r="2856">
          <cell r="I2856">
            <v>0.114117</v>
          </cell>
        </row>
        <row r="2857">
          <cell r="I2857">
            <v>0.11415699999999999</v>
          </cell>
        </row>
        <row r="2858">
          <cell r="I2858">
            <v>0.11419700000000001</v>
          </cell>
        </row>
        <row r="2859">
          <cell r="I2859">
            <v>0.11423700000000001</v>
          </cell>
        </row>
        <row r="2860">
          <cell r="I2860">
            <v>0.114277</v>
          </cell>
        </row>
        <row r="2861">
          <cell r="I2861">
            <v>0.114317</v>
          </cell>
        </row>
        <row r="2862">
          <cell r="I2862">
            <v>0.114357</v>
          </cell>
        </row>
        <row r="2863">
          <cell r="I2863">
            <v>0.114397</v>
          </cell>
        </row>
        <row r="2864">
          <cell r="I2864">
            <v>0.114437</v>
          </cell>
        </row>
        <row r="2865">
          <cell r="I2865">
            <v>0.114477</v>
          </cell>
        </row>
        <row r="2866">
          <cell r="I2866">
            <v>0.11451699999999999</v>
          </cell>
        </row>
        <row r="2867">
          <cell r="I2867">
            <v>0.11455700000000001</v>
          </cell>
        </row>
        <row r="2868">
          <cell r="I2868">
            <v>0.114597</v>
          </cell>
        </row>
        <row r="2869">
          <cell r="I2869">
            <v>0.114637</v>
          </cell>
        </row>
        <row r="2870">
          <cell r="I2870">
            <v>0.114677</v>
          </cell>
        </row>
        <row r="2871">
          <cell r="I2871">
            <v>0.114717</v>
          </cell>
        </row>
        <row r="2872">
          <cell r="I2872">
            <v>0.114757</v>
          </cell>
        </row>
        <row r="2873">
          <cell r="I2873">
            <v>0.114797</v>
          </cell>
        </row>
        <row r="2874">
          <cell r="I2874">
            <v>0.11483699999999999</v>
          </cell>
        </row>
        <row r="2875">
          <cell r="I2875">
            <v>0.11487700000000001</v>
          </cell>
        </row>
        <row r="2876">
          <cell r="I2876">
            <v>0.11491700000000001</v>
          </cell>
        </row>
        <row r="2877">
          <cell r="I2877">
            <v>0.114957</v>
          </cell>
        </row>
        <row r="2878">
          <cell r="I2878">
            <v>0.114997</v>
          </cell>
        </row>
        <row r="2879">
          <cell r="I2879">
            <v>0.115037</v>
          </cell>
        </row>
        <row r="2880">
          <cell r="I2880">
            <v>0.115077</v>
          </cell>
        </row>
        <row r="2881">
          <cell r="I2881">
            <v>0.115117</v>
          </cell>
        </row>
        <row r="2882">
          <cell r="I2882">
            <v>0.115157</v>
          </cell>
        </row>
        <row r="2883">
          <cell r="I2883">
            <v>0.11519699999999999</v>
          </cell>
        </row>
        <row r="2884">
          <cell r="I2884">
            <v>0.11523700000000001</v>
          </cell>
        </row>
        <row r="2885">
          <cell r="I2885">
            <v>0.115277</v>
          </cell>
        </row>
        <row r="2886">
          <cell r="I2886">
            <v>0.115317</v>
          </cell>
        </row>
        <row r="2887">
          <cell r="I2887">
            <v>0.115357</v>
          </cell>
        </row>
        <row r="2888">
          <cell r="I2888">
            <v>0.115397</v>
          </cell>
        </row>
        <row r="2889">
          <cell r="I2889">
            <v>0.115437</v>
          </cell>
        </row>
        <row r="2890">
          <cell r="I2890">
            <v>0.115477</v>
          </cell>
        </row>
        <row r="2891">
          <cell r="I2891">
            <v>0.11551699999999999</v>
          </cell>
        </row>
        <row r="2892">
          <cell r="I2892">
            <v>0.11555700000000001</v>
          </cell>
        </row>
        <row r="2893">
          <cell r="I2893">
            <v>0.11559700000000001</v>
          </cell>
        </row>
        <row r="2894">
          <cell r="I2894">
            <v>0.115637</v>
          </cell>
        </row>
        <row r="2895">
          <cell r="I2895">
            <v>0.115677</v>
          </cell>
        </row>
        <row r="2896">
          <cell r="I2896">
            <v>0.115717</v>
          </cell>
        </row>
        <row r="2897">
          <cell r="I2897">
            <v>0.115757</v>
          </cell>
        </row>
        <row r="2898">
          <cell r="I2898">
            <v>0.115797</v>
          </cell>
        </row>
        <row r="2899">
          <cell r="I2899">
            <v>0.115837</v>
          </cell>
        </row>
        <row r="2900">
          <cell r="I2900">
            <v>0.11587699999999999</v>
          </cell>
        </row>
        <row r="2901">
          <cell r="I2901">
            <v>0.11591700000000001</v>
          </cell>
        </row>
        <row r="2902">
          <cell r="I2902">
            <v>0.115957</v>
          </cell>
        </row>
        <row r="2903">
          <cell r="I2903">
            <v>0.115997</v>
          </cell>
        </row>
        <row r="2904">
          <cell r="I2904">
            <v>0.116037</v>
          </cell>
        </row>
        <row r="2905">
          <cell r="I2905">
            <v>0.116077</v>
          </cell>
        </row>
        <row r="2906">
          <cell r="I2906">
            <v>0.116117</v>
          </cell>
        </row>
        <row r="2907">
          <cell r="I2907">
            <v>0.116157</v>
          </cell>
        </row>
        <row r="2908">
          <cell r="I2908">
            <v>0.11619699999999999</v>
          </cell>
        </row>
        <row r="2909">
          <cell r="I2909">
            <v>0.11623699999999999</v>
          </cell>
        </row>
        <row r="2910">
          <cell r="I2910">
            <v>0.11627700000000001</v>
          </cell>
        </row>
        <row r="2911">
          <cell r="I2911">
            <v>0.116317</v>
          </cell>
        </row>
        <row r="2912">
          <cell r="I2912">
            <v>0.116357</v>
          </cell>
        </row>
        <row r="2913">
          <cell r="I2913">
            <v>0.116397</v>
          </cell>
        </row>
        <row r="2914">
          <cell r="I2914">
            <v>0.116437</v>
          </cell>
        </row>
        <row r="2915">
          <cell r="I2915">
            <v>0.116477</v>
          </cell>
        </row>
        <row r="2916">
          <cell r="I2916">
            <v>0.116517</v>
          </cell>
        </row>
        <row r="2917">
          <cell r="I2917">
            <v>0.11655699999999999</v>
          </cell>
        </row>
        <row r="2918">
          <cell r="I2918">
            <v>0.11659700000000001</v>
          </cell>
        </row>
        <row r="2919">
          <cell r="I2919">
            <v>0.116637</v>
          </cell>
        </row>
        <row r="2920">
          <cell r="I2920">
            <v>0.116677</v>
          </cell>
        </row>
        <row r="2921">
          <cell r="I2921">
            <v>0.116717</v>
          </cell>
        </row>
        <row r="2922">
          <cell r="I2922">
            <v>0.116757</v>
          </cell>
        </row>
        <row r="2923">
          <cell r="I2923">
            <v>0.116797</v>
          </cell>
        </row>
        <row r="2924">
          <cell r="I2924">
            <v>0.116837</v>
          </cell>
        </row>
        <row r="2925">
          <cell r="I2925">
            <v>0.11687699999999999</v>
          </cell>
        </row>
        <row r="2926">
          <cell r="I2926">
            <v>0.11691699999999999</v>
          </cell>
        </row>
        <row r="2927">
          <cell r="I2927">
            <v>0.11695700000000001</v>
          </cell>
        </row>
        <row r="2928">
          <cell r="I2928">
            <v>0.116997</v>
          </cell>
        </row>
        <row r="2929">
          <cell r="I2929">
            <v>0.117037</v>
          </cell>
        </row>
        <row r="2930">
          <cell r="I2930">
            <v>0.117077</v>
          </cell>
        </row>
        <row r="2931">
          <cell r="I2931">
            <v>0.117117</v>
          </cell>
        </row>
        <row r="2932">
          <cell r="I2932">
            <v>0.117157</v>
          </cell>
        </row>
        <row r="2933">
          <cell r="I2933">
            <v>0.117197</v>
          </cell>
        </row>
        <row r="2934">
          <cell r="I2934">
            <v>0.11723699999999999</v>
          </cell>
        </row>
        <row r="2935">
          <cell r="I2935">
            <v>0.11727700000000001</v>
          </cell>
        </row>
        <row r="2936">
          <cell r="I2936">
            <v>0.117317</v>
          </cell>
        </row>
        <row r="2937">
          <cell r="I2937">
            <v>0.117357</v>
          </cell>
        </row>
        <row r="2938">
          <cell r="I2938">
            <v>0.117397</v>
          </cell>
        </row>
        <row r="2939">
          <cell r="I2939">
            <v>0.117437</v>
          </cell>
        </row>
        <row r="2940">
          <cell r="I2940">
            <v>0.117477</v>
          </cell>
        </row>
        <row r="2941">
          <cell r="I2941">
            <v>0.117517</v>
          </cell>
        </row>
        <row r="2942">
          <cell r="I2942">
            <v>0.11755699999999999</v>
          </cell>
        </row>
        <row r="2943">
          <cell r="I2943">
            <v>0.11759699999999999</v>
          </cell>
        </row>
        <row r="2944">
          <cell r="I2944">
            <v>0.11763700000000001</v>
          </cell>
        </row>
        <row r="2945">
          <cell r="I2945">
            <v>0.117677</v>
          </cell>
        </row>
        <row r="2946">
          <cell r="I2946">
            <v>0.117717</v>
          </cell>
        </row>
        <row r="2947">
          <cell r="I2947">
            <v>0.117757</v>
          </cell>
        </row>
        <row r="2948">
          <cell r="I2948">
            <v>0.117797</v>
          </cell>
        </row>
        <row r="2949">
          <cell r="I2949">
            <v>0.117837</v>
          </cell>
        </row>
        <row r="2950">
          <cell r="I2950">
            <v>0.117877</v>
          </cell>
        </row>
        <row r="2951">
          <cell r="I2951">
            <v>0.11791699999999999</v>
          </cell>
        </row>
        <row r="2952">
          <cell r="I2952">
            <v>0.11795700000000001</v>
          </cell>
        </row>
        <row r="2953">
          <cell r="I2953">
            <v>0.117997</v>
          </cell>
        </row>
        <row r="2954">
          <cell r="I2954">
            <v>0.118037</v>
          </cell>
        </row>
        <row r="2955">
          <cell r="I2955">
            <v>0.118077</v>
          </cell>
        </row>
        <row r="2956">
          <cell r="I2956">
            <v>0.118117</v>
          </cell>
        </row>
        <row r="2957">
          <cell r="I2957">
            <v>0.118157</v>
          </cell>
        </row>
        <row r="2958">
          <cell r="I2958">
            <v>0.118197</v>
          </cell>
        </row>
        <row r="2959">
          <cell r="I2959">
            <v>0.11823699999999999</v>
          </cell>
        </row>
        <row r="2960">
          <cell r="I2960">
            <v>0.11827699999999999</v>
          </cell>
        </row>
        <row r="2961">
          <cell r="I2961">
            <v>0.11831700000000001</v>
          </cell>
        </row>
        <row r="2962">
          <cell r="I2962">
            <v>0.118357</v>
          </cell>
        </row>
        <row r="2963">
          <cell r="I2963">
            <v>0.118397</v>
          </cell>
        </row>
        <row r="2964">
          <cell r="I2964">
            <v>0.118437</v>
          </cell>
        </row>
        <row r="2965">
          <cell r="I2965">
            <v>0.118477</v>
          </cell>
        </row>
        <row r="2966">
          <cell r="I2966">
            <v>0.118517</v>
          </cell>
        </row>
        <row r="2967">
          <cell r="I2967">
            <v>0.118557</v>
          </cell>
        </row>
        <row r="2968">
          <cell r="I2968">
            <v>0.11859699999999999</v>
          </cell>
        </row>
        <row r="2969">
          <cell r="I2969">
            <v>0.11863700000000001</v>
          </cell>
        </row>
        <row r="2970">
          <cell r="I2970">
            <v>0.118677</v>
          </cell>
        </row>
        <row r="2971">
          <cell r="I2971">
            <v>0.118717</v>
          </cell>
        </row>
        <row r="2972">
          <cell r="I2972">
            <v>0.118757</v>
          </cell>
        </row>
        <row r="2973">
          <cell r="I2973">
            <v>0.118797</v>
          </cell>
        </row>
        <row r="2974">
          <cell r="I2974">
            <v>0.118837</v>
          </cell>
        </row>
        <row r="2975">
          <cell r="I2975">
            <v>0.118877</v>
          </cell>
        </row>
        <row r="2976">
          <cell r="I2976">
            <v>0.11891699999999999</v>
          </cell>
        </row>
        <row r="2977">
          <cell r="I2977">
            <v>0.11895699999999999</v>
          </cell>
        </row>
        <row r="2978">
          <cell r="I2978">
            <v>0.11899700000000001</v>
          </cell>
        </row>
        <row r="2979">
          <cell r="I2979">
            <v>0.119037</v>
          </cell>
        </row>
        <row r="2980">
          <cell r="I2980">
            <v>0.119077</v>
          </cell>
        </row>
        <row r="2981">
          <cell r="I2981">
            <v>0.119117</v>
          </cell>
        </row>
        <row r="2982">
          <cell r="I2982">
            <v>0.119157</v>
          </cell>
        </row>
        <row r="2983">
          <cell r="I2983">
            <v>0.119197</v>
          </cell>
        </row>
        <row r="2984">
          <cell r="I2984">
            <v>0.119237</v>
          </cell>
        </row>
        <row r="2985">
          <cell r="I2985">
            <v>0.11927699999999999</v>
          </cell>
        </row>
        <row r="2986">
          <cell r="I2986">
            <v>0.11931700000000001</v>
          </cell>
        </row>
        <row r="2987">
          <cell r="I2987">
            <v>0.119357</v>
          </cell>
        </row>
        <row r="2988">
          <cell r="I2988">
            <v>0.119397</v>
          </cell>
        </row>
        <row r="2989">
          <cell r="I2989">
            <v>0.119437</v>
          </cell>
        </row>
        <row r="2990">
          <cell r="I2990">
            <v>0.119477</v>
          </cell>
        </row>
        <row r="2991">
          <cell r="I2991">
            <v>0.119517</v>
          </cell>
        </row>
        <row r="2992">
          <cell r="I2992">
            <v>0.119557</v>
          </cell>
        </row>
        <row r="2993">
          <cell r="I2993">
            <v>0.11959699999999999</v>
          </cell>
        </row>
        <row r="2994">
          <cell r="I2994">
            <v>0.11963699999999999</v>
          </cell>
        </row>
        <row r="2995">
          <cell r="I2995">
            <v>0.11967700000000001</v>
          </cell>
        </row>
        <row r="2996">
          <cell r="I2996">
            <v>0.119717</v>
          </cell>
        </row>
        <row r="2997">
          <cell r="I2997">
            <v>0.119757</v>
          </cell>
        </row>
        <row r="2998">
          <cell r="I2998">
            <v>0.119797</v>
          </cell>
        </row>
        <row r="2999">
          <cell r="I2999">
            <v>0.119837</v>
          </cell>
        </row>
        <row r="3000">
          <cell r="I3000">
            <v>0.119877</v>
          </cell>
        </row>
        <row r="3001">
          <cell r="I3001">
            <v>0.119917</v>
          </cell>
        </row>
        <row r="3002">
          <cell r="I3002">
            <v>0.11995699999999999</v>
          </cell>
        </row>
        <row r="3003">
          <cell r="I3003">
            <v>0.11999700000000001</v>
          </cell>
        </row>
        <row r="3004">
          <cell r="I3004">
            <v>0.120037</v>
          </cell>
        </row>
        <row r="3005">
          <cell r="I3005">
            <v>0.120077</v>
          </cell>
        </row>
        <row r="3006">
          <cell r="I3006">
            <v>0.120117</v>
          </cell>
        </row>
        <row r="3007">
          <cell r="I3007">
            <v>0.120157</v>
          </cell>
        </row>
        <row r="3008">
          <cell r="I3008">
            <v>0.120197</v>
          </cell>
        </row>
        <row r="3009">
          <cell r="I3009">
            <v>0.120237</v>
          </cell>
        </row>
        <row r="3010">
          <cell r="I3010">
            <v>0.120277</v>
          </cell>
        </row>
        <row r="3011">
          <cell r="I3011">
            <v>0.12031699999999999</v>
          </cell>
        </row>
        <row r="3012">
          <cell r="I3012">
            <v>0.12035700000000001</v>
          </cell>
        </row>
        <row r="3013">
          <cell r="I3013">
            <v>0.120397</v>
          </cell>
        </row>
        <row r="3014">
          <cell r="I3014">
            <v>0.120437</v>
          </cell>
        </row>
        <row r="3015">
          <cell r="I3015">
            <v>0.120477</v>
          </cell>
        </row>
        <row r="3016">
          <cell r="I3016">
            <v>0.120517</v>
          </cell>
        </row>
        <row r="3017">
          <cell r="I3017">
            <v>0.120557</v>
          </cell>
        </row>
        <row r="3018">
          <cell r="I3018">
            <v>0.120597</v>
          </cell>
        </row>
        <row r="3019">
          <cell r="I3019">
            <v>0.12063699999999999</v>
          </cell>
        </row>
        <row r="3020">
          <cell r="I3020">
            <v>0.12067700000000001</v>
          </cell>
        </row>
        <row r="3021">
          <cell r="I3021">
            <v>0.120717</v>
          </cell>
        </row>
        <row r="3022">
          <cell r="I3022">
            <v>0.120757</v>
          </cell>
        </row>
        <row r="3023">
          <cell r="I3023">
            <v>0.120797</v>
          </cell>
        </row>
        <row r="3024">
          <cell r="I3024">
            <v>0.120837</v>
          </cell>
        </row>
        <row r="3025">
          <cell r="I3025">
            <v>0.120877</v>
          </cell>
        </row>
        <row r="3026">
          <cell r="I3026">
            <v>0.120917</v>
          </cell>
        </row>
        <row r="3027">
          <cell r="I3027">
            <v>0.120957</v>
          </cell>
        </row>
        <row r="3028">
          <cell r="I3028">
            <v>0.12099699999999999</v>
          </cell>
        </row>
        <row r="3029">
          <cell r="I3029">
            <v>0.12103700000000001</v>
          </cell>
        </row>
        <row r="3030">
          <cell r="I3030">
            <v>0.121077</v>
          </cell>
        </row>
        <row r="3031">
          <cell r="I3031">
            <v>0.121117</v>
          </cell>
        </row>
        <row r="3032">
          <cell r="I3032">
            <v>0.121157</v>
          </cell>
        </row>
        <row r="3033">
          <cell r="I3033">
            <v>0.121197</v>
          </cell>
        </row>
        <row r="3034">
          <cell r="I3034">
            <v>0.121237</v>
          </cell>
        </row>
        <row r="3035">
          <cell r="I3035">
            <v>0.121277</v>
          </cell>
        </row>
        <row r="3036">
          <cell r="I3036">
            <v>0.12131699999999999</v>
          </cell>
        </row>
        <row r="3037">
          <cell r="I3037">
            <v>0.12135700000000001</v>
          </cell>
        </row>
        <row r="3038">
          <cell r="I3038">
            <v>0.121397</v>
          </cell>
        </row>
        <row r="3039">
          <cell r="I3039">
            <v>0.121437</v>
          </cell>
        </row>
        <row r="3040">
          <cell r="I3040">
            <v>0.121477</v>
          </cell>
        </row>
        <row r="3041">
          <cell r="I3041">
            <v>0.121517</v>
          </cell>
        </row>
        <row r="3042">
          <cell r="I3042">
            <v>0.121557</v>
          </cell>
        </row>
        <row r="3043">
          <cell r="I3043">
            <v>0.121597</v>
          </cell>
        </row>
        <row r="3044">
          <cell r="I3044">
            <v>0.121637</v>
          </cell>
        </row>
        <row r="3045">
          <cell r="I3045">
            <v>0.12167699999999999</v>
          </cell>
        </row>
        <row r="3046">
          <cell r="I3046">
            <v>0.12171700000000001</v>
          </cell>
        </row>
        <row r="3047">
          <cell r="I3047">
            <v>0.121757</v>
          </cell>
        </row>
        <row r="3048">
          <cell r="I3048">
            <v>0.121797</v>
          </cell>
        </row>
        <row r="3049">
          <cell r="I3049">
            <v>0.121837</v>
          </cell>
        </row>
        <row r="3050">
          <cell r="I3050">
            <v>0.121877</v>
          </cell>
        </row>
        <row r="3051">
          <cell r="I3051">
            <v>0.121917</v>
          </cell>
        </row>
        <row r="3052">
          <cell r="I3052">
            <v>0.121957</v>
          </cell>
        </row>
        <row r="3053">
          <cell r="I3053">
            <v>0.12199699999999999</v>
          </cell>
        </row>
        <row r="3054">
          <cell r="I3054">
            <v>0.12203700000000001</v>
          </cell>
        </row>
        <row r="3055">
          <cell r="I3055">
            <v>0.122077</v>
          </cell>
        </row>
        <row r="3056">
          <cell r="I3056">
            <v>0.122117</v>
          </cell>
        </row>
        <row r="3057">
          <cell r="I3057">
            <v>0.122157</v>
          </cell>
        </row>
        <row r="3058">
          <cell r="I3058">
            <v>0.122197</v>
          </cell>
        </row>
        <row r="3059">
          <cell r="I3059">
            <v>0.122237</v>
          </cell>
        </row>
        <row r="3060">
          <cell r="I3060">
            <v>0.122277</v>
          </cell>
        </row>
        <row r="3061">
          <cell r="I3061">
            <v>0.122317</v>
          </cell>
        </row>
        <row r="3062">
          <cell r="I3062">
            <v>0.12235699999999999</v>
          </cell>
        </row>
        <row r="3063">
          <cell r="I3063">
            <v>0.12239700000000001</v>
          </cell>
        </row>
        <row r="3064">
          <cell r="I3064">
            <v>0.122437</v>
          </cell>
        </row>
        <row r="3065">
          <cell r="I3065">
            <v>0.122477</v>
          </cell>
        </row>
        <row r="3066">
          <cell r="I3066">
            <v>0.122517</v>
          </cell>
        </row>
        <row r="3067">
          <cell r="I3067">
            <v>0.122557</v>
          </cell>
        </row>
        <row r="3068">
          <cell r="I3068">
            <v>0.122597</v>
          </cell>
        </row>
        <row r="3069">
          <cell r="I3069">
            <v>0.122637</v>
          </cell>
        </row>
        <row r="3070">
          <cell r="I3070">
            <v>0.12267699999999999</v>
          </cell>
        </row>
        <row r="3071">
          <cell r="I3071">
            <v>0.12271700000000001</v>
          </cell>
        </row>
        <row r="3072">
          <cell r="I3072">
            <v>0.12275700000000001</v>
          </cell>
        </row>
        <row r="3073">
          <cell r="I3073">
            <v>0.122797</v>
          </cell>
        </row>
        <row r="3074">
          <cell r="I3074">
            <v>0.122837</v>
          </cell>
        </row>
        <row r="3075">
          <cell r="I3075">
            <v>0.122877</v>
          </cell>
        </row>
        <row r="3076">
          <cell r="I3076">
            <v>0.122917</v>
          </cell>
        </row>
        <row r="3077">
          <cell r="I3077">
            <v>0.122957</v>
          </cell>
        </row>
        <row r="3078">
          <cell r="I3078">
            <v>0.122997</v>
          </cell>
        </row>
        <row r="3079">
          <cell r="I3079">
            <v>0.12303699999999999</v>
          </cell>
        </row>
        <row r="3080">
          <cell r="I3080">
            <v>0.12307700000000001</v>
          </cell>
        </row>
        <row r="3081">
          <cell r="I3081">
            <v>0.123117</v>
          </cell>
        </row>
        <row r="3082">
          <cell r="I3082">
            <v>0.123157</v>
          </cell>
        </row>
        <row r="3083">
          <cell r="I3083">
            <v>0.123197</v>
          </cell>
        </row>
        <row r="3084">
          <cell r="I3084">
            <v>0.123237</v>
          </cell>
        </row>
        <row r="3085">
          <cell r="I3085">
            <v>0.123277</v>
          </cell>
        </row>
        <row r="3086">
          <cell r="I3086">
            <v>0.123317</v>
          </cell>
        </row>
        <row r="3087">
          <cell r="I3087">
            <v>0.12335699999999999</v>
          </cell>
        </row>
        <row r="3088">
          <cell r="I3088">
            <v>0.12339700000000001</v>
          </cell>
        </row>
        <row r="3089">
          <cell r="I3089">
            <v>0.12343700000000001</v>
          </cell>
        </row>
        <row r="3090">
          <cell r="I3090">
            <v>0.123477</v>
          </cell>
        </row>
        <row r="3091">
          <cell r="I3091">
            <v>0.123517</v>
          </cell>
        </row>
        <row r="3092">
          <cell r="I3092">
            <v>0.123557</v>
          </cell>
        </row>
        <row r="3093">
          <cell r="I3093">
            <v>0.123597</v>
          </cell>
        </row>
        <row r="3094">
          <cell r="I3094">
            <v>0.123637</v>
          </cell>
        </row>
        <row r="3095">
          <cell r="I3095">
            <v>0.123677</v>
          </cell>
        </row>
        <row r="3096">
          <cell r="I3096">
            <v>0.12371699999999999</v>
          </cell>
        </row>
        <row r="3097">
          <cell r="I3097">
            <v>0.12375700000000001</v>
          </cell>
        </row>
        <row r="3098">
          <cell r="I3098">
            <v>0.123797</v>
          </cell>
        </row>
        <row r="3099">
          <cell r="I3099">
            <v>0.123837</v>
          </cell>
        </row>
        <row r="3100">
          <cell r="I3100">
            <v>0.123877</v>
          </cell>
        </row>
        <row r="3101">
          <cell r="I3101">
            <v>0.123917</v>
          </cell>
        </row>
        <row r="3102">
          <cell r="I3102">
            <v>0.123957</v>
          </cell>
        </row>
        <row r="3103">
          <cell r="I3103">
            <v>0.123997</v>
          </cell>
        </row>
        <row r="3104">
          <cell r="I3104">
            <v>0.12403699999999999</v>
          </cell>
        </row>
        <row r="3105">
          <cell r="I3105">
            <v>0.12407700000000001</v>
          </cell>
        </row>
        <row r="3106">
          <cell r="I3106">
            <v>0.12411700000000001</v>
          </cell>
        </row>
        <row r="3107">
          <cell r="I3107">
            <v>0.124157</v>
          </cell>
        </row>
        <row r="3108">
          <cell r="I3108">
            <v>0.124197</v>
          </cell>
        </row>
        <row r="3109">
          <cell r="I3109">
            <v>0.124237</v>
          </cell>
        </row>
        <row r="3110">
          <cell r="I3110">
            <v>0.124277</v>
          </cell>
        </row>
        <row r="3111">
          <cell r="I3111">
            <v>0.124317</v>
          </cell>
        </row>
        <row r="3112">
          <cell r="I3112">
            <v>0.124357</v>
          </cell>
        </row>
        <row r="3113">
          <cell r="I3113">
            <v>0.12439699999999999</v>
          </cell>
        </row>
        <row r="3114">
          <cell r="I3114">
            <v>0.12443700000000001</v>
          </cell>
        </row>
        <row r="3115">
          <cell r="I3115">
            <v>0.124477</v>
          </cell>
        </row>
        <row r="3116">
          <cell r="I3116">
            <v>0.124517</v>
          </cell>
        </row>
        <row r="3117">
          <cell r="I3117">
            <v>0.124557</v>
          </cell>
        </row>
        <row r="3118">
          <cell r="I3118">
            <v>0.124597</v>
          </cell>
        </row>
        <row r="3119">
          <cell r="I3119">
            <v>0.124637</v>
          </cell>
        </row>
        <row r="3120">
          <cell r="I3120">
            <v>0.124677</v>
          </cell>
        </row>
        <row r="3121">
          <cell r="I3121">
            <v>0.12471699999999999</v>
          </cell>
        </row>
        <row r="3122">
          <cell r="I3122">
            <v>0.12475700000000001</v>
          </cell>
        </row>
        <row r="3123">
          <cell r="I3123">
            <v>0.12479700000000001</v>
          </cell>
        </row>
        <row r="3124">
          <cell r="I3124">
            <v>0.124837</v>
          </cell>
        </row>
        <row r="3125">
          <cell r="I3125">
            <v>0.124877</v>
          </cell>
        </row>
        <row r="3126">
          <cell r="I3126">
            <v>0.124917</v>
          </cell>
        </row>
        <row r="3127">
          <cell r="I3127">
            <v>0.124957</v>
          </cell>
        </row>
        <row r="3128">
          <cell r="I3128">
            <v>0.124997</v>
          </cell>
        </row>
        <row r="3129">
          <cell r="I3129">
            <v>0.12503700000000001</v>
          </cell>
        </row>
        <row r="3130">
          <cell r="I3130">
            <v>0.12507699999999999</v>
          </cell>
        </row>
        <row r="3131">
          <cell r="I3131">
            <v>0.12511700000000001</v>
          </cell>
        </row>
        <row r="3132">
          <cell r="I3132">
            <v>0.12515699999999999</v>
          </cell>
        </row>
        <row r="3133">
          <cell r="I3133">
            <v>0.125197</v>
          </cell>
        </row>
        <row r="3134">
          <cell r="I3134">
            <v>0.12523699999999999</v>
          </cell>
        </row>
        <row r="3135">
          <cell r="I3135">
            <v>0.125277</v>
          </cell>
        </row>
        <row r="3136">
          <cell r="I3136">
            <v>0.12531700000000001</v>
          </cell>
        </row>
        <row r="3137">
          <cell r="I3137">
            <v>0.125357</v>
          </cell>
        </row>
        <row r="3138">
          <cell r="I3138">
            <v>0.12539700000000001</v>
          </cell>
        </row>
        <row r="3139">
          <cell r="I3139">
            <v>0.12543699999999999</v>
          </cell>
        </row>
        <row r="3140">
          <cell r="I3140">
            <v>0.12547700000000001</v>
          </cell>
        </row>
        <row r="3141">
          <cell r="I3141">
            <v>0.12551699999999999</v>
          </cell>
        </row>
        <row r="3142">
          <cell r="I3142">
            <v>0.125557</v>
          </cell>
        </row>
        <row r="3143">
          <cell r="I3143">
            <v>0.12559699999999999</v>
          </cell>
        </row>
        <row r="3144">
          <cell r="I3144">
            <v>0.125637</v>
          </cell>
        </row>
        <row r="3145">
          <cell r="I3145">
            <v>0.12567700000000001</v>
          </cell>
        </row>
        <row r="3146">
          <cell r="I3146">
            <v>0.125717</v>
          </cell>
        </row>
        <row r="3147">
          <cell r="I3147">
            <v>0.12575700000000001</v>
          </cell>
        </row>
        <row r="3148">
          <cell r="I3148">
            <v>0.12579699999999999</v>
          </cell>
        </row>
        <row r="3149">
          <cell r="I3149">
            <v>0.125837</v>
          </cell>
        </row>
        <row r="3150">
          <cell r="I3150">
            <v>0.12587699999999999</v>
          </cell>
        </row>
        <row r="3151">
          <cell r="I3151">
            <v>0.125917</v>
          </cell>
        </row>
        <row r="3152">
          <cell r="I3152">
            <v>0.12595700000000001</v>
          </cell>
        </row>
        <row r="3153">
          <cell r="I3153">
            <v>0.125997</v>
          </cell>
        </row>
        <row r="3154">
          <cell r="I3154">
            <v>0.12603700000000001</v>
          </cell>
        </row>
        <row r="3155">
          <cell r="I3155">
            <v>0.12607699999999999</v>
          </cell>
        </row>
        <row r="3156">
          <cell r="I3156">
            <v>0.12611700000000001</v>
          </cell>
        </row>
        <row r="3157">
          <cell r="I3157">
            <v>0.12615699999999999</v>
          </cell>
        </row>
        <row r="3158">
          <cell r="I3158">
            <v>0.126197</v>
          </cell>
        </row>
        <row r="3159">
          <cell r="I3159">
            <v>0.12623699999999999</v>
          </cell>
        </row>
        <row r="3160">
          <cell r="I3160">
            <v>0.126277</v>
          </cell>
        </row>
        <row r="3161">
          <cell r="I3161">
            <v>0.12631700000000001</v>
          </cell>
        </row>
        <row r="3162">
          <cell r="I3162">
            <v>0.126357</v>
          </cell>
        </row>
        <row r="3163">
          <cell r="I3163">
            <v>0.12639700000000001</v>
          </cell>
        </row>
        <row r="3164">
          <cell r="I3164">
            <v>0.12643699999999999</v>
          </cell>
        </row>
        <row r="3165">
          <cell r="I3165">
            <v>0.12647700000000001</v>
          </cell>
        </row>
        <row r="3166">
          <cell r="I3166">
            <v>0.12651699999999999</v>
          </cell>
        </row>
        <row r="3167">
          <cell r="I3167">
            <v>0.126557</v>
          </cell>
        </row>
        <row r="3168">
          <cell r="I3168">
            <v>0.12659699999999999</v>
          </cell>
        </row>
        <row r="3169">
          <cell r="I3169">
            <v>0.126637</v>
          </cell>
        </row>
        <row r="3170">
          <cell r="I3170">
            <v>0.12667700000000001</v>
          </cell>
        </row>
        <row r="3171">
          <cell r="I3171">
            <v>0.126717</v>
          </cell>
        </row>
        <row r="3172">
          <cell r="I3172">
            <v>0.12675700000000001</v>
          </cell>
        </row>
        <row r="3173">
          <cell r="I3173">
            <v>0.12679699999999999</v>
          </cell>
        </row>
        <row r="3174">
          <cell r="I3174">
            <v>0.12683700000000001</v>
          </cell>
        </row>
        <row r="3175">
          <cell r="I3175">
            <v>0.12687699999999999</v>
          </cell>
        </row>
        <row r="3176">
          <cell r="I3176">
            <v>0.126917</v>
          </cell>
        </row>
        <row r="3177">
          <cell r="I3177">
            <v>0.12695699999999999</v>
          </cell>
        </row>
        <row r="3178">
          <cell r="I3178">
            <v>0.126997</v>
          </cell>
        </row>
        <row r="3179">
          <cell r="I3179">
            <v>0.12703700000000001</v>
          </cell>
        </row>
        <row r="3180">
          <cell r="I3180">
            <v>0.127077</v>
          </cell>
        </row>
        <row r="3181">
          <cell r="I3181">
            <v>0.12711700000000001</v>
          </cell>
        </row>
        <row r="3182">
          <cell r="I3182">
            <v>0.12715699999999999</v>
          </cell>
        </row>
        <row r="3183">
          <cell r="I3183">
            <v>0.127197</v>
          </cell>
        </row>
        <row r="3184">
          <cell r="I3184">
            <v>0.12723699999999999</v>
          </cell>
        </row>
        <row r="3185">
          <cell r="I3185">
            <v>0.127277</v>
          </cell>
        </row>
        <row r="3186">
          <cell r="I3186">
            <v>0.12731700000000001</v>
          </cell>
        </row>
        <row r="3187">
          <cell r="I3187">
            <v>0.127357</v>
          </cell>
        </row>
        <row r="3188">
          <cell r="I3188">
            <v>0.12739700000000001</v>
          </cell>
        </row>
        <row r="3189">
          <cell r="I3189">
            <v>0.12743699999999999</v>
          </cell>
        </row>
        <row r="3190">
          <cell r="I3190">
            <v>0.12747700000000001</v>
          </cell>
        </row>
        <row r="3191">
          <cell r="I3191">
            <v>0.12751699999999999</v>
          </cell>
        </row>
        <row r="3192">
          <cell r="I3192">
            <v>0.127557</v>
          </cell>
        </row>
        <row r="3193">
          <cell r="I3193">
            <v>0.12759699999999999</v>
          </cell>
        </row>
        <row r="3194">
          <cell r="I3194">
            <v>0.127637</v>
          </cell>
        </row>
        <row r="3195">
          <cell r="I3195">
            <v>0.12767700000000001</v>
          </cell>
        </row>
        <row r="3196">
          <cell r="I3196">
            <v>0.127717</v>
          </cell>
        </row>
        <row r="3197">
          <cell r="I3197">
            <v>0.12775700000000001</v>
          </cell>
        </row>
        <row r="3198">
          <cell r="I3198">
            <v>0.12779699999999999</v>
          </cell>
        </row>
        <row r="3199">
          <cell r="I3199">
            <v>0.12783700000000001</v>
          </cell>
        </row>
        <row r="3200">
          <cell r="I3200">
            <v>0.12787699999999999</v>
          </cell>
        </row>
        <row r="3201">
          <cell r="I3201">
            <v>0.127917</v>
          </cell>
        </row>
        <row r="3202">
          <cell r="I3202">
            <v>0.12795699999999999</v>
          </cell>
        </row>
        <row r="3203">
          <cell r="I3203">
            <v>0.127997</v>
          </cell>
        </row>
        <row r="3204">
          <cell r="I3204">
            <v>0.12803700000000001</v>
          </cell>
        </row>
        <row r="3205">
          <cell r="I3205">
            <v>0.128077</v>
          </cell>
        </row>
        <row r="3206">
          <cell r="I3206">
            <v>0.12811700000000001</v>
          </cell>
        </row>
        <row r="3207">
          <cell r="I3207">
            <v>0.12815699999999999</v>
          </cell>
        </row>
        <row r="3208">
          <cell r="I3208">
            <v>0.12819700000000001</v>
          </cell>
        </row>
        <row r="3209">
          <cell r="I3209">
            <v>0.12823699999999999</v>
          </cell>
        </row>
        <row r="3210">
          <cell r="I3210">
            <v>0.128277</v>
          </cell>
        </row>
        <row r="3211">
          <cell r="I3211">
            <v>0.12831699999999999</v>
          </cell>
        </row>
        <row r="3212">
          <cell r="I3212">
            <v>0.128357</v>
          </cell>
        </row>
        <row r="3213">
          <cell r="I3213">
            <v>0.12839700000000001</v>
          </cell>
        </row>
        <row r="3214">
          <cell r="I3214">
            <v>0.128437</v>
          </cell>
        </row>
        <row r="3215">
          <cell r="I3215">
            <v>0.12847700000000001</v>
          </cell>
        </row>
        <row r="3216">
          <cell r="I3216">
            <v>0.12851699999999999</v>
          </cell>
        </row>
        <row r="3217">
          <cell r="I3217">
            <v>0.128557</v>
          </cell>
        </row>
        <row r="3218">
          <cell r="I3218">
            <v>0.12859699999999999</v>
          </cell>
        </row>
        <row r="3219">
          <cell r="I3219">
            <v>0.128637</v>
          </cell>
        </row>
        <row r="3220">
          <cell r="I3220">
            <v>0.12867700000000001</v>
          </cell>
        </row>
        <row r="3221">
          <cell r="I3221">
            <v>0.128717</v>
          </cell>
        </row>
        <row r="3222">
          <cell r="I3222">
            <v>0.12875700000000001</v>
          </cell>
        </row>
        <row r="3223">
          <cell r="I3223">
            <v>0.12879699999999999</v>
          </cell>
        </row>
        <row r="3224">
          <cell r="I3224">
            <v>0.12883700000000001</v>
          </cell>
        </row>
        <row r="3225">
          <cell r="I3225">
            <v>0.12887699999999999</v>
          </cell>
        </row>
        <row r="3226">
          <cell r="I3226">
            <v>0.128917</v>
          </cell>
        </row>
        <row r="3227">
          <cell r="I3227">
            <v>0.12895699999999999</v>
          </cell>
        </row>
        <row r="3228">
          <cell r="I3228">
            <v>0.128997</v>
          </cell>
        </row>
        <row r="3229">
          <cell r="I3229">
            <v>0.12903700000000001</v>
          </cell>
        </row>
        <row r="3230">
          <cell r="I3230">
            <v>0.129077</v>
          </cell>
        </row>
        <row r="3231">
          <cell r="I3231">
            <v>0.12911700000000001</v>
          </cell>
        </row>
        <row r="3232">
          <cell r="I3232">
            <v>0.12915699999999999</v>
          </cell>
        </row>
        <row r="3233">
          <cell r="I3233">
            <v>0.12919700000000001</v>
          </cell>
        </row>
        <row r="3234">
          <cell r="I3234">
            <v>0.12923699999999999</v>
          </cell>
        </row>
        <row r="3235">
          <cell r="I3235">
            <v>0.129277</v>
          </cell>
        </row>
        <row r="3236">
          <cell r="I3236">
            <v>0.12931699999999999</v>
          </cell>
        </row>
        <row r="3237">
          <cell r="I3237">
            <v>0.129357</v>
          </cell>
        </row>
        <row r="3238">
          <cell r="I3238">
            <v>0.12939700000000001</v>
          </cell>
        </row>
        <row r="3239">
          <cell r="I3239">
            <v>0.129437</v>
          </cell>
        </row>
        <row r="3240">
          <cell r="I3240">
            <v>0.12947700000000001</v>
          </cell>
        </row>
        <row r="3241">
          <cell r="I3241">
            <v>0.12951699999999999</v>
          </cell>
        </row>
        <row r="3242">
          <cell r="I3242">
            <v>0.12955700000000001</v>
          </cell>
        </row>
        <row r="3243">
          <cell r="I3243">
            <v>0.12959699999999999</v>
          </cell>
        </row>
        <row r="3244">
          <cell r="I3244">
            <v>0.129637</v>
          </cell>
        </row>
        <row r="3245">
          <cell r="I3245">
            <v>0.12967699999999999</v>
          </cell>
        </row>
        <row r="3246">
          <cell r="I3246">
            <v>0.129717</v>
          </cell>
        </row>
        <row r="3247">
          <cell r="I3247">
            <v>0.12975700000000001</v>
          </cell>
        </row>
        <row r="3248">
          <cell r="I3248">
            <v>0.129797</v>
          </cell>
        </row>
        <row r="3249">
          <cell r="I3249">
            <v>0.12983700000000001</v>
          </cell>
        </row>
        <row r="3250">
          <cell r="I3250">
            <v>0.12987699999999999</v>
          </cell>
        </row>
        <row r="3251">
          <cell r="I3251">
            <v>0.129917</v>
          </cell>
        </row>
        <row r="3252">
          <cell r="I3252">
            <v>0.12995699999999999</v>
          </cell>
        </row>
        <row r="3253">
          <cell r="I3253">
            <v>0.129997</v>
          </cell>
        </row>
        <row r="3254">
          <cell r="I3254">
            <v>0.13003700000000001</v>
          </cell>
        </row>
        <row r="3255">
          <cell r="I3255">
            <v>0.130077</v>
          </cell>
        </row>
        <row r="3256">
          <cell r="I3256">
            <v>0.13011700000000001</v>
          </cell>
        </row>
        <row r="3257">
          <cell r="I3257">
            <v>0.13015699999999999</v>
          </cell>
        </row>
        <row r="3258">
          <cell r="I3258">
            <v>0.13019700000000001</v>
          </cell>
        </row>
        <row r="3259">
          <cell r="I3259">
            <v>0.13023699999999999</v>
          </cell>
        </row>
        <row r="3260">
          <cell r="I3260">
            <v>0.130277</v>
          </cell>
        </row>
        <row r="3261">
          <cell r="I3261">
            <v>0.13031699999999999</v>
          </cell>
        </row>
        <row r="3262">
          <cell r="I3262">
            <v>0.130357</v>
          </cell>
        </row>
        <row r="3263">
          <cell r="I3263">
            <v>0.13039700000000001</v>
          </cell>
        </row>
        <row r="3264">
          <cell r="I3264">
            <v>0.130437</v>
          </cell>
        </row>
        <row r="3265">
          <cell r="I3265">
            <v>0.13047700000000001</v>
          </cell>
        </row>
        <row r="3266">
          <cell r="I3266">
            <v>0.13051699999999999</v>
          </cell>
        </row>
        <row r="3267">
          <cell r="I3267">
            <v>0.13055700000000001</v>
          </cell>
        </row>
        <row r="3268">
          <cell r="I3268">
            <v>0.13059699999999999</v>
          </cell>
        </row>
        <row r="3269">
          <cell r="I3269">
            <v>0.130637</v>
          </cell>
        </row>
        <row r="3270">
          <cell r="I3270">
            <v>0.13067699999999999</v>
          </cell>
        </row>
        <row r="3271">
          <cell r="I3271">
            <v>0.130717</v>
          </cell>
        </row>
        <row r="3272">
          <cell r="I3272">
            <v>0.13075700000000001</v>
          </cell>
        </row>
        <row r="3273">
          <cell r="I3273">
            <v>0.130797</v>
          </cell>
        </row>
        <row r="3274">
          <cell r="I3274">
            <v>0.13083700000000001</v>
          </cell>
        </row>
        <row r="3275">
          <cell r="I3275">
            <v>0.13087699999999999</v>
          </cell>
        </row>
        <row r="3276">
          <cell r="I3276">
            <v>0.13091700000000001</v>
          </cell>
        </row>
        <row r="3277">
          <cell r="I3277">
            <v>0.13095699999999999</v>
          </cell>
        </row>
        <row r="3278">
          <cell r="I3278">
            <v>0.130997</v>
          </cell>
        </row>
        <row r="3279">
          <cell r="I3279">
            <v>0.13103699999999999</v>
          </cell>
        </row>
        <row r="3280">
          <cell r="I3280">
            <v>0.131077</v>
          </cell>
        </row>
        <row r="3281">
          <cell r="I3281">
            <v>0.13111700000000001</v>
          </cell>
        </row>
        <row r="3282">
          <cell r="I3282">
            <v>0.131157</v>
          </cell>
        </row>
        <row r="3283">
          <cell r="I3283">
            <v>0.13119700000000001</v>
          </cell>
        </row>
        <row r="3284">
          <cell r="I3284">
            <v>0.13123699999999999</v>
          </cell>
        </row>
        <row r="3285">
          <cell r="I3285">
            <v>0.131277</v>
          </cell>
        </row>
        <row r="3286">
          <cell r="I3286">
            <v>0.13131699999999999</v>
          </cell>
        </row>
        <row r="3287">
          <cell r="I3287">
            <v>0.131357</v>
          </cell>
        </row>
        <row r="3288">
          <cell r="I3288">
            <v>0.13139700000000001</v>
          </cell>
        </row>
        <row r="3289">
          <cell r="I3289">
            <v>0.131437</v>
          </cell>
        </row>
        <row r="3290">
          <cell r="I3290">
            <v>0.13147700000000001</v>
          </cell>
        </row>
        <row r="3291">
          <cell r="I3291">
            <v>0.131517</v>
          </cell>
        </row>
        <row r="3292">
          <cell r="I3292">
            <v>0.13155700000000001</v>
          </cell>
        </row>
        <row r="3293">
          <cell r="I3293">
            <v>0.13159699999999999</v>
          </cell>
        </row>
        <row r="3294">
          <cell r="I3294">
            <v>0.131637</v>
          </cell>
        </row>
        <row r="3295">
          <cell r="I3295">
            <v>0.13167699999999999</v>
          </cell>
        </row>
        <row r="3296">
          <cell r="I3296">
            <v>0.131717</v>
          </cell>
        </row>
        <row r="3297">
          <cell r="I3297">
            <v>0.13175700000000001</v>
          </cell>
        </row>
        <row r="3298">
          <cell r="I3298">
            <v>0.131797</v>
          </cell>
        </row>
        <row r="3299">
          <cell r="I3299">
            <v>0.13183700000000001</v>
          </cell>
        </row>
        <row r="3300">
          <cell r="I3300">
            <v>0.13187699999999999</v>
          </cell>
        </row>
        <row r="3301">
          <cell r="I3301">
            <v>0.13191700000000001</v>
          </cell>
        </row>
        <row r="3302">
          <cell r="I3302">
            <v>0.13195699999999999</v>
          </cell>
        </row>
        <row r="3303">
          <cell r="I3303">
            <v>0.131997</v>
          </cell>
        </row>
        <row r="3304">
          <cell r="I3304">
            <v>0.13203699999999999</v>
          </cell>
        </row>
        <row r="3305">
          <cell r="I3305">
            <v>0.132077</v>
          </cell>
        </row>
        <row r="3306">
          <cell r="I3306">
            <v>0.13211700000000001</v>
          </cell>
        </row>
        <row r="3307">
          <cell r="I3307">
            <v>0.132157</v>
          </cell>
        </row>
        <row r="3308">
          <cell r="I3308">
            <v>0.13219700000000001</v>
          </cell>
        </row>
        <row r="3309">
          <cell r="I3309">
            <v>0.13223699999999999</v>
          </cell>
        </row>
        <row r="3310">
          <cell r="I3310">
            <v>0.13227700000000001</v>
          </cell>
        </row>
        <row r="3311">
          <cell r="I3311">
            <v>0.13231699999999999</v>
          </cell>
        </row>
        <row r="3312">
          <cell r="I3312">
            <v>0.132357</v>
          </cell>
        </row>
        <row r="3313">
          <cell r="I3313">
            <v>0.13239699999999999</v>
          </cell>
        </row>
        <row r="3314">
          <cell r="I3314">
            <v>0.132437</v>
          </cell>
        </row>
        <row r="3315">
          <cell r="I3315">
            <v>0.13247700000000001</v>
          </cell>
        </row>
        <row r="3316">
          <cell r="I3316">
            <v>0.132517</v>
          </cell>
        </row>
        <row r="3317">
          <cell r="I3317">
            <v>0.13255700000000001</v>
          </cell>
        </row>
        <row r="3318">
          <cell r="I3318">
            <v>0.13259699999999999</v>
          </cell>
        </row>
        <row r="3319">
          <cell r="I3319">
            <v>0.132637</v>
          </cell>
        </row>
        <row r="3320">
          <cell r="I3320">
            <v>0.13267699999999999</v>
          </cell>
        </row>
        <row r="3321">
          <cell r="I3321">
            <v>0.132717</v>
          </cell>
        </row>
        <row r="3322">
          <cell r="I3322">
            <v>0.13275700000000001</v>
          </cell>
        </row>
        <row r="3323">
          <cell r="I3323">
            <v>0.132797</v>
          </cell>
        </row>
        <row r="3324">
          <cell r="I3324">
            <v>0.13283700000000001</v>
          </cell>
        </row>
        <row r="3325">
          <cell r="I3325">
            <v>0.132877</v>
          </cell>
        </row>
        <row r="3326">
          <cell r="I3326">
            <v>0.13291700000000001</v>
          </cell>
        </row>
        <row r="3327">
          <cell r="I3327">
            <v>0.13295699999999999</v>
          </cell>
        </row>
        <row r="3328">
          <cell r="I3328">
            <v>0.132997</v>
          </cell>
        </row>
        <row r="3329">
          <cell r="I3329">
            <v>0.13303699999999999</v>
          </cell>
        </row>
        <row r="3330">
          <cell r="I3330">
            <v>0.133077</v>
          </cell>
        </row>
        <row r="3331">
          <cell r="I3331">
            <v>0.13311700000000001</v>
          </cell>
        </row>
        <row r="3332">
          <cell r="I3332">
            <v>0.133157</v>
          </cell>
        </row>
        <row r="3333">
          <cell r="I3333">
            <v>0.13319700000000001</v>
          </cell>
        </row>
        <row r="3334">
          <cell r="I3334">
            <v>0.13323699999999999</v>
          </cell>
        </row>
        <row r="3335">
          <cell r="I3335">
            <v>0.13327700000000001</v>
          </cell>
        </row>
        <row r="3336">
          <cell r="I3336">
            <v>0.13331699999999999</v>
          </cell>
        </row>
        <row r="3337">
          <cell r="I3337">
            <v>0.133357</v>
          </cell>
        </row>
        <row r="3338">
          <cell r="I3338">
            <v>0.13339699999999999</v>
          </cell>
        </row>
        <row r="3339">
          <cell r="I3339">
            <v>0.133437</v>
          </cell>
        </row>
        <row r="3340">
          <cell r="I3340">
            <v>0.13347700000000001</v>
          </cell>
        </row>
        <row r="3341">
          <cell r="I3341">
            <v>0.133517</v>
          </cell>
        </row>
        <row r="3342">
          <cell r="I3342">
            <v>0.13355700000000001</v>
          </cell>
        </row>
        <row r="3343">
          <cell r="I3343">
            <v>0.13359699999999999</v>
          </cell>
        </row>
        <row r="3344">
          <cell r="I3344">
            <v>0.13363700000000001</v>
          </cell>
        </row>
        <row r="3345">
          <cell r="I3345">
            <v>0.13367699999999999</v>
          </cell>
        </row>
        <row r="3346">
          <cell r="I3346">
            <v>0.133717</v>
          </cell>
        </row>
        <row r="3347">
          <cell r="I3347">
            <v>0.13375699999999999</v>
          </cell>
        </row>
        <row r="3348">
          <cell r="I3348">
            <v>0.133797</v>
          </cell>
        </row>
        <row r="3349">
          <cell r="I3349">
            <v>0.13383700000000001</v>
          </cell>
        </row>
        <row r="3350">
          <cell r="I3350">
            <v>0.133877</v>
          </cell>
        </row>
        <row r="3351">
          <cell r="I3351">
            <v>0.13391700000000001</v>
          </cell>
        </row>
        <row r="3352">
          <cell r="I3352">
            <v>0.13395699999999999</v>
          </cell>
        </row>
        <row r="3353">
          <cell r="I3353">
            <v>0.133997</v>
          </cell>
        </row>
        <row r="3354">
          <cell r="I3354">
            <v>0.13403699999999999</v>
          </cell>
        </row>
        <row r="3355">
          <cell r="I3355">
            <v>0.134077</v>
          </cell>
        </row>
        <row r="3356">
          <cell r="I3356">
            <v>0.13411699999999999</v>
          </cell>
        </row>
        <row r="3357">
          <cell r="I3357">
            <v>0.134157</v>
          </cell>
        </row>
        <row r="3358">
          <cell r="I3358">
            <v>0.13419700000000001</v>
          </cell>
        </row>
        <row r="3359">
          <cell r="I3359">
            <v>0.134237</v>
          </cell>
        </row>
        <row r="3360">
          <cell r="I3360">
            <v>0.13427700000000001</v>
          </cell>
        </row>
        <row r="3361">
          <cell r="I3361">
            <v>0.13431699999999999</v>
          </cell>
        </row>
        <row r="3362">
          <cell r="I3362">
            <v>0.134357</v>
          </cell>
        </row>
        <row r="3363">
          <cell r="I3363">
            <v>0.13439699999999999</v>
          </cell>
        </row>
        <row r="3364">
          <cell r="I3364">
            <v>0.134437</v>
          </cell>
        </row>
        <row r="3365">
          <cell r="I3365">
            <v>0.13447700000000001</v>
          </cell>
        </row>
        <row r="3366">
          <cell r="I3366">
            <v>0.134517</v>
          </cell>
        </row>
        <row r="3367">
          <cell r="I3367">
            <v>0.13455700000000001</v>
          </cell>
        </row>
        <row r="3368">
          <cell r="I3368">
            <v>0.13459699999999999</v>
          </cell>
        </row>
        <row r="3369">
          <cell r="I3369">
            <v>0.13463700000000001</v>
          </cell>
        </row>
        <row r="3370">
          <cell r="I3370">
            <v>0.13467699999999999</v>
          </cell>
        </row>
        <row r="3371">
          <cell r="I3371">
            <v>0.134717</v>
          </cell>
        </row>
        <row r="3372">
          <cell r="I3372">
            <v>0.13475699999999999</v>
          </cell>
        </row>
        <row r="3373">
          <cell r="I3373">
            <v>0.134797</v>
          </cell>
        </row>
        <row r="3374">
          <cell r="I3374">
            <v>0.13483700000000001</v>
          </cell>
        </row>
        <row r="3375">
          <cell r="I3375">
            <v>0.134877</v>
          </cell>
        </row>
        <row r="3376">
          <cell r="I3376">
            <v>0.13491700000000001</v>
          </cell>
        </row>
        <row r="3377">
          <cell r="I3377">
            <v>0.13495699999999999</v>
          </cell>
        </row>
        <row r="3378">
          <cell r="I3378">
            <v>0.13499700000000001</v>
          </cell>
        </row>
        <row r="3379">
          <cell r="I3379">
            <v>0.13503699999999999</v>
          </cell>
        </row>
        <row r="3380">
          <cell r="I3380">
            <v>0.135077</v>
          </cell>
        </row>
        <row r="3381">
          <cell r="I3381">
            <v>0.13511699999999999</v>
          </cell>
        </row>
        <row r="3382">
          <cell r="I3382">
            <v>0.135157</v>
          </cell>
        </row>
        <row r="3383">
          <cell r="I3383">
            <v>0.13519700000000001</v>
          </cell>
        </row>
        <row r="3384">
          <cell r="I3384">
            <v>0.135237</v>
          </cell>
        </row>
        <row r="3385">
          <cell r="I3385">
            <v>0.13527700000000001</v>
          </cell>
        </row>
        <row r="3386">
          <cell r="I3386">
            <v>0.13531699999999999</v>
          </cell>
        </row>
        <row r="3387">
          <cell r="I3387">
            <v>0.13535700000000001</v>
          </cell>
        </row>
        <row r="3388">
          <cell r="I3388">
            <v>0.13539699999999999</v>
          </cell>
        </row>
        <row r="3389">
          <cell r="I3389">
            <v>0.135437</v>
          </cell>
        </row>
        <row r="3390">
          <cell r="I3390">
            <v>0.13547699999999999</v>
          </cell>
        </row>
        <row r="3391">
          <cell r="I3391">
            <v>0.135517</v>
          </cell>
        </row>
        <row r="3392">
          <cell r="I3392">
            <v>0.13555700000000001</v>
          </cell>
        </row>
        <row r="3393">
          <cell r="I3393">
            <v>0.135597</v>
          </cell>
        </row>
        <row r="3394">
          <cell r="I3394">
            <v>0.13563700000000001</v>
          </cell>
        </row>
        <row r="3395">
          <cell r="I3395">
            <v>0.13567699999999999</v>
          </cell>
        </row>
        <row r="3396">
          <cell r="I3396">
            <v>0.135717</v>
          </cell>
        </row>
        <row r="3397">
          <cell r="I3397">
            <v>0.13575699999999999</v>
          </cell>
        </row>
        <row r="3398">
          <cell r="I3398">
            <v>0.135797</v>
          </cell>
        </row>
        <row r="3399">
          <cell r="I3399">
            <v>0.13583700000000001</v>
          </cell>
        </row>
        <row r="3400">
          <cell r="I3400">
            <v>0.135877</v>
          </cell>
        </row>
        <row r="3401">
          <cell r="I3401">
            <v>0.13591700000000001</v>
          </cell>
        </row>
        <row r="3402">
          <cell r="I3402">
            <v>0.13595699999999999</v>
          </cell>
        </row>
        <row r="3403">
          <cell r="I3403">
            <v>0.13599700000000001</v>
          </cell>
        </row>
        <row r="3404">
          <cell r="I3404">
            <v>0.13603699999999999</v>
          </cell>
        </row>
        <row r="3405">
          <cell r="I3405">
            <v>0.136077</v>
          </cell>
        </row>
        <row r="3406">
          <cell r="I3406">
            <v>0.13611699999999999</v>
          </cell>
        </row>
        <row r="3407">
          <cell r="I3407">
            <v>0.136157</v>
          </cell>
        </row>
        <row r="3408">
          <cell r="I3408">
            <v>0.13619700000000001</v>
          </cell>
        </row>
        <row r="3409">
          <cell r="I3409">
            <v>0.136237</v>
          </cell>
        </row>
        <row r="3410">
          <cell r="I3410">
            <v>0.13627700000000001</v>
          </cell>
        </row>
        <row r="3411">
          <cell r="I3411">
            <v>0.13631699999999999</v>
          </cell>
        </row>
        <row r="3412">
          <cell r="I3412">
            <v>0.13635700000000001</v>
          </cell>
        </row>
        <row r="3413">
          <cell r="I3413">
            <v>0.13639699999999999</v>
          </cell>
        </row>
        <row r="3414">
          <cell r="I3414">
            <v>0.136437</v>
          </cell>
        </row>
        <row r="3415">
          <cell r="I3415">
            <v>0.13647699999999999</v>
          </cell>
        </row>
        <row r="3416">
          <cell r="I3416">
            <v>0.136517</v>
          </cell>
        </row>
        <row r="3417">
          <cell r="I3417">
            <v>0.13655700000000001</v>
          </cell>
        </row>
        <row r="3418">
          <cell r="I3418">
            <v>0.136597</v>
          </cell>
        </row>
        <row r="3419">
          <cell r="I3419">
            <v>0.13663700000000001</v>
          </cell>
        </row>
        <row r="3420">
          <cell r="I3420">
            <v>0.13667699999999999</v>
          </cell>
        </row>
        <row r="3421">
          <cell r="I3421">
            <v>0.13671700000000001</v>
          </cell>
        </row>
        <row r="3422">
          <cell r="I3422">
            <v>0.13675699999999999</v>
          </cell>
        </row>
        <row r="3423">
          <cell r="I3423">
            <v>0.136797</v>
          </cell>
        </row>
        <row r="3424">
          <cell r="I3424">
            <v>0.13683699999999999</v>
          </cell>
        </row>
        <row r="3425">
          <cell r="I3425">
            <v>0.136877</v>
          </cell>
        </row>
        <row r="3426">
          <cell r="I3426">
            <v>0.13691700000000001</v>
          </cell>
        </row>
        <row r="3427">
          <cell r="I3427">
            <v>0.136957</v>
          </cell>
        </row>
        <row r="3428">
          <cell r="I3428">
            <v>0.13699700000000001</v>
          </cell>
        </row>
        <row r="3429">
          <cell r="I3429">
            <v>0.13703699999999999</v>
          </cell>
        </row>
        <row r="3430">
          <cell r="I3430">
            <v>0.137077</v>
          </cell>
        </row>
        <row r="3431">
          <cell r="I3431">
            <v>0.13711699999999999</v>
          </cell>
        </row>
        <row r="3432">
          <cell r="I3432">
            <v>0.137157</v>
          </cell>
        </row>
        <row r="3433">
          <cell r="I3433">
            <v>0.13719700000000001</v>
          </cell>
        </row>
        <row r="3434">
          <cell r="I3434">
            <v>0.137237</v>
          </cell>
        </row>
        <row r="3435">
          <cell r="I3435">
            <v>0.13727700000000001</v>
          </cell>
        </row>
        <row r="3436">
          <cell r="I3436">
            <v>0.13731699999999999</v>
          </cell>
        </row>
        <row r="3437">
          <cell r="I3437">
            <v>0.13735700000000001</v>
          </cell>
        </row>
        <row r="3438">
          <cell r="I3438">
            <v>0.13739699999999999</v>
          </cell>
        </row>
        <row r="3439">
          <cell r="I3439">
            <v>0.137437</v>
          </cell>
        </row>
        <row r="3440">
          <cell r="I3440">
            <v>0.13747699999999999</v>
          </cell>
        </row>
        <row r="3441">
          <cell r="I3441">
            <v>0.137517</v>
          </cell>
        </row>
        <row r="3442">
          <cell r="I3442">
            <v>0.13755700000000001</v>
          </cell>
        </row>
        <row r="3443">
          <cell r="I3443">
            <v>0.137597</v>
          </cell>
        </row>
        <row r="3444">
          <cell r="I3444">
            <v>0.13763700000000001</v>
          </cell>
        </row>
        <row r="3445">
          <cell r="I3445">
            <v>0.13767699999999999</v>
          </cell>
        </row>
        <row r="3446">
          <cell r="I3446">
            <v>0.13771700000000001</v>
          </cell>
        </row>
        <row r="3447">
          <cell r="I3447">
            <v>0.13775699999999999</v>
          </cell>
        </row>
        <row r="3448">
          <cell r="I3448">
            <v>0.137797</v>
          </cell>
        </row>
        <row r="3449">
          <cell r="I3449">
            <v>0.13783699999999999</v>
          </cell>
        </row>
        <row r="3450">
          <cell r="I3450">
            <v>0.137877</v>
          </cell>
        </row>
        <row r="3451">
          <cell r="I3451">
            <v>0.13791700000000001</v>
          </cell>
        </row>
        <row r="3452">
          <cell r="I3452">
            <v>0.137957</v>
          </cell>
        </row>
        <row r="3453">
          <cell r="I3453">
            <v>0.13799700000000001</v>
          </cell>
        </row>
        <row r="3454">
          <cell r="I3454">
            <v>0.13803699999999999</v>
          </cell>
        </row>
        <row r="3455">
          <cell r="I3455">
            <v>0.13807700000000001</v>
          </cell>
        </row>
        <row r="3456">
          <cell r="I3456">
            <v>0.13811699999999999</v>
          </cell>
        </row>
        <row r="3457">
          <cell r="I3457">
            <v>0.138157</v>
          </cell>
        </row>
        <row r="3458">
          <cell r="I3458">
            <v>0.13819699999999999</v>
          </cell>
        </row>
        <row r="3459">
          <cell r="I3459">
            <v>0.138237</v>
          </cell>
        </row>
        <row r="3460">
          <cell r="I3460">
            <v>0.13827700000000001</v>
          </cell>
        </row>
        <row r="3461">
          <cell r="I3461">
            <v>0.138317</v>
          </cell>
        </row>
        <row r="3462">
          <cell r="I3462">
            <v>0.13835700000000001</v>
          </cell>
        </row>
        <row r="3463">
          <cell r="I3463">
            <v>0.13839699999999999</v>
          </cell>
        </row>
        <row r="3464">
          <cell r="I3464">
            <v>0.138437</v>
          </cell>
        </row>
        <row r="3465">
          <cell r="I3465">
            <v>0.13847699999999999</v>
          </cell>
        </row>
        <row r="3466">
          <cell r="I3466">
            <v>0.138517</v>
          </cell>
        </row>
        <row r="3467">
          <cell r="I3467">
            <v>0.13855700000000001</v>
          </cell>
        </row>
        <row r="3468">
          <cell r="I3468">
            <v>0.138597</v>
          </cell>
        </row>
        <row r="3469">
          <cell r="I3469">
            <v>0.13863700000000001</v>
          </cell>
        </row>
        <row r="3470">
          <cell r="I3470">
            <v>0.13867699999999999</v>
          </cell>
        </row>
        <row r="3471">
          <cell r="I3471">
            <v>0.13871700000000001</v>
          </cell>
        </row>
        <row r="3472">
          <cell r="I3472">
            <v>0.13875699999999999</v>
          </cell>
        </row>
        <row r="3473">
          <cell r="I3473">
            <v>0.138797</v>
          </cell>
        </row>
        <row r="3474">
          <cell r="I3474">
            <v>0.13883699999999999</v>
          </cell>
        </row>
        <row r="3475">
          <cell r="I3475">
            <v>0.138877</v>
          </cell>
        </row>
        <row r="3476">
          <cell r="I3476">
            <v>0.13891700000000001</v>
          </cell>
        </row>
        <row r="3477">
          <cell r="I3477">
            <v>0.138957</v>
          </cell>
        </row>
        <row r="3478">
          <cell r="I3478">
            <v>0.13899700000000001</v>
          </cell>
        </row>
        <row r="3479">
          <cell r="I3479">
            <v>0.13903699999999999</v>
          </cell>
        </row>
        <row r="3480">
          <cell r="I3480">
            <v>0.13907700000000001</v>
          </cell>
        </row>
        <row r="3481">
          <cell r="I3481">
            <v>0.13911699999999999</v>
          </cell>
        </row>
        <row r="3482">
          <cell r="I3482">
            <v>0.139157</v>
          </cell>
        </row>
        <row r="3483">
          <cell r="I3483">
            <v>0.13919699999999999</v>
          </cell>
        </row>
        <row r="3484">
          <cell r="I3484">
            <v>0.139237</v>
          </cell>
        </row>
        <row r="3485">
          <cell r="I3485">
            <v>0.13927700000000001</v>
          </cell>
        </row>
        <row r="3486">
          <cell r="I3486">
            <v>0.139317</v>
          </cell>
        </row>
        <row r="3487">
          <cell r="I3487">
            <v>0.13935700000000001</v>
          </cell>
        </row>
        <row r="3488">
          <cell r="I3488">
            <v>0.13939699999999999</v>
          </cell>
        </row>
        <row r="3489">
          <cell r="I3489">
            <v>0.13943700000000001</v>
          </cell>
        </row>
        <row r="3490">
          <cell r="I3490">
            <v>0.13947699999999999</v>
          </cell>
        </row>
        <row r="3491">
          <cell r="I3491">
            <v>0.139517</v>
          </cell>
        </row>
        <row r="3492">
          <cell r="I3492">
            <v>0.13955699999999999</v>
          </cell>
        </row>
        <row r="3493">
          <cell r="I3493">
            <v>0.139597</v>
          </cell>
        </row>
        <row r="3494">
          <cell r="I3494">
            <v>0.13963700000000001</v>
          </cell>
        </row>
        <row r="3495">
          <cell r="I3495">
            <v>0.139677</v>
          </cell>
        </row>
        <row r="3496">
          <cell r="I3496">
            <v>0.13971700000000001</v>
          </cell>
        </row>
        <row r="3497">
          <cell r="I3497">
            <v>0.13975699999999999</v>
          </cell>
        </row>
        <row r="3498">
          <cell r="I3498">
            <v>0.139797</v>
          </cell>
        </row>
        <row r="3499">
          <cell r="I3499">
            <v>0.13983699999999999</v>
          </cell>
        </row>
        <row r="3500">
          <cell r="I3500">
            <v>0.139877</v>
          </cell>
        </row>
        <row r="3501">
          <cell r="I3501">
            <v>0.13991700000000001</v>
          </cell>
        </row>
        <row r="3502">
          <cell r="I3502">
            <v>0.139957</v>
          </cell>
        </row>
        <row r="3503">
          <cell r="I3503">
            <v>0.13999700000000001</v>
          </cell>
        </row>
        <row r="3504">
          <cell r="I3504">
            <v>0.14003699999999999</v>
          </cell>
        </row>
        <row r="3505">
          <cell r="I3505">
            <v>0.14007700000000001</v>
          </cell>
        </row>
        <row r="3506">
          <cell r="I3506">
            <v>0.14011699999999999</v>
          </cell>
        </row>
        <row r="3507">
          <cell r="I3507">
            <v>0.140157</v>
          </cell>
        </row>
        <row r="3508">
          <cell r="I3508">
            <v>0.14019699999999999</v>
          </cell>
        </row>
        <row r="3509">
          <cell r="I3509">
            <v>0.140237</v>
          </cell>
        </row>
        <row r="3510">
          <cell r="I3510">
            <v>0.14027700000000001</v>
          </cell>
        </row>
        <row r="3511">
          <cell r="I3511">
            <v>0.140317</v>
          </cell>
        </row>
        <row r="3512">
          <cell r="I3512">
            <v>0.14035700000000001</v>
          </cell>
        </row>
        <row r="3513">
          <cell r="I3513">
            <v>0.14039699999999999</v>
          </cell>
        </row>
        <row r="3514">
          <cell r="I3514">
            <v>0.14043700000000001</v>
          </cell>
        </row>
        <row r="3515">
          <cell r="I3515">
            <v>0.14047699999999999</v>
          </cell>
        </row>
        <row r="3516">
          <cell r="I3516">
            <v>0.140517</v>
          </cell>
        </row>
        <row r="3517">
          <cell r="I3517">
            <v>0.14055699999999999</v>
          </cell>
        </row>
        <row r="3518">
          <cell r="I3518">
            <v>0.140597</v>
          </cell>
        </row>
        <row r="3519">
          <cell r="I3519">
            <v>0.14063700000000001</v>
          </cell>
        </row>
        <row r="3520">
          <cell r="I3520">
            <v>0.140677</v>
          </cell>
        </row>
        <row r="3521">
          <cell r="I3521">
            <v>0.14071700000000001</v>
          </cell>
        </row>
        <row r="3522">
          <cell r="I3522">
            <v>0.14075699999999999</v>
          </cell>
        </row>
        <row r="3523">
          <cell r="I3523">
            <v>0.14079700000000001</v>
          </cell>
        </row>
        <row r="3524">
          <cell r="I3524">
            <v>0.14083699999999999</v>
          </cell>
        </row>
        <row r="3525">
          <cell r="I3525">
            <v>0.140877</v>
          </cell>
        </row>
        <row r="3526">
          <cell r="I3526">
            <v>0.14091699999999999</v>
          </cell>
        </row>
        <row r="3527">
          <cell r="I3527">
            <v>0.140957</v>
          </cell>
        </row>
        <row r="3528">
          <cell r="I3528">
            <v>0.14099700000000001</v>
          </cell>
        </row>
        <row r="3529">
          <cell r="I3529">
            <v>0.141037</v>
          </cell>
        </row>
        <row r="3530">
          <cell r="I3530">
            <v>0.14107700000000001</v>
          </cell>
        </row>
        <row r="3531">
          <cell r="I3531">
            <v>0.14111699999999999</v>
          </cell>
        </row>
        <row r="3532">
          <cell r="I3532">
            <v>0.141157</v>
          </cell>
        </row>
        <row r="3533">
          <cell r="I3533">
            <v>0.14119699999999999</v>
          </cell>
        </row>
        <row r="3534">
          <cell r="I3534">
            <v>0.141237</v>
          </cell>
        </row>
        <row r="3535">
          <cell r="I3535">
            <v>0.14127700000000001</v>
          </cell>
        </row>
        <row r="3536">
          <cell r="I3536">
            <v>0.141317</v>
          </cell>
        </row>
        <row r="3537">
          <cell r="I3537">
            <v>0.14135700000000001</v>
          </cell>
        </row>
        <row r="3538">
          <cell r="I3538">
            <v>0.14139699999999999</v>
          </cell>
        </row>
        <row r="3539">
          <cell r="I3539">
            <v>0.14143700000000001</v>
          </cell>
        </row>
        <row r="3540">
          <cell r="I3540">
            <v>0.14147699999999999</v>
          </cell>
        </row>
        <row r="3541">
          <cell r="I3541">
            <v>0.141517</v>
          </cell>
        </row>
        <row r="3542">
          <cell r="I3542">
            <v>0.14155699999999999</v>
          </cell>
        </row>
        <row r="3543">
          <cell r="I3543">
            <v>0.141597</v>
          </cell>
        </row>
        <row r="3544">
          <cell r="I3544">
            <v>0.14163700000000001</v>
          </cell>
        </row>
        <row r="3545">
          <cell r="I3545">
            <v>0.141677</v>
          </cell>
        </row>
        <row r="3546">
          <cell r="I3546">
            <v>0.14171700000000001</v>
          </cell>
        </row>
        <row r="3547">
          <cell r="I3547">
            <v>0.14175699999999999</v>
          </cell>
        </row>
        <row r="3548">
          <cell r="I3548">
            <v>0.14179700000000001</v>
          </cell>
        </row>
        <row r="3549">
          <cell r="I3549">
            <v>0.14183699999999999</v>
          </cell>
        </row>
        <row r="3550">
          <cell r="I3550">
            <v>0.141877</v>
          </cell>
        </row>
        <row r="3551">
          <cell r="I3551">
            <v>0.14191699999999999</v>
          </cell>
        </row>
        <row r="3552">
          <cell r="I3552">
            <v>0.141957</v>
          </cell>
        </row>
        <row r="3553">
          <cell r="I3553">
            <v>0.14199700000000001</v>
          </cell>
        </row>
        <row r="3554">
          <cell r="I3554">
            <v>0.142037</v>
          </cell>
        </row>
        <row r="3555">
          <cell r="I3555">
            <v>0.14207700000000001</v>
          </cell>
        </row>
        <row r="3556">
          <cell r="I3556">
            <v>0.14211699999999999</v>
          </cell>
        </row>
        <row r="3557">
          <cell r="I3557">
            <v>0.14215700000000001</v>
          </cell>
        </row>
        <row r="3558">
          <cell r="I3558">
            <v>0.14219699999999999</v>
          </cell>
        </row>
        <row r="3559">
          <cell r="I3559">
            <v>0.142237</v>
          </cell>
        </row>
        <row r="3560">
          <cell r="I3560">
            <v>0.14227699999999999</v>
          </cell>
        </row>
        <row r="3561">
          <cell r="I3561">
            <v>0.142317</v>
          </cell>
        </row>
        <row r="3562">
          <cell r="I3562">
            <v>0.14235700000000001</v>
          </cell>
        </row>
        <row r="3563">
          <cell r="I3563">
            <v>0.142397</v>
          </cell>
        </row>
        <row r="3564">
          <cell r="I3564">
            <v>0.14243700000000001</v>
          </cell>
        </row>
        <row r="3565">
          <cell r="I3565">
            <v>0.14247699999999999</v>
          </cell>
        </row>
        <row r="3566">
          <cell r="I3566">
            <v>0.142517</v>
          </cell>
        </row>
        <row r="3567">
          <cell r="I3567">
            <v>0.14255699999999999</v>
          </cell>
        </row>
        <row r="3568">
          <cell r="I3568">
            <v>0.142597</v>
          </cell>
        </row>
        <row r="3569">
          <cell r="I3569">
            <v>0.14263700000000001</v>
          </cell>
        </row>
        <row r="3570">
          <cell r="I3570">
            <v>0.142677</v>
          </cell>
        </row>
        <row r="3571">
          <cell r="I3571">
            <v>0.14271700000000001</v>
          </cell>
        </row>
        <row r="3572">
          <cell r="I3572">
            <v>0.142757</v>
          </cell>
        </row>
        <row r="3573">
          <cell r="I3573">
            <v>0.14279700000000001</v>
          </cell>
        </row>
        <row r="3574">
          <cell r="I3574">
            <v>0.14283699999999999</v>
          </cell>
        </row>
        <row r="3575">
          <cell r="I3575">
            <v>0.142877</v>
          </cell>
        </row>
        <row r="3576">
          <cell r="I3576">
            <v>0.14291699999999999</v>
          </cell>
        </row>
        <row r="3577">
          <cell r="I3577">
            <v>0.142957</v>
          </cell>
        </row>
        <row r="3578">
          <cell r="I3578">
            <v>0.14299700000000001</v>
          </cell>
        </row>
        <row r="3579">
          <cell r="I3579">
            <v>0.143037</v>
          </cell>
        </row>
        <row r="3580">
          <cell r="I3580">
            <v>0.14307700000000001</v>
          </cell>
        </row>
        <row r="3581">
          <cell r="I3581">
            <v>0.14311699999999999</v>
          </cell>
        </row>
        <row r="3582">
          <cell r="I3582">
            <v>0.14315700000000001</v>
          </cell>
        </row>
        <row r="3583">
          <cell r="I3583">
            <v>0.14319699999999999</v>
          </cell>
        </row>
        <row r="3584">
          <cell r="I3584">
            <v>0.143237</v>
          </cell>
        </row>
        <row r="3585">
          <cell r="I3585">
            <v>0.14327699999999999</v>
          </cell>
        </row>
        <row r="3586">
          <cell r="I3586">
            <v>0.143317</v>
          </cell>
        </row>
        <row r="3587">
          <cell r="I3587">
            <v>0.14335700000000001</v>
          </cell>
        </row>
        <row r="3588">
          <cell r="I3588">
            <v>0.143397</v>
          </cell>
        </row>
        <row r="3589">
          <cell r="I3589">
            <v>0.14343700000000001</v>
          </cell>
        </row>
        <row r="3590">
          <cell r="I3590">
            <v>0.14347699999999999</v>
          </cell>
        </row>
        <row r="3591">
          <cell r="I3591">
            <v>0.14351700000000001</v>
          </cell>
        </row>
        <row r="3592">
          <cell r="I3592">
            <v>0.14355699999999999</v>
          </cell>
        </row>
        <row r="3593">
          <cell r="I3593">
            <v>0.143597</v>
          </cell>
        </row>
        <row r="3594">
          <cell r="I3594">
            <v>0.14363699999999999</v>
          </cell>
        </row>
        <row r="3595">
          <cell r="I3595">
            <v>0.143677</v>
          </cell>
        </row>
        <row r="3596">
          <cell r="I3596">
            <v>0.14371700000000001</v>
          </cell>
        </row>
        <row r="3597">
          <cell r="I3597">
            <v>0.143757</v>
          </cell>
        </row>
        <row r="3598">
          <cell r="I3598">
            <v>0.14379700000000001</v>
          </cell>
        </row>
        <row r="3599">
          <cell r="I3599">
            <v>0.14383699999999999</v>
          </cell>
        </row>
        <row r="3600">
          <cell r="I3600">
            <v>0.143877</v>
          </cell>
        </row>
        <row r="3601">
          <cell r="I3601">
            <v>0.14391699999999999</v>
          </cell>
        </row>
        <row r="3602">
          <cell r="I3602">
            <v>0.143957</v>
          </cell>
        </row>
        <row r="3603">
          <cell r="I3603">
            <v>0.14399700000000001</v>
          </cell>
        </row>
        <row r="3604">
          <cell r="I3604">
            <v>0.144037</v>
          </cell>
        </row>
        <row r="3605">
          <cell r="I3605">
            <v>0.14407700000000001</v>
          </cell>
        </row>
        <row r="3606">
          <cell r="I3606">
            <v>0.144117</v>
          </cell>
        </row>
        <row r="3607">
          <cell r="I3607">
            <v>0.14415700000000001</v>
          </cell>
        </row>
        <row r="3608">
          <cell r="I3608">
            <v>0.14419699999999999</v>
          </cell>
        </row>
        <row r="3609">
          <cell r="I3609">
            <v>0.144237</v>
          </cell>
        </row>
        <row r="3610">
          <cell r="I3610">
            <v>0.14427699999999999</v>
          </cell>
        </row>
        <row r="3611">
          <cell r="I3611">
            <v>0.144317</v>
          </cell>
        </row>
        <row r="3612">
          <cell r="I3612">
            <v>0.14435700000000001</v>
          </cell>
        </row>
        <row r="3613">
          <cell r="I3613">
            <v>0.144397</v>
          </cell>
        </row>
        <row r="3614">
          <cell r="I3614">
            <v>0.14443700000000001</v>
          </cell>
        </row>
        <row r="3615">
          <cell r="I3615">
            <v>0.14447699999999999</v>
          </cell>
        </row>
        <row r="3616">
          <cell r="I3616">
            <v>0.14451700000000001</v>
          </cell>
        </row>
        <row r="3617">
          <cell r="I3617">
            <v>0.14455699999999999</v>
          </cell>
        </row>
        <row r="3618">
          <cell r="I3618">
            <v>0.144597</v>
          </cell>
        </row>
        <row r="3619">
          <cell r="I3619">
            <v>0.14463699999999999</v>
          </cell>
        </row>
        <row r="3620">
          <cell r="I3620">
            <v>0.144677</v>
          </cell>
        </row>
        <row r="3621">
          <cell r="I3621">
            <v>0.14471700000000001</v>
          </cell>
        </row>
        <row r="3622">
          <cell r="I3622">
            <v>0.144757</v>
          </cell>
        </row>
        <row r="3623">
          <cell r="I3623">
            <v>0.14479700000000001</v>
          </cell>
        </row>
        <row r="3624">
          <cell r="I3624">
            <v>0.14483699999999999</v>
          </cell>
        </row>
        <row r="3625">
          <cell r="I3625">
            <v>0.14487700000000001</v>
          </cell>
        </row>
        <row r="3626">
          <cell r="I3626">
            <v>0.14491699999999999</v>
          </cell>
        </row>
        <row r="3627">
          <cell r="I3627">
            <v>0.144957</v>
          </cell>
        </row>
        <row r="3628">
          <cell r="I3628">
            <v>0.14499699999999999</v>
          </cell>
        </row>
        <row r="3629">
          <cell r="I3629">
            <v>0.145037</v>
          </cell>
        </row>
        <row r="3630">
          <cell r="I3630">
            <v>0.14507700000000001</v>
          </cell>
        </row>
        <row r="3631">
          <cell r="I3631">
            <v>0.145117</v>
          </cell>
        </row>
        <row r="3632">
          <cell r="I3632">
            <v>0.14515700000000001</v>
          </cell>
        </row>
        <row r="3633">
          <cell r="I3633">
            <v>0.14519699999999999</v>
          </cell>
        </row>
        <row r="3634">
          <cell r="I3634">
            <v>0.145237</v>
          </cell>
        </row>
        <row r="3635">
          <cell r="I3635">
            <v>0.14527699999999999</v>
          </cell>
        </row>
        <row r="3636">
          <cell r="I3636">
            <v>0.145317</v>
          </cell>
        </row>
        <row r="3637">
          <cell r="I3637">
            <v>0.14535699999999999</v>
          </cell>
        </row>
        <row r="3638">
          <cell r="I3638">
            <v>0.145397</v>
          </cell>
        </row>
        <row r="3639">
          <cell r="I3639">
            <v>0.14543700000000001</v>
          </cell>
        </row>
        <row r="3640">
          <cell r="I3640">
            <v>0.145477</v>
          </cell>
        </row>
        <row r="3641">
          <cell r="I3641">
            <v>0.14551700000000001</v>
          </cell>
        </row>
        <row r="3642">
          <cell r="I3642">
            <v>0.14555699999999999</v>
          </cell>
        </row>
        <row r="3643">
          <cell r="I3643">
            <v>0.145597</v>
          </cell>
        </row>
        <row r="3644">
          <cell r="I3644">
            <v>0.14563699999999999</v>
          </cell>
        </row>
        <row r="3645">
          <cell r="I3645">
            <v>0.145677</v>
          </cell>
        </row>
        <row r="3646">
          <cell r="I3646">
            <v>0.14571700000000001</v>
          </cell>
        </row>
        <row r="3647">
          <cell r="I3647">
            <v>0.145757</v>
          </cell>
        </row>
        <row r="3648">
          <cell r="I3648">
            <v>0.14579700000000001</v>
          </cell>
        </row>
        <row r="3649">
          <cell r="I3649">
            <v>0.14583699999999999</v>
          </cell>
        </row>
        <row r="3650">
          <cell r="I3650">
            <v>0.14587700000000001</v>
          </cell>
        </row>
        <row r="3651">
          <cell r="I3651">
            <v>0.14591699999999999</v>
          </cell>
        </row>
        <row r="3652">
          <cell r="I3652">
            <v>0.145957</v>
          </cell>
        </row>
        <row r="3653">
          <cell r="I3653">
            <v>0.14599699999999999</v>
          </cell>
        </row>
        <row r="3654">
          <cell r="I3654">
            <v>0.146037</v>
          </cell>
        </row>
        <row r="3655">
          <cell r="I3655">
            <v>0.14607700000000001</v>
          </cell>
        </row>
        <row r="3656">
          <cell r="I3656">
            <v>0.146117</v>
          </cell>
        </row>
        <row r="3657">
          <cell r="I3657">
            <v>0.14615700000000001</v>
          </cell>
        </row>
        <row r="3658">
          <cell r="I3658">
            <v>0.14619699999999999</v>
          </cell>
        </row>
        <row r="3659">
          <cell r="I3659">
            <v>0.14623700000000001</v>
          </cell>
        </row>
        <row r="3660">
          <cell r="I3660">
            <v>0.14627699999999999</v>
          </cell>
        </row>
        <row r="3661">
          <cell r="I3661">
            <v>0.146317</v>
          </cell>
        </row>
        <row r="3662">
          <cell r="I3662">
            <v>0.14635699999999999</v>
          </cell>
        </row>
        <row r="3663">
          <cell r="I3663">
            <v>0.146397</v>
          </cell>
        </row>
        <row r="3664">
          <cell r="I3664">
            <v>0.14643700000000001</v>
          </cell>
        </row>
        <row r="3665">
          <cell r="I3665">
            <v>0.146477</v>
          </cell>
        </row>
        <row r="3666">
          <cell r="I3666">
            <v>0.14651700000000001</v>
          </cell>
        </row>
        <row r="3667">
          <cell r="I3667">
            <v>0.14655699999999999</v>
          </cell>
        </row>
        <row r="3668">
          <cell r="I3668">
            <v>0.14659700000000001</v>
          </cell>
        </row>
        <row r="3669">
          <cell r="I3669">
            <v>0.14663699999999999</v>
          </cell>
        </row>
        <row r="3670">
          <cell r="I3670">
            <v>0.146677</v>
          </cell>
        </row>
        <row r="3671">
          <cell r="I3671">
            <v>0.14671699999999999</v>
          </cell>
        </row>
        <row r="3672">
          <cell r="I3672">
            <v>0.146757</v>
          </cell>
        </row>
        <row r="3673">
          <cell r="I3673">
            <v>0.14679700000000001</v>
          </cell>
        </row>
        <row r="3674">
          <cell r="I3674">
            <v>0.146837</v>
          </cell>
        </row>
        <row r="3675">
          <cell r="I3675">
            <v>0.14687700000000001</v>
          </cell>
        </row>
        <row r="3676">
          <cell r="I3676">
            <v>0.14691699999999999</v>
          </cell>
        </row>
        <row r="3677">
          <cell r="I3677">
            <v>0.146957</v>
          </cell>
        </row>
        <row r="3678">
          <cell r="I3678">
            <v>0.14699699999999999</v>
          </cell>
        </row>
        <row r="3679">
          <cell r="I3679">
            <v>0.147037</v>
          </cell>
        </row>
        <row r="3680">
          <cell r="I3680">
            <v>0.14707700000000001</v>
          </cell>
        </row>
        <row r="3681">
          <cell r="I3681">
            <v>0.147117</v>
          </cell>
        </row>
        <row r="3682">
          <cell r="I3682">
            <v>0.14715700000000001</v>
          </cell>
        </row>
        <row r="3683">
          <cell r="I3683">
            <v>0.14719699999999999</v>
          </cell>
        </row>
        <row r="3684">
          <cell r="I3684">
            <v>0.14723700000000001</v>
          </cell>
        </row>
        <row r="3685">
          <cell r="I3685">
            <v>0.14727699999999999</v>
          </cell>
        </row>
        <row r="3686">
          <cell r="I3686">
            <v>0.147317</v>
          </cell>
        </row>
        <row r="3687">
          <cell r="I3687">
            <v>0.14735699999999999</v>
          </cell>
        </row>
        <row r="3688">
          <cell r="I3688">
            <v>0.147397</v>
          </cell>
        </row>
        <row r="3689">
          <cell r="I3689">
            <v>0.14743700000000001</v>
          </cell>
        </row>
        <row r="3690">
          <cell r="I3690">
            <v>0.147477</v>
          </cell>
        </row>
        <row r="3691">
          <cell r="I3691">
            <v>0.14751700000000001</v>
          </cell>
        </row>
        <row r="3692">
          <cell r="I3692">
            <v>0.14755699999999999</v>
          </cell>
        </row>
        <row r="3693">
          <cell r="I3693">
            <v>0.14759700000000001</v>
          </cell>
        </row>
        <row r="3694">
          <cell r="I3694">
            <v>0.14763699999999999</v>
          </cell>
        </row>
        <row r="3695">
          <cell r="I3695">
            <v>0.147677</v>
          </cell>
        </row>
        <row r="3696">
          <cell r="I3696">
            <v>0.14771699999999999</v>
          </cell>
        </row>
        <row r="3697">
          <cell r="I3697">
            <v>0.147757</v>
          </cell>
        </row>
        <row r="3698">
          <cell r="I3698">
            <v>0.14779700000000001</v>
          </cell>
        </row>
        <row r="3699">
          <cell r="I3699">
            <v>0.147837</v>
          </cell>
        </row>
        <row r="3700">
          <cell r="I3700">
            <v>0.14787700000000001</v>
          </cell>
        </row>
        <row r="3701">
          <cell r="I3701">
            <v>0.14791699999999999</v>
          </cell>
        </row>
        <row r="3702">
          <cell r="I3702">
            <v>0.14795700000000001</v>
          </cell>
        </row>
        <row r="3703">
          <cell r="I3703">
            <v>0.14799699999999999</v>
          </cell>
        </row>
        <row r="3704">
          <cell r="I3704">
            <v>0.148037</v>
          </cell>
        </row>
        <row r="3705">
          <cell r="I3705">
            <v>0.14807699999999999</v>
          </cell>
        </row>
        <row r="3706">
          <cell r="I3706">
            <v>0.148117</v>
          </cell>
        </row>
        <row r="3707">
          <cell r="I3707">
            <v>0.14815700000000001</v>
          </cell>
        </row>
        <row r="3708">
          <cell r="I3708">
            <v>0.148197</v>
          </cell>
        </row>
        <row r="3709">
          <cell r="I3709">
            <v>0.14823700000000001</v>
          </cell>
        </row>
        <row r="3710">
          <cell r="I3710">
            <v>0.14827699999999999</v>
          </cell>
        </row>
        <row r="3711">
          <cell r="I3711">
            <v>0.148317</v>
          </cell>
        </row>
        <row r="3712">
          <cell r="I3712">
            <v>0.14835699999999999</v>
          </cell>
        </row>
        <row r="3713">
          <cell r="I3713">
            <v>0.148397</v>
          </cell>
        </row>
        <row r="3714">
          <cell r="I3714">
            <v>0.14843700000000001</v>
          </cell>
        </row>
        <row r="3715">
          <cell r="I3715">
            <v>0.148477</v>
          </cell>
        </row>
        <row r="3716">
          <cell r="I3716">
            <v>0.14851700000000001</v>
          </cell>
        </row>
        <row r="3717">
          <cell r="I3717">
            <v>0.14855699999999999</v>
          </cell>
        </row>
        <row r="3718">
          <cell r="I3718">
            <v>0.14859700000000001</v>
          </cell>
        </row>
        <row r="3719">
          <cell r="I3719">
            <v>0.14863699999999999</v>
          </cell>
        </row>
        <row r="3720">
          <cell r="I3720">
            <v>0.148677</v>
          </cell>
        </row>
        <row r="3721">
          <cell r="I3721">
            <v>0.14871699999999999</v>
          </cell>
        </row>
        <row r="3722">
          <cell r="I3722">
            <v>0.148757</v>
          </cell>
        </row>
        <row r="3723">
          <cell r="I3723">
            <v>0.14879700000000001</v>
          </cell>
        </row>
        <row r="3724">
          <cell r="I3724">
            <v>0.148837</v>
          </cell>
        </row>
        <row r="3725">
          <cell r="I3725">
            <v>0.14887700000000001</v>
          </cell>
        </row>
        <row r="3726">
          <cell r="I3726">
            <v>0.14891699999999999</v>
          </cell>
        </row>
        <row r="3727">
          <cell r="I3727">
            <v>0.14895700000000001</v>
          </cell>
        </row>
        <row r="3728">
          <cell r="I3728">
            <v>0.14899699999999999</v>
          </cell>
        </row>
        <row r="3729">
          <cell r="I3729">
            <v>0.149037</v>
          </cell>
        </row>
        <row r="3730">
          <cell r="I3730">
            <v>0.14907699999999999</v>
          </cell>
        </row>
        <row r="3731">
          <cell r="I3731">
            <v>0.149117</v>
          </cell>
        </row>
        <row r="3732">
          <cell r="I3732">
            <v>0.14915700000000001</v>
          </cell>
        </row>
        <row r="3733">
          <cell r="I3733">
            <v>0.149197</v>
          </cell>
        </row>
        <row r="3734">
          <cell r="I3734">
            <v>0.14923700000000001</v>
          </cell>
        </row>
        <row r="3735">
          <cell r="I3735">
            <v>0.14927699999999999</v>
          </cell>
        </row>
        <row r="3736">
          <cell r="I3736">
            <v>0.14931700000000001</v>
          </cell>
        </row>
        <row r="3737">
          <cell r="I3737">
            <v>0.14935699999999999</v>
          </cell>
        </row>
        <row r="3738">
          <cell r="I3738">
            <v>0.149397</v>
          </cell>
        </row>
        <row r="3739">
          <cell r="I3739">
            <v>0.14943699999999999</v>
          </cell>
        </row>
        <row r="3740">
          <cell r="I3740">
            <v>0.149477</v>
          </cell>
        </row>
        <row r="3741">
          <cell r="I3741">
            <v>0.14951700000000001</v>
          </cell>
        </row>
        <row r="3742">
          <cell r="I3742">
            <v>0.149557</v>
          </cell>
        </row>
        <row r="3743">
          <cell r="I3743">
            <v>0.14959700000000001</v>
          </cell>
        </row>
        <row r="3744">
          <cell r="I3744">
            <v>0.14963699999999999</v>
          </cell>
        </row>
        <row r="3745">
          <cell r="I3745">
            <v>0.149677</v>
          </cell>
        </row>
        <row r="3746">
          <cell r="I3746">
            <v>0.14971699999999999</v>
          </cell>
        </row>
        <row r="3747">
          <cell r="I3747">
            <v>0.149757</v>
          </cell>
        </row>
        <row r="3748">
          <cell r="I3748">
            <v>0.14979700000000001</v>
          </cell>
        </row>
        <row r="3749">
          <cell r="I3749">
            <v>0.149837</v>
          </cell>
        </row>
        <row r="3750">
          <cell r="I3750">
            <v>0.14987700000000001</v>
          </cell>
        </row>
        <row r="3751">
          <cell r="I3751">
            <v>0.14991699999999999</v>
          </cell>
        </row>
        <row r="3752">
          <cell r="I3752">
            <v>0.14995700000000001</v>
          </cell>
        </row>
        <row r="3753">
          <cell r="I3753">
            <v>0.14999699999999999</v>
          </cell>
        </row>
        <row r="3754">
          <cell r="I3754">
            <v>0.150037</v>
          </cell>
        </row>
        <row r="3755">
          <cell r="I3755">
            <v>0.15007699999999999</v>
          </cell>
        </row>
        <row r="3756">
          <cell r="I3756">
            <v>0.150117</v>
          </cell>
        </row>
        <row r="3757">
          <cell r="I3757">
            <v>0.15015700000000001</v>
          </cell>
        </row>
        <row r="3758">
          <cell r="I3758">
            <v>0.150197</v>
          </cell>
        </row>
        <row r="3759">
          <cell r="I3759">
            <v>0.15023700000000001</v>
          </cell>
        </row>
        <row r="3760">
          <cell r="I3760">
            <v>0.15027699999999999</v>
          </cell>
        </row>
        <row r="3761">
          <cell r="I3761">
            <v>0.15031700000000001</v>
          </cell>
        </row>
        <row r="3762">
          <cell r="I3762">
            <v>0.15035699999999999</v>
          </cell>
        </row>
        <row r="3763">
          <cell r="I3763">
            <v>0.150397</v>
          </cell>
        </row>
        <row r="3764">
          <cell r="I3764">
            <v>0.15043699999999999</v>
          </cell>
        </row>
        <row r="3765">
          <cell r="I3765">
            <v>0.150477</v>
          </cell>
        </row>
        <row r="3766">
          <cell r="I3766">
            <v>0.15051700000000001</v>
          </cell>
        </row>
        <row r="3767">
          <cell r="I3767">
            <v>0.150557</v>
          </cell>
        </row>
        <row r="3768">
          <cell r="I3768">
            <v>0.15059700000000001</v>
          </cell>
        </row>
        <row r="3769">
          <cell r="I3769">
            <v>0.15063699999999999</v>
          </cell>
        </row>
        <row r="3770">
          <cell r="I3770">
            <v>0.15067700000000001</v>
          </cell>
        </row>
        <row r="3771">
          <cell r="I3771">
            <v>0.15071699999999999</v>
          </cell>
        </row>
        <row r="3772">
          <cell r="I3772">
            <v>0.150757</v>
          </cell>
        </row>
        <row r="3773">
          <cell r="I3773">
            <v>0.15079699999999999</v>
          </cell>
        </row>
        <row r="3774">
          <cell r="I3774">
            <v>0.150837</v>
          </cell>
        </row>
        <row r="3775">
          <cell r="I3775">
            <v>0.15087700000000001</v>
          </cell>
        </row>
        <row r="3776">
          <cell r="I3776">
            <v>0.150917</v>
          </cell>
        </row>
        <row r="3777">
          <cell r="I3777">
            <v>0.15095700000000001</v>
          </cell>
        </row>
        <row r="3778">
          <cell r="I3778">
            <v>0.15099699999999999</v>
          </cell>
        </row>
        <row r="3779">
          <cell r="I3779">
            <v>0.151037</v>
          </cell>
        </row>
        <row r="3780">
          <cell r="I3780">
            <v>0.15107699999999999</v>
          </cell>
        </row>
        <row r="3781">
          <cell r="I3781">
            <v>0.151117</v>
          </cell>
        </row>
        <row r="3782">
          <cell r="I3782">
            <v>0.15115700000000001</v>
          </cell>
        </row>
        <row r="3783">
          <cell r="I3783">
            <v>0.151197</v>
          </cell>
        </row>
        <row r="3784">
          <cell r="I3784">
            <v>0.15123700000000001</v>
          </cell>
        </row>
        <row r="3785">
          <cell r="I3785">
            <v>0.15127699999999999</v>
          </cell>
        </row>
        <row r="3786">
          <cell r="I3786">
            <v>0.15131700000000001</v>
          </cell>
        </row>
        <row r="3787">
          <cell r="I3787">
            <v>0.15135699999999999</v>
          </cell>
        </row>
        <row r="3788">
          <cell r="I3788">
            <v>0.151397</v>
          </cell>
        </row>
        <row r="3789">
          <cell r="I3789">
            <v>0.15143699999999999</v>
          </cell>
        </row>
        <row r="3790">
          <cell r="I3790">
            <v>0.151477</v>
          </cell>
        </row>
        <row r="3791">
          <cell r="I3791">
            <v>0.15151700000000001</v>
          </cell>
        </row>
        <row r="3792">
          <cell r="I3792">
            <v>0.151557</v>
          </cell>
        </row>
        <row r="3793">
          <cell r="I3793">
            <v>0.15159700000000001</v>
          </cell>
        </row>
        <row r="3794">
          <cell r="I3794">
            <v>0.15163699999999999</v>
          </cell>
        </row>
        <row r="3795">
          <cell r="I3795">
            <v>0.15167700000000001</v>
          </cell>
        </row>
        <row r="3796">
          <cell r="I3796">
            <v>0.15171699999999999</v>
          </cell>
        </row>
        <row r="3797">
          <cell r="I3797">
            <v>0.151757</v>
          </cell>
        </row>
        <row r="3798">
          <cell r="I3798">
            <v>0.15179699999999999</v>
          </cell>
        </row>
        <row r="3799">
          <cell r="I3799">
            <v>0.151837</v>
          </cell>
        </row>
        <row r="3800">
          <cell r="I3800">
            <v>0.15187700000000001</v>
          </cell>
        </row>
        <row r="3801">
          <cell r="I3801">
            <v>0.151917</v>
          </cell>
        </row>
        <row r="3802">
          <cell r="I3802">
            <v>0.15195700000000001</v>
          </cell>
        </row>
        <row r="3803">
          <cell r="I3803">
            <v>0.15199699999999999</v>
          </cell>
        </row>
        <row r="3804">
          <cell r="I3804">
            <v>0.15203700000000001</v>
          </cell>
        </row>
        <row r="3805">
          <cell r="I3805">
            <v>0.15207699999999999</v>
          </cell>
        </row>
        <row r="3806">
          <cell r="I3806">
            <v>0.152117</v>
          </cell>
        </row>
        <row r="3807">
          <cell r="I3807">
            <v>0.15215699999999999</v>
          </cell>
        </row>
        <row r="3808">
          <cell r="I3808">
            <v>0.152197</v>
          </cell>
        </row>
        <row r="3809">
          <cell r="I3809">
            <v>0.15223700000000001</v>
          </cell>
        </row>
        <row r="3810">
          <cell r="I3810">
            <v>0.152277</v>
          </cell>
        </row>
        <row r="3811">
          <cell r="I3811">
            <v>0.15231700000000001</v>
          </cell>
        </row>
        <row r="3812">
          <cell r="I3812">
            <v>0.15235699999999999</v>
          </cell>
        </row>
        <row r="3813">
          <cell r="I3813">
            <v>0.152397</v>
          </cell>
        </row>
        <row r="3814">
          <cell r="I3814">
            <v>0.15243699999999999</v>
          </cell>
        </row>
        <row r="3815">
          <cell r="I3815">
            <v>0.152477</v>
          </cell>
        </row>
        <row r="3816">
          <cell r="I3816">
            <v>0.15251700000000001</v>
          </cell>
        </row>
        <row r="3817">
          <cell r="I3817">
            <v>0.152557</v>
          </cell>
        </row>
        <row r="3818">
          <cell r="I3818">
            <v>0.15259700000000001</v>
          </cell>
        </row>
        <row r="3819">
          <cell r="I3819">
            <v>0.15263699999999999</v>
          </cell>
        </row>
        <row r="3820">
          <cell r="I3820">
            <v>0.15267700000000001</v>
          </cell>
        </row>
        <row r="3821">
          <cell r="I3821">
            <v>0.15271699999999999</v>
          </cell>
        </row>
        <row r="3822">
          <cell r="I3822">
            <v>0.152757</v>
          </cell>
        </row>
        <row r="3823">
          <cell r="I3823">
            <v>0.15279699999999999</v>
          </cell>
        </row>
        <row r="3824">
          <cell r="I3824">
            <v>0.152837</v>
          </cell>
        </row>
        <row r="3825">
          <cell r="I3825">
            <v>0.15287700000000001</v>
          </cell>
        </row>
        <row r="3826">
          <cell r="I3826">
            <v>0.152917</v>
          </cell>
        </row>
        <row r="3827">
          <cell r="I3827">
            <v>0.15295700000000001</v>
          </cell>
        </row>
        <row r="3828">
          <cell r="I3828">
            <v>0.15299699999999999</v>
          </cell>
        </row>
        <row r="3829">
          <cell r="I3829">
            <v>0.15303700000000001</v>
          </cell>
        </row>
        <row r="3830">
          <cell r="I3830">
            <v>0.15307699999999999</v>
          </cell>
        </row>
        <row r="3831">
          <cell r="I3831">
            <v>0.153117</v>
          </cell>
        </row>
        <row r="3832">
          <cell r="I3832">
            <v>0.15315699999999999</v>
          </cell>
        </row>
        <row r="3833">
          <cell r="I3833">
            <v>0.153197</v>
          </cell>
        </row>
        <row r="3834">
          <cell r="I3834">
            <v>0.15323700000000001</v>
          </cell>
        </row>
        <row r="3835">
          <cell r="I3835">
            <v>0.153277</v>
          </cell>
        </row>
        <row r="3836">
          <cell r="I3836">
            <v>0.15331700000000001</v>
          </cell>
        </row>
        <row r="3837">
          <cell r="I3837">
            <v>0.15335699999999999</v>
          </cell>
        </row>
        <row r="3838">
          <cell r="I3838">
            <v>0.15339700000000001</v>
          </cell>
        </row>
        <row r="3839">
          <cell r="I3839">
            <v>0.15343699999999999</v>
          </cell>
        </row>
        <row r="3840">
          <cell r="I3840">
            <v>0.153477</v>
          </cell>
        </row>
        <row r="3841">
          <cell r="I3841">
            <v>0.15351699999999999</v>
          </cell>
        </row>
        <row r="3842">
          <cell r="I3842">
            <v>0.153557</v>
          </cell>
        </row>
        <row r="3843">
          <cell r="I3843">
            <v>0.15359700000000001</v>
          </cell>
        </row>
        <row r="3844">
          <cell r="I3844">
            <v>0.153637</v>
          </cell>
        </row>
        <row r="3845">
          <cell r="I3845">
            <v>0.15367700000000001</v>
          </cell>
        </row>
        <row r="3846">
          <cell r="I3846">
            <v>0.15371699999999999</v>
          </cell>
        </row>
        <row r="3847">
          <cell r="I3847">
            <v>0.153757</v>
          </cell>
        </row>
        <row r="3848">
          <cell r="I3848">
            <v>0.15379699999999999</v>
          </cell>
        </row>
        <row r="3849">
          <cell r="I3849">
            <v>0.153837</v>
          </cell>
        </row>
        <row r="3850">
          <cell r="I3850">
            <v>0.15387700000000001</v>
          </cell>
        </row>
        <row r="3851">
          <cell r="I3851">
            <v>0.153917</v>
          </cell>
        </row>
        <row r="3852">
          <cell r="I3852">
            <v>0.15395700000000001</v>
          </cell>
        </row>
        <row r="3853">
          <cell r="I3853">
            <v>0.153997</v>
          </cell>
        </row>
        <row r="3854">
          <cell r="I3854">
            <v>0.15403700000000001</v>
          </cell>
        </row>
        <row r="3855">
          <cell r="I3855">
            <v>0.15407699999999999</v>
          </cell>
        </row>
        <row r="3856">
          <cell r="I3856">
            <v>0.154117</v>
          </cell>
        </row>
        <row r="3857">
          <cell r="I3857">
            <v>0.15415699999999999</v>
          </cell>
        </row>
        <row r="3858">
          <cell r="I3858">
            <v>0.154197</v>
          </cell>
        </row>
        <row r="3859">
          <cell r="I3859">
            <v>0.15423700000000001</v>
          </cell>
        </row>
        <row r="3860">
          <cell r="I3860">
            <v>0.154277</v>
          </cell>
        </row>
        <row r="3861">
          <cell r="I3861">
            <v>0.15431700000000001</v>
          </cell>
        </row>
        <row r="3862">
          <cell r="I3862">
            <v>0.15435699999999999</v>
          </cell>
        </row>
        <row r="3863">
          <cell r="I3863">
            <v>0.15439700000000001</v>
          </cell>
        </row>
        <row r="3864">
          <cell r="I3864">
            <v>0.15443699999999999</v>
          </cell>
        </row>
        <row r="3865">
          <cell r="I3865">
            <v>0.154477</v>
          </cell>
        </row>
        <row r="3866">
          <cell r="I3866">
            <v>0.15451699999999999</v>
          </cell>
        </row>
        <row r="3867">
          <cell r="I3867">
            <v>0.154557</v>
          </cell>
        </row>
        <row r="3868">
          <cell r="I3868">
            <v>0.15459700000000001</v>
          </cell>
        </row>
        <row r="3869">
          <cell r="I3869">
            <v>0.154637</v>
          </cell>
        </row>
        <row r="3870">
          <cell r="I3870">
            <v>0.15467700000000001</v>
          </cell>
        </row>
        <row r="3871">
          <cell r="I3871">
            <v>0.15471699999999999</v>
          </cell>
        </row>
        <row r="3872">
          <cell r="I3872">
            <v>0.15475700000000001</v>
          </cell>
        </row>
        <row r="3873">
          <cell r="I3873">
            <v>0.15479699999999999</v>
          </cell>
        </row>
        <row r="3874">
          <cell r="I3874">
            <v>0.154837</v>
          </cell>
        </row>
        <row r="3875">
          <cell r="I3875">
            <v>0.15487699999999999</v>
          </cell>
        </row>
        <row r="3876">
          <cell r="I3876">
            <v>0.154917</v>
          </cell>
        </row>
        <row r="3877">
          <cell r="I3877">
            <v>0.15495700000000001</v>
          </cell>
        </row>
        <row r="3878">
          <cell r="I3878">
            <v>0.154997</v>
          </cell>
        </row>
        <row r="3879">
          <cell r="I3879">
            <v>0.15503700000000001</v>
          </cell>
        </row>
        <row r="3880">
          <cell r="I3880">
            <v>0.15507699999999999</v>
          </cell>
        </row>
        <row r="3881">
          <cell r="I3881">
            <v>0.155117</v>
          </cell>
        </row>
        <row r="3882">
          <cell r="I3882">
            <v>0.15515699999999999</v>
          </cell>
        </row>
        <row r="3883">
          <cell r="I3883">
            <v>0.155197</v>
          </cell>
        </row>
        <row r="3884">
          <cell r="I3884">
            <v>0.15523700000000001</v>
          </cell>
        </row>
        <row r="3885">
          <cell r="I3885">
            <v>0.155277</v>
          </cell>
        </row>
        <row r="3886">
          <cell r="I3886">
            <v>0.15531700000000001</v>
          </cell>
        </row>
        <row r="3887">
          <cell r="I3887">
            <v>0.155357</v>
          </cell>
        </row>
        <row r="3888">
          <cell r="I3888">
            <v>0.15539700000000001</v>
          </cell>
        </row>
        <row r="3889">
          <cell r="I3889">
            <v>0.15543699999999999</v>
          </cell>
        </row>
        <row r="3890">
          <cell r="I3890">
            <v>0.155477</v>
          </cell>
        </row>
        <row r="3891">
          <cell r="I3891">
            <v>0.15551699999999999</v>
          </cell>
        </row>
        <row r="3892">
          <cell r="I3892">
            <v>0.155557</v>
          </cell>
        </row>
        <row r="3893">
          <cell r="I3893">
            <v>0.15559700000000001</v>
          </cell>
        </row>
        <row r="3894">
          <cell r="I3894">
            <v>0.155637</v>
          </cell>
        </row>
        <row r="3895">
          <cell r="I3895">
            <v>0.15567700000000001</v>
          </cell>
        </row>
        <row r="3896">
          <cell r="I3896">
            <v>0.15571699999999999</v>
          </cell>
        </row>
        <row r="3897">
          <cell r="I3897">
            <v>0.15575700000000001</v>
          </cell>
        </row>
        <row r="3898">
          <cell r="I3898">
            <v>0.15579699999999999</v>
          </cell>
        </row>
        <row r="3899">
          <cell r="I3899">
            <v>0.155837</v>
          </cell>
        </row>
        <row r="3900">
          <cell r="I3900">
            <v>0.15587699999999999</v>
          </cell>
        </row>
        <row r="3901">
          <cell r="I3901">
            <v>0.155917</v>
          </cell>
        </row>
        <row r="3902">
          <cell r="I3902">
            <v>0.15595700000000001</v>
          </cell>
        </row>
        <row r="3903">
          <cell r="I3903">
            <v>0.155997</v>
          </cell>
        </row>
        <row r="3904">
          <cell r="I3904">
            <v>0.15603700000000001</v>
          </cell>
        </row>
        <row r="3905">
          <cell r="I3905">
            <v>0.15607699999999999</v>
          </cell>
        </row>
        <row r="3906">
          <cell r="I3906">
            <v>0.15611700000000001</v>
          </cell>
        </row>
        <row r="3907">
          <cell r="I3907">
            <v>0.15615699999999999</v>
          </cell>
        </row>
        <row r="3908">
          <cell r="I3908">
            <v>0.156197</v>
          </cell>
        </row>
        <row r="3909">
          <cell r="I3909">
            <v>0.15623699999999999</v>
          </cell>
        </row>
        <row r="3910">
          <cell r="I3910">
            <v>0.156277</v>
          </cell>
        </row>
        <row r="3911">
          <cell r="I3911">
            <v>0.15631700000000001</v>
          </cell>
        </row>
        <row r="3912">
          <cell r="I3912">
            <v>0.156357</v>
          </cell>
        </row>
        <row r="3913">
          <cell r="I3913">
            <v>0.15639700000000001</v>
          </cell>
        </row>
        <row r="3914">
          <cell r="I3914">
            <v>0.15643699999999999</v>
          </cell>
        </row>
        <row r="3915">
          <cell r="I3915">
            <v>0.156477</v>
          </cell>
        </row>
        <row r="3916">
          <cell r="I3916">
            <v>0.15651699999999999</v>
          </cell>
        </row>
        <row r="3917">
          <cell r="I3917">
            <v>0.156557</v>
          </cell>
        </row>
        <row r="3918">
          <cell r="I3918">
            <v>0.15659699999999999</v>
          </cell>
        </row>
        <row r="3919">
          <cell r="I3919">
            <v>0.156637</v>
          </cell>
        </row>
        <row r="3920">
          <cell r="I3920">
            <v>0.15667700000000001</v>
          </cell>
        </row>
        <row r="3921">
          <cell r="I3921">
            <v>0.156717</v>
          </cell>
        </row>
        <row r="3922">
          <cell r="I3922">
            <v>0.15675700000000001</v>
          </cell>
        </row>
        <row r="3923">
          <cell r="I3923">
            <v>0.15679699999999999</v>
          </cell>
        </row>
        <row r="3924">
          <cell r="I3924">
            <v>0.156837</v>
          </cell>
        </row>
        <row r="3925">
          <cell r="I3925">
            <v>0.15687699999999999</v>
          </cell>
        </row>
        <row r="3926">
          <cell r="I3926">
            <v>0.156917</v>
          </cell>
        </row>
        <row r="3927">
          <cell r="I3927">
            <v>0.15695700000000001</v>
          </cell>
        </row>
        <row r="3928">
          <cell r="I3928">
            <v>0.156997</v>
          </cell>
        </row>
        <row r="3929">
          <cell r="I3929">
            <v>0.15703700000000001</v>
          </cell>
        </row>
        <row r="3930">
          <cell r="I3930">
            <v>0.15707699999999999</v>
          </cell>
        </row>
        <row r="3931">
          <cell r="I3931">
            <v>0.15711700000000001</v>
          </cell>
        </row>
        <row r="3932">
          <cell r="I3932">
            <v>0.15715699999999999</v>
          </cell>
        </row>
        <row r="3933">
          <cell r="I3933">
            <v>0.157197</v>
          </cell>
        </row>
        <row r="3934">
          <cell r="I3934">
            <v>0.15723699999999999</v>
          </cell>
        </row>
        <row r="3935">
          <cell r="I3935">
            <v>0.157277</v>
          </cell>
        </row>
        <row r="3936">
          <cell r="I3936">
            <v>0.15731700000000001</v>
          </cell>
        </row>
        <row r="3937">
          <cell r="I3937">
            <v>0.157357</v>
          </cell>
        </row>
        <row r="3938">
          <cell r="I3938">
            <v>0.15739700000000001</v>
          </cell>
        </row>
        <row r="3939">
          <cell r="I3939">
            <v>0.15743699999999999</v>
          </cell>
        </row>
        <row r="3940">
          <cell r="I3940">
            <v>0.15747700000000001</v>
          </cell>
        </row>
        <row r="3941">
          <cell r="I3941">
            <v>0.15751699999999999</v>
          </cell>
        </row>
        <row r="3942">
          <cell r="I3942">
            <v>0.157557</v>
          </cell>
        </row>
        <row r="3943">
          <cell r="I3943">
            <v>0.15759699999999999</v>
          </cell>
        </row>
        <row r="3944">
          <cell r="I3944">
            <v>0.157637</v>
          </cell>
        </row>
        <row r="3945">
          <cell r="I3945">
            <v>0.15767700000000001</v>
          </cell>
        </row>
        <row r="3946">
          <cell r="I3946">
            <v>0.157717</v>
          </cell>
        </row>
        <row r="3947">
          <cell r="I3947">
            <v>0.15775700000000001</v>
          </cell>
        </row>
        <row r="3948">
          <cell r="I3948">
            <v>0.15779699999999999</v>
          </cell>
        </row>
        <row r="3949">
          <cell r="I3949">
            <v>0.15783700000000001</v>
          </cell>
        </row>
        <row r="3950">
          <cell r="I3950">
            <v>0.15787699999999999</v>
          </cell>
        </row>
        <row r="3951">
          <cell r="I3951">
            <v>0.157917</v>
          </cell>
        </row>
        <row r="3952">
          <cell r="I3952">
            <v>0.15795699999999999</v>
          </cell>
        </row>
        <row r="3953">
          <cell r="I3953">
            <v>0.157997</v>
          </cell>
        </row>
        <row r="3954">
          <cell r="I3954">
            <v>0.15803700000000001</v>
          </cell>
        </row>
        <row r="3955">
          <cell r="I3955">
            <v>0.158077</v>
          </cell>
        </row>
        <row r="3956">
          <cell r="I3956">
            <v>0.15811700000000001</v>
          </cell>
        </row>
        <row r="3957">
          <cell r="I3957">
            <v>0.15815699999999999</v>
          </cell>
        </row>
        <row r="3958">
          <cell r="I3958">
            <v>0.158197</v>
          </cell>
        </row>
        <row r="3959">
          <cell r="I3959">
            <v>0.15823699999999999</v>
          </cell>
        </row>
        <row r="3960">
          <cell r="I3960">
            <v>0.158277</v>
          </cell>
        </row>
        <row r="3961">
          <cell r="I3961">
            <v>0.15831700000000001</v>
          </cell>
        </row>
        <row r="3962">
          <cell r="I3962">
            <v>0.158357</v>
          </cell>
        </row>
        <row r="3963">
          <cell r="I3963">
            <v>0.15839700000000001</v>
          </cell>
        </row>
        <row r="3964">
          <cell r="I3964">
            <v>0.15843699999999999</v>
          </cell>
        </row>
        <row r="3965">
          <cell r="I3965">
            <v>0.15847700000000001</v>
          </cell>
        </row>
        <row r="3966">
          <cell r="I3966">
            <v>0.15851699999999999</v>
          </cell>
        </row>
        <row r="3967">
          <cell r="I3967">
            <v>0.158557</v>
          </cell>
        </row>
        <row r="3968">
          <cell r="I3968">
            <v>0.15859699999999999</v>
          </cell>
        </row>
        <row r="3969">
          <cell r="I3969">
            <v>0.158637</v>
          </cell>
        </row>
        <row r="3970">
          <cell r="I3970">
            <v>0.15867700000000001</v>
          </cell>
        </row>
        <row r="3971">
          <cell r="I3971">
            <v>0.158717</v>
          </cell>
        </row>
        <row r="3972">
          <cell r="I3972">
            <v>0.15875700000000001</v>
          </cell>
        </row>
        <row r="3973">
          <cell r="I3973">
            <v>0.15879699999999999</v>
          </cell>
        </row>
        <row r="3974">
          <cell r="I3974">
            <v>0.15883700000000001</v>
          </cell>
        </row>
        <row r="3975">
          <cell r="I3975">
            <v>0.15887699999999999</v>
          </cell>
        </row>
        <row r="3976">
          <cell r="I3976">
            <v>0.158917</v>
          </cell>
        </row>
        <row r="3977">
          <cell r="I3977">
            <v>0.15895699999999999</v>
          </cell>
        </row>
        <row r="3978">
          <cell r="I3978">
            <v>0.158997</v>
          </cell>
        </row>
        <row r="3979">
          <cell r="I3979">
            <v>0.15903700000000001</v>
          </cell>
        </row>
        <row r="3980">
          <cell r="I3980">
            <v>0.159077</v>
          </cell>
        </row>
        <row r="3981">
          <cell r="I3981">
            <v>0.15911700000000001</v>
          </cell>
        </row>
        <row r="3982">
          <cell r="I3982">
            <v>0.15915699999999999</v>
          </cell>
        </row>
        <row r="3983">
          <cell r="I3983">
            <v>0.15919700000000001</v>
          </cell>
        </row>
        <row r="3984">
          <cell r="I3984">
            <v>0.15923699999999999</v>
          </cell>
        </row>
        <row r="3985">
          <cell r="I3985">
            <v>0.159277</v>
          </cell>
        </row>
        <row r="3986">
          <cell r="I3986">
            <v>0.15931699999999999</v>
          </cell>
        </row>
        <row r="3987">
          <cell r="I3987">
            <v>0.159357</v>
          </cell>
        </row>
        <row r="3988">
          <cell r="I3988">
            <v>0.15939700000000001</v>
          </cell>
        </row>
        <row r="3989">
          <cell r="I3989">
            <v>0.159437</v>
          </cell>
        </row>
        <row r="3990">
          <cell r="I3990">
            <v>0.15947700000000001</v>
          </cell>
        </row>
        <row r="3991">
          <cell r="I3991">
            <v>0.15951699999999999</v>
          </cell>
        </row>
        <row r="3992">
          <cell r="I3992">
            <v>0.159557</v>
          </cell>
        </row>
        <row r="3993">
          <cell r="I3993">
            <v>0.15959699999999999</v>
          </cell>
        </row>
        <row r="3994">
          <cell r="I3994">
            <v>0.159637</v>
          </cell>
        </row>
        <row r="3995">
          <cell r="I3995">
            <v>0.15967700000000001</v>
          </cell>
        </row>
        <row r="3996">
          <cell r="I3996">
            <v>0.159717</v>
          </cell>
        </row>
        <row r="3997">
          <cell r="I3997">
            <v>0.15975700000000001</v>
          </cell>
        </row>
        <row r="3998">
          <cell r="I3998">
            <v>0.15979699999999999</v>
          </cell>
        </row>
        <row r="3999">
          <cell r="I3999">
            <v>0.15983700000000001</v>
          </cell>
        </row>
        <row r="4000">
          <cell r="I4000">
            <v>0.15987699999999999</v>
          </cell>
        </row>
        <row r="4001">
          <cell r="I4001">
            <v>0.159917</v>
          </cell>
        </row>
        <row r="4002">
          <cell r="I4002">
            <v>0.15995699999999999</v>
          </cell>
        </row>
        <row r="4003">
          <cell r="I4003">
            <v>0.159997</v>
          </cell>
        </row>
        <row r="4004">
          <cell r="I4004">
            <v>0.16003700000000001</v>
          </cell>
        </row>
        <row r="4005">
          <cell r="I4005">
            <v>0.160077</v>
          </cell>
        </row>
        <row r="4006">
          <cell r="I4006">
            <v>0.16011700000000001</v>
          </cell>
        </row>
        <row r="4007">
          <cell r="I4007">
            <v>0.16015699999999999</v>
          </cell>
        </row>
        <row r="4008">
          <cell r="I4008">
            <v>0.16019700000000001</v>
          </cell>
        </row>
        <row r="4009">
          <cell r="I4009">
            <v>0.16023699999999999</v>
          </cell>
        </row>
        <row r="4010">
          <cell r="I4010">
            <v>0.160277</v>
          </cell>
        </row>
        <row r="4011">
          <cell r="I4011">
            <v>0.16031699999999999</v>
          </cell>
        </row>
        <row r="4012">
          <cell r="I4012">
            <v>0.160357</v>
          </cell>
        </row>
        <row r="4013">
          <cell r="I4013">
            <v>0.16039700000000001</v>
          </cell>
        </row>
        <row r="4014">
          <cell r="I4014">
            <v>0.160437</v>
          </cell>
        </row>
        <row r="4015">
          <cell r="I4015">
            <v>0.16047700000000001</v>
          </cell>
        </row>
        <row r="4016">
          <cell r="I4016">
            <v>0.16051699999999999</v>
          </cell>
        </row>
        <row r="4017">
          <cell r="I4017">
            <v>0.16055700000000001</v>
          </cell>
        </row>
        <row r="4018">
          <cell r="I4018">
            <v>0.16059699999999999</v>
          </cell>
        </row>
        <row r="4019">
          <cell r="I4019">
            <v>0.160637</v>
          </cell>
        </row>
        <row r="4020">
          <cell r="I4020">
            <v>0.16067699999999999</v>
          </cell>
        </row>
        <row r="4021">
          <cell r="I4021">
            <v>0.160717</v>
          </cell>
        </row>
        <row r="4022">
          <cell r="I4022">
            <v>0.16075700000000001</v>
          </cell>
        </row>
        <row r="4023">
          <cell r="I4023">
            <v>0.160797</v>
          </cell>
        </row>
        <row r="4024">
          <cell r="I4024">
            <v>0.16083700000000001</v>
          </cell>
        </row>
        <row r="4025">
          <cell r="I4025">
            <v>0.16087699999999999</v>
          </cell>
        </row>
        <row r="4026">
          <cell r="I4026">
            <v>0.160917</v>
          </cell>
        </row>
        <row r="4027">
          <cell r="I4027">
            <v>0.16095699999999999</v>
          </cell>
        </row>
        <row r="4028">
          <cell r="I4028">
            <v>0.160997</v>
          </cell>
        </row>
        <row r="4029">
          <cell r="I4029">
            <v>0.16103700000000001</v>
          </cell>
        </row>
        <row r="4030">
          <cell r="I4030">
            <v>0.161077</v>
          </cell>
        </row>
        <row r="4031">
          <cell r="I4031">
            <v>0.16111700000000001</v>
          </cell>
        </row>
        <row r="4032">
          <cell r="I4032">
            <v>0.16115699999999999</v>
          </cell>
        </row>
        <row r="4033">
          <cell r="I4033">
            <v>0.16119700000000001</v>
          </cell>
        </row>
        <row r="4034">
          <cell r="I4034">
            <v>0.16123699999999999</v>
          </cell>
        </row>
        <row r="4035">
          <cell r="I4035">
            <v>0.161277</v>
          </cell>
        </row>
        <row r="4036">
          <cell r="I4036">
            <v>0.16131699999999999</v>
          </cell>
        </row>
        <row r="4037">
          <cell r="I4037">
            <v>0.161357</v>
          </cell>
        </row>
        <row r="4038">
          <cell r="I4038">
            <v>0.16139700000000001</v>
          </cell>
        </row>
        <row r="4039">
          <cell r="I4039">
            <v>0.161437</v>
          </cell>
        </row>
        <row r="4040">
          <cell r="I4040">
            <v>0.16147700000000001</v>
          </cell>
        </row>
        <row r="4041">
          <cell r="I4041">
            <v>0.16151699999999999</v>
          </cell>
        </row>
        <row r="4042">
          <cell r="I4042">
            <v>0.16155700000000001</v>
          </cell>
        </row>
        <row r="4043">
          <cell r="I4043">
            <v>0.16159699999999999</v>
          </cell>
        </row>
        <row r="4044">
          <cell r="I4044">
            <v>0.161637</v>
          </cell>
        </row>
        <row r="4045">
          <cell r="I4045">
            <v>0.16167699999999999</v>
          </cell>
        </row>
        <row r="4046">
          <cell r="I4046">
            <v>0.161717</v>
          </cell>
        </row>
        <row r="4047">
          <cell r="I4047">
            <v>0.16175700000000001</v>
          </cell>
        </row>
        <row r="4048">
          <cell r="I4048">
            <v>0.161797</v>
          </cell>
        </row>
        <row r="4049">
          <cell r="I4049">
            <v>0.16183700000000001</v>
          </cell>
        </row>
        <row r="4050">
          <cell r="I4050">
            <v>0.16187699999999999</v>
          </cell>
        </row>
        <row r="4051">
          <cell r="I4051">
            <v>0.16191700000000001</v>
          </cell>
        </row>
        <row r="4052">
          <cell r="I4052">
            <v>0.16195699999999999</v>
          </cell>
        </row>
        <row r="4053">
          <cell r="I4053">
            <v>0.161997</v>
          </cell>
        </row>
        <row r="4054">
          <cell r="I4054">
            <v>0.16203699999999999</v>
          </cell>
        </row>
        <row r="4055">
          <cell r="I4055">
            <v>0.162077</v>
          </cell>
        </row>
        <row r="4056">
          <cell r="I4056">
            <v>0.16211700000000001</v>
          </cell>
        </row>
        <row r="4057">
          <cell r="I4057">
            <v>0.162157</v>
          </cell>
        </row>
        <row r="4058">
          <cell r="I4058">
            <v>0.16219700000000001</v>
          </cell>
        </row>
        <row r="4059">
          <cell r="I4059">
            <v>0.16223699999999999</v>
          </cell>
        </row>
        <row r="4060">
          <cell r="I4060">
            <v>0.162277</v>
          </cell>
        </row>
        <row r="4061">
          <cell r="I4061">
            <v>0.16231699999999999</v>
          </cell>
        </row>
        <row r="4062">
          <cell r="I4062">
            <v>0.162357</v>
          </cell>
        </row>
        <row r="4063">
          <cell r="I4063">
            <v>0.16239700000000001</v>
          </cell>
        </row>
        <row r="4064">
          <cell r="I4064">
            <v>0.162437</v>
          </cell>
        </row>
        <row r="4065">
          <cell r="I4065">
            <v>0.16247700000000001</v>
          </cell>
        </row>
        <row r="4066">
          <cell r="I4066">
            <v>0.16251699999999999</v>
          </cell>
        </row>
        <row r="4067">
          <cell r="I4067">
            <v>0.16255700000000001</v>
          </cell>
        </row>
        <row r="4068">
          <cell r="I4068">
            <v>0.16259699999999999</v>
          </cell>
        </row>
        <row r="4069">
          <cell r="I4069">
            <v>0.162637</v>
          </cell>
        </row>
        <row r="4070">
          <cell r="I4070">
            <v>0.16267699999999999</v>
          </cell>
        </row>
        <row r="4071">
          <cell r="I4071">
            <v>0.162717</v>
          </cell>
        </row>
        <row r="4072">
          <cell r="I4072">
            <v>0.16275700000000001</v>
          </cell>
        </row>
        <row r="4073">
          <cell r="I4073">
            <v>0.162797</v>
          </cell>
        </row>
        <row r="4074">
          <cell r="I4074">
            <v>0.16283700000000001</v>
          </cell>
        </row>
        <row r="4075">
          <cell r="I4075">
            <v>0.16287699999999999</v>
          </cell>
        </row>
        <row r="4076">
          <cell r="I4076">
            <v>0.16291700000000001</v>
          </cell>
        </row>
        <row r="4077">
          <cell r="I4077">
            <v>0.16295699999999999</v>
          </cell>
        </row>
        <row r="4078">
          <cell r="I4078">
            <v>0.162997</v>
          </cell>
        </row>
        <row r="4079">
          <cell r="I4079">
            <v>0.16303699999999999</v>
          </cell>
        </row>
        <row r="4080">
          <cell r="I4080">
            <v>0.163077</v>
          </cell>
        </row>
        <row r="4081">
          <cell r="I4081">
            <v>0.16311700000000001</v>
          </cell>
        </row>
        <row r="4082">
          <cell r="I4082">
            <v>0.163157</v>
          </cell>
        </row>
        <row r="4083">
          <cell r="I4083">
            <v>0.16319700000000001</v>
          </cell>
        </row>
        <row r="4084">
          <cell r="I4084">
            <v>0.16323699999999999</v>
          </cell>
        </row>
        <row r="4085">
          <cell r="I4085">
            <v>0.16327700000000001</v>
          </cell>
        </row>
        <row r="4086">
          <cell r="I4086">
            <v>0.16331699999999999</v>
          </cell>
        </row>
        <row r="4087">
          <cell r="I4087">
            <v>0.163357</v>
          </cell>
        </row>
        <row r="4088">
          <cell r="I4088">
            <v>0.16339699999999999</v>
          </cell>
        </row>
        <row r="4089">
          <cell r="I4089">
            <v>0.163437</v>
          </cell>
        </row>
        <row r="4090">
          <cell r="I4090">
            <v>0.16347700000000001</v>
          </cell>
        </row>
        <row r="4091">
          <cell r="I4091">
            <v>0.163517</v>
          </cell>
        </row>
        <row r="4092">
          <cell r="I4092">
            <v>0.16355700000000001</v>
          </cell>
        </row>
        <row r="4093">
          <cell r="I4093">
            <v>0.16359699999999999</v>
          </cell>
        </row>
        <row r="4094">
          <cell r="I4094">
            <v>0.163637</v>
          </cell>
        </row>
        <row r="4095">
          <cell r="I4095">
            <v>0.16367699999999999</v>
          </cell>
        </row>
        <row r="4096">
          <cell r="I4096">
            <v>0.163717</v>
          </cell>
        </row>
        <row r="4097">
          <cell r="I4097">
            <v>0.16375700000000001</v>
          </cell>
        </row>
        <row r="4098">
          <cell r="I4098">
            <v>0.163797</v>
          </cell>
        </row>
        <row r="4099">
          <cell r="I4099">
            <v>0.16383700000000001</v>
          </cell>
        </row>
        <row r="4100">
          <cell r="I4100">
            <v>0.16387699999999999</v>
          </cell>
        </row>
        <row r="4101">
          <cell r="I4101">
            <v>0.16391700000000001</v>
          </cell>
        </row>
        <row r="4102">
          <cell r="I4102">
            <v>0.16395699999999999</v>
          </cell>
        </row>
        <row r="4103">
          <cell r="I4103">
            <v>0.163997</v>
          </cell>
        </row>
        <row r="4104">
          <cell r="I4104">
            <v>0.16403699999999999</v>
          </cell>
        </row>
        <row r="4105">
          <cell r="I4105">
            <v>0.164077</v>
          </cell>
        </row>
        <row r="4106">
          <cell r="I4106">
            <v>0.16411700000000001</v>
          </cell>
        </row>
        <row r="4107">
          <cell r="I4107">
            <v>0.164157</v>
          </cell>
        </row>
        <row r="4108">
          <cell r="I4108">
            <v>0.16419700000000001</v>
          </cell>
        </row>
        <row r="4109">
          <cell r="I4109">
            <v>0.16423699999999999</v>
          </cell>
        </row>
        <row r="4110">
          <cell r="I4110">
            <v>0.16427700000000001</v>
          </cell>
        </row>
        <row r="4111">
          <cell r="I4111">
            <v>0.16431699999999999</v>
          </cell>
        </row>
        <row r="4112">
          <cell r="I4112">
            <v>0.164357</v>
          </cell>
        </row>
        <row r="4113">
          <cell r="I4113">
            <v>0.16439699999999999</v>
          </cell>
        </row>
        <row r="4114">
          <cell r="I4114">
            <v>0.164437</v>
          </cell>
        </row>
        <row r="4115">
          <cell r="I4115">
            <v>0.16447700000000001</v>
          </cell>
        </row>
        <row r="4116">
          <cell r="I4116">
            <v>0.164517</v>
          </cell>
        </row>
        <row r="4117">
          <cell r="I4117">
            <v>0.16455700000000001</v>
          </cell>
        </row>
        <row r="4118">
          <cell r="I4118">
            <v>0.16459699999999999</v>
          </cell>
        </row>
        <row r="4119">
          <cell r="I4119">
            <v>0.16463700000000001</v>
          </cell>
        </row>
        <row r="4120">
          <cell r="I4120">
            <v>0.16467699999999999</v>
          </cell>
        </row>
        <row r="4121">
          <cell r="I4121">
            <v>0.164717</v>
          </cell>
        </row>
        <row r="4122">
          <cell r="I4122">
            <v>0.16475699999999999</v>
          </cell>
        </row>
        <row r="4123">
          <cell r="I4123">
            <v>0.164797</v>
          </cell>
        </row>
        <row r="4124">
          <cell r="I4124">
            <v>0.16483700000000001</v>
          </cell>
        </row>
        <row r="4125">
          <cell r="I4125">
            <v>0.164877</v>
          </cell>
        </row>
        <row r="4126">
          <cell r="I4126">
            <v>0.16491700000000001</v>
          </cell>
        </row>
        <row r="4127">
          <cell r="I4127">
            <v>0.16495699999999999</v>
          </cell>
        </row>
        <row r="4128">
          <cell r="I4128">
            <v>0.164997</v>
          </cell>
        </row>
        <row r="4129">
          <cell r="I4129">
            <v>0.16503699999999999</v>
          </cell>
        </row>
        <row r="4130">
          <cell r="I4130">
            <v>0.165077</v>
          </cell>
        </row>
        <row r="4131">
          <cell r="I4131">
            <v>0.16511700000000001</v>
          </cell>
        </row>
        <row r="4132">
          <cell r="I4132">
            <v>0.165157</v>
          </cell>
        </row>
        <row r="4133">
          <cell r="I4133">
            <v>0.16519700000000001</v>
          </cell>
        </row>
        <row r="4134">
          <cell r="I4134">
            <v>0.16523699999999999</v>
          </cell>
        </row>
        <row r="4135">
          <cell r="I4135">
            <v>0.16527700000000001</v>
          </cell>
        </row>
        <row r="4136">
          <cell r="I4136">
            <v>0.16531699999999999</v>
          </cell>
        </row>
        <row r="4137">
          <cell r="I4137">
            <v>0.165357</v>
          </cell>
        </row>
        <row r="4138">
          <cell r="I4138">
            <v>0.16539699999999999</v>
          </cell>
        </row>
        <row r="4139">
          <cell r="I4139">
            <v>0.165437</v>
          </cell>
        </row>
        <row r="4140">
          <cell r="I4140">
            <v>0.16547700000000001</v>
          </cell>
        </row>
        <row r="4141">
          <cell r="I4141">
            <v>0.165517</v>
          </cell>
        </row>
        <row r="4142">
          <cell r="I4142">
            <v>0.16555700000000001</v>
          </cell>
        </row>
        <row r="4143">
          <cell r="I4143">
            <v>0.16559699999999999</v>
          </cell>
        </row>
        <row r="4144">
          <cell r="I4144">
            <v>0.16563700000000001</v>
          </cell>
        </row>
        <row r="4145">
          <cell r="I4145">
            <v>0.16567699999999999</v>
          </cell>
        </row>
        <row r="4146">
          <cell r="I4146">
            <v>0.165717</v>
          </cell>
        </row>
        <row r="4147">
          <cell r="I4147">
            <v>0.16575699999999999</v>
          </cell>
        </row>
        <row r="4148">
          <cell r="I4148">
            <v>0.165797</v>
          </cell>
        </row>
        <row r="4149">
          <cell r="I4149">
            <v>0.16583700000000001</v>
          </cell>
        </row>
        <row r="4150">
          <cell r="I4150">
            <v>0.165877</v>
          </cell>
        </row>
        <row r="4151">
          <cell r="I4151">
            <v>0.16591700000000001</v>
          </cell>
        </row>
        <row r="4152">
          <cell r="I4152">
            <v>0.16595699999999999</v>
          </cell>
        </row>
        <row r="4153">
          <cell r="I4153">
            <v>0.16599700000000001</v>
          </cell>
        </row>
        <row r="4154">
          <cell r="I4154">
            <v>0.16603699999999999</v>
          </cell>
        </row>
        <row r="4155">
          <cell r="I4155">
            <v>0.166077</v>
          </cell>
        </row>
        <row r="4156">
          <cell r="I4156">
            <v>0.16611699999999999</v>
          </cell>
        </row>
        <row r="4157">
          <cell r="I4157">
            <v>0.166157</v>
          </cell>
        </row>
        <row r="4158">
          <cell r="I4158">
            <v>0.16619700000000001</v>
          </cell>
        </row>
        <row r="4159">
          <cell r="I4159">
            <v>0.166237</v>
          </cell>
        </row>
        <row r="4160">
          <cell r="I4160">
            <v>0.16627700000000001</v>
          </cell>
        </row>
        <row r="4161">
          <cell r="I4161">
            <v>0.16631699999999999</v>
          </cell>
        </row>
        <row r="4162">
          <cell r="I4162">
            <v>0.166357</v>
          </cell>
        </row>
        <row r="4163">
          <cell r="I4163">
            <v>0.16639699999999999</v>
          </cell>
        </row>
        <row r="4164">
          <cell r="I4164">
            <v>0.166437</v>
          </cell>
        </row>
        <row r="4165">
          <cell r="I4165">
            <v>0.16647700000000001</v>
          </cell>
        </row>
        <row r="4166">
          <cell r="I4166">
            <v>0.166517</v>
          </cell>
        </row>
        <row r="4167">
          <cell r="I4167">
            <v>0.16655700000000001</v>
          </cell>
        </row>
        <row r="4168">
          <cell r="I4168">
            <v>0.166597</v>
          </cell>
        </row>
        <row r="4169">
          <cell r="I4169">
            <v>0.16663700000000001</v>
          </cell>
        </row>
        <row r="4170">
          <cell r="I4170">
            <v>0.16667699999999999</v>
          </cell>
        </row>
        <row r="4171">
          <cell r="I4171">
            <v>0.166717</v>
          </cell>
        </row>
        <row r="4172">
          <cell r="I4172">
            <v>0.16675699999999999</v>
          </cell>
        </row>
        <row r="4173">
          <cell r="I4173">
            <v>0.166797</v>
          </cell>
        </row>
        <row r="4174">
          <cell r="I4174">
            <v>0.16683700000000001</v>
          </cell>
        </row>
        <row r="4175">
          <cell r="I4175">
            <v>0.166877</v>
          </cell>
        </row>
        <row r="4176">
          <cell r="I4176">
            <v>0.16691700000000001</v>
          </cell>
        </row>
        <row r="4177">
          <cell r="I4177">
            <v>0.16695699999999999</v>
          </cell>
        </row>
        <row r="4178">
          <cell r="I4178">
            <v>0.16699700000000001</v>
          </cell>
        </row>
        <row r="4179">
          <cell r="I4179">
            <v>0.16703699999999999</v>
          </cell>
        </row>
        <row r="4180">
          <cell r="I4180">
            <v>0.167077</v>
          </cell>
        </row>
        <row r="4181">
          <cell r="I4181">
            <v>0.16711699999999999</v>
          </cell>
        </row>
        <row r="4182">
          <cell r="I4182">
            <v>0.167157</v>
          </cell>
        </row>
        <row r="4183">
          <cell r="I4183">
            <v>0.16719700000000001</v>
          </cell>
        </row>
        <row r="4184">
          <cell r="I4184">
            <v>0.167237</v>
          </cell>
        </row>
        <row r="4185">
          <cell r="I4185">
            <v>0.16727700000000001</v>
          </cell>
        </row>
        <row r="4186">
          <cell r="I4186">
            <v>0.16731699999999999</v>
          </cell>
        </row>
        <row r="4187">
          <cell r="I4187">
            <v>0.16735700000000001</v>
          </cell>
        </row>
        <row r="4188">
          <cell r="I4188">
            <v>0.16739699999999999</v>
          </cell>
        </row>
        <row r="4189">
          <cell r="I4189">
            <v>0.167437</v>
          </cell>
        </row>
        <row r="4190">
          <cell r="I4190">
            <v>0.16747699999999999</v>
          </cell>
        </row>
        <row r="4191">
          <cell r="I4191">
            <v>0.167517</v>
          </cell>
        </row>
        <row r="4192">
          <cell r="I4192">
            <v>0.16755700000000001</v>
          </cell>
        </row>
        <row r="4193">
          <cell r="I4193">
            <v>0.167597</v>
          </cell>
        </row>
        <row r="4194">
          <cell r="I4194">
            <v>0.16763700000000001</v>
          </cell>
        </row>
        <row r="4195">
          <cell r="I4195">
            <v>0.16767699999999999</v>
          </cell>
        </row>
        <row r="4196">
          <cell r="I4196">
            <v>0.167717</v>
          </cell>
        </row>
        <row r="4197">
          <cell r="I4197">
            <v>0.16775699999999999</v>
          </cell>
        </row>
        <row r="4198">
          <cell r="I4198">
            <v>0.167797</v>
          </cell>
        </row>
        <row r="4199">
          <cell r="I4199">
            <v>0.16783699999999999</v>
          </cell>
        </row>
        <row r="4200">
          <cell r="I4200">
            <v>0.167877</v>
          </cell>
        </row>
        <row r="4201">
          <cell r="I4201">
            <v>0.16791700000000001</v>
          </cell>
        </row>
        <row r="4202">
          <cell r="I4202">
            <v>0.167957</v>
          </cell>
        </row>
        <row r="4203">
          <cell r="I4203">
            <v>0.16799700000000001</v>
          </cell>
        </row>
        <row r="4204">
          <cell r="I4204">
            <v>0.16803699999999999</v>
          </cell>
        </row>
        <row r="4205">
          <cell r="I4205">
            <v>0.168077</v>
          </cell>
        </row>
        <row r="4206">
          <cell r="I4206">
            <v>0.16811699999999999</v>
          </cell>
        </row>
        <row r="4207">
          <cell r="I4207">
            <v>0.168157</v>
          </cell>
        </row>
        <row r="4208">
          <cell r="I4208">
            <v>0.16819700000000001</v>
          </cell>
        </row>
        <row r="4209">
          <cell r="I4209">
            <v>0.168237</v>
          </cell>
        </row>
        <row r="4210">
          <cell r="I4210">
            <v>0.16827700000000001</v>
          </cell>
        </row>
        <row r="4211">
          <cell r="I4211">
            <v>0.16831699999999999</v>
          </cell>
        </row>
        <row r="4212">
          <cell r="I4212">
            <v>0.16835700000000001</v>
          </cell>
        </row>
        <row r="4213">
          <cell r="I4213">
            <v>0.16839699999999999</v>
          </cell>
        </row>
        <row r="4214">
          <cell r="I4214">
            <v>0.168437</v>
          </cell>
        </row>
        <row r="4215">
          <cell r="I4215">
            <v>0.16847699999999999</v>
          </cell>
        </row>
        <row r="4216">
          <cell r="I4216">
            <v>0.168517</v>
          </cell>
        </row>
        <row r="4217">
          <cell r="I4217">
            <v>0.16855700000000001</v>
          </cell>
        </row>
        <row r="4218">
          <cell r="I4218">
            <v>0.168597</v>
          </cell>
        </row>
        <row r="4219">
          <cell r="I4219">
            <v>0.16863700000000001</v>
          </cell>
        </row>
        <row r="4220">
          <cell r="I4220">
            <v>0.16867699999999999</v>
          </cell>
        </row>
        <row r="4221">
          <cell r="I4221">
            <v>0.16871700000000001</v>
          </cell>
        </row>
        <row r="4222">
          <cell r="I4222">
            <v>0.16875699999999999</v>
          </cell>
        </row>
        <row r="4223">
          <cell r="I4223">
            <v>0.168797</v>
          </cell>
        </row>
        <row r="4224">
          <cell r="I4224">
            <v>0.16883699999999999</v>
          </cell>
        </row>
        <row r="4225">
          <cell r="I4225">
            <v>0.168877</v>
          </cell>
        </row>
        <row r="4226">
          <cell r="I4226">
            <v>0.16891700000000001</v>
          </cell>
        </row>
        <row r="4227">
          <cell r="I4227">
            <v>0.168957</v>
          </cell>
        </row>
        <row r="4228">
          <cell r="I4228">
            <v>0.16899700000000001</v>
          </cell>
        </row>
        <row r="4229">
          <cell r="I4229">
            <v>0.16903699999999999</v>
          </cell>
        </row>
        <row r="4230">
          <cell r="I4230">
            <v>0.16907700000000001</v>
          </cell>
        </row>
        <row r="4231">
          <cell r="I4231">
            <v>0.16911699999999999</v>
          </cell>
        </row>
        <row r="4232">
          <cell r="I4232">
            <v>0.169157</v>
          </cell>
        </row>
        <row r="4233">
          <cell r="I4233">
            <v>0.16919699999999999</v>
          </cell>
        </row>
        <row r="4234">
          <cell r="I4234">
            <v>0.169237</v>
          </cell>
        </row>
        <row r="4235">
          <cell r="I4235">
            <v>0.16927700000000001</v>
          </cell>
        </row>
        <row r="4236">
          <cell r="I4236">
            <v>0.169317</v>
          </cell>
        </row>
        <row r="4237">
          <cell r="I4237">
            <v>0.16935700000000001</v>
          </cell>
        </row>
        <row r="4238">
          <cell r="I4238">
            <v>0.16939699999999999</v>
          </cell>
        </row>
        <row r="4239">
          <cell r="I4239">
            <v>0.169437</v>
          </cell>
        </row>
        <row r="4240">
          <cell r="I4240">
            <v>0.16947699999999999</v>
          </cell>
        </row>
        <row r="4241">
          <cell r="I4241">
            <v>0.169517</v>
          </cell>
        </row>
        <row r="4242">
          <cell r="I4242">
            <v>0.16955700000000001</v>
          </cell>
        </row>
        <row r="4243">
          <cell r="I4243">
            <v>0.169597</v>
          </cell>
        </row>
        <row r="4244">
          <cell r="I4244">
            <v>0.16963700000000001</v>
          </cell>
        </row>
        <row r="4245">
          <cell r="I4245">
            <v>0.16967699999999999</v>
          </cell>
        </row>
        <row r="4246">
          <cell r="I4246">
            <v>0.16971700000000001</v>
          </cell>
        </row>
        <row r="4247">
          <cell r="I4247">
            <v>0.16975699999999999</v>
          </cell>
        </row>
        <row r="4248">
          <cell r="I4248">
            <v>0.169797</v>
          </cell>
        </row>
        <row r="4249">
          <cell r="I4249">
            <v>0.16983699999999999</v>
          </cell>
        </row>
        <row r="4250">
          <cell r="I4250">
            <v>0.169877</v>
          </cell>
        </row>
        <row r="4251">
          <cell r="I4251">
            <v>0.16991700000000001</v>
          </cell>
        </row>
        <row r="4252">
          <cell r="I4252">
            <v>0.169957</v>
          </cell>
        </row>
        <row r="4253">
          <cell r="I4253">
            <v>0.16999700000000001</v>
          </cell>
        </row>
        <row r="4254">
          <cell r="I4254">
            <v>0.17003699999999999</v>
          </cell>
        </row>
        <row r="4255">
          <cell r="I4255">
            <v>0.17007700000000001</v>
          </cell>
        </row>
        <row r="4256">
          <cell r="I4256">
            <v>0.17011699999999999</v>
          </cell>
        </row>
        <row r="4257">
          <cell r="I4257">
            <v>0.170157</v>
          </cell>
        </row>
        <row r="4258">
          <cell r="I4258">
            <v>0.17019699999999999</v>
          </cell>
        </row>
        <row r="4259">
          <cell r="I4259">
            <v>0.170237</v>
          </cell>
        </row>
        <row r="4260">
          <cell r="I4260">
            <v>0.17027700000000001</v>
          </cell>
        </row>
        <row r="4261">
          <cell r="I4261">
            <v>0.170317</v>
          </cell>
        </row>
        <row r="4262">
          <cell r="I4262">
            <v>0.17035700000000001</v>
          </cell>
        </row>
        <row r="4263">
          <cell r="I4263">
            <v>0.17039699999999999</v>
          </cell>
        </row>
        <row r="4264">
          <cell r="I4264">
            <v>0.17043700000000001</v>
          </cell>
        </row>
        <row r="4265">
          <cell r="I4265">
            <v>0.17047699999999999</v>
          </cell>
        </row>
        <row r="4266">
          <cell r="I4266">
            <v>0.170517</v>
          </cell>
        </row>
        <row r="4267">
          <cell r="I4267">
            <v>0.17055699999999999</v>
          </cell>
        </row>
        <row r="4268">
          <cell r="I4268">
            <v>0.170597</v>
          </cell>
        </row>
        <row r="4269">
          <cell r="I4269">
            <v>0.17063700000000001</v>
          </cell>
        </row>
        <row r="4270">
          <cell r="I4270">
            <v>0.170677</v>
          </cell>
        </row>
        <row r="4271">
          <cell r="I4271">
            <v>0.17071700000000001</v>
          </cell>
        </row>
        <row r="4272">
          <cell r="I4272">
            <v>0.17075699999999999</v>
          </cell>
        </row>
        <row r="4273">
          <cell r="I4273">
            <v>0.170797</v>
          </cell>
        </row>
        <row r="4274">
          <cell r="I4274">
            <v>0.17083699999999999</v>
          </cell>
        </row>
        <row r="4275">
          <cell r="I4275">
            <v>0.170877</v>
          </cell>
        </row>
        <row r="4276">
          <cell r="I4276">
            <v>0.17091700000000001</v>
          </cell>
        </row>
        <row r="4277">
          <cell r="I4277">
            <v>0.170957</v>
          </cell>
        </row>
        <row r="4278">
          <cell r="I4278">
            <v>0.17099700000000001</v>
          </cell>
        </row>
        <row r="4279">
          <cell r="I4279">
            <v>0.17103699999999999</v>
          </cell>
        </row>
        <row r="4280">
          <cell r="I4280">
            <v>0.17107700000000001</v>
          </cell>
        </row>
        <row r="4281">
          <cell r="I4281">
            <v>0.17111699999999999</v>
          </cell>
        </row>
        <row r="4282">
          <cell r="I4282">
            <v>0.171157</v>
          </cell>
        </row>
        <row r="4283">
          <cell r="I4283">
            <v>0.17119699999999999</v>
          </cell>
        </row>
        <row r="4284">
          <cell r="I4284">
            <v>0.171237</v>
          </cell>
        </row>
        <row r="4285">
          <cell r="I4285">
            <v>0.17127700000000001</v>
          </cell>
        </row>
        <row r="4286">
          <cell r="I4286">
            <v>0.171317</v>
          </cell>
        </row>
        <row r="4287">
          <cell r="I4287">
            <v>0.17135700000000001</v>
          </cell>
        </row>
        <row r="4288">
          <cell r="I4288">
            <v>0.17139699999999999</v>
          </cell>
        </row>
        <row r="4289">
          <cell r="I4289">
            <v>0.17143700000000001</v>
          </cell>
        </row>
        <row r="4290">
          <cell r="I4290">
            <v>0.17147699999999999</v>
          </cell>
        </row>
        <row r="4291">
          <cell r="I4291">
            <v>0.171517</v>
          </cell>
        </row>
        <row r="4292">
          <cell r="I4292">
            <v>0.17155699999999999</v>
          </cell>
        </row>
        <row r="4293">
          <cell r="I4293">
            <v>0.171597</v>
          </cell>
        </row>
        <row r="4294">
          <cell r="I4294">
            <v>0.17163700000000001</v>
          </cell>
        </row>
        <row r="4295">
          <cell r="I4295">
            <v>0.171677</v>
          </cell>
        </row>
        <row r="4296">
          <cell r="I4296">
            <v>0.17171700000000001</v>
          </cell>
        </row>
        <row r="4297">
          <cell r="I4297">
            <v>0.17175699999999999</v>
          </cell>
        </row>
        <row r="4298">
          <cell r="I4298">
            <v>0.17179700000000001</v>
          </cell>
        </row>
        <row r="4299">
          <cell r="I4299">
            <v>0.17183699999999999</v>
          </cell>
        </row>
        <row r="4300">
          <cell r="I4300">
            <v>0.171877</v>
          </cell>
        </row>
        <row r="4301">
          <cell r="I4301">
            <v>0.17191699999999999</v>
          </cell>
        </row>
        <row r="4302">
          <cell r="I4302">
            <v>0.171957</v>
          </cell>
        </row>
        <row r="4303">
          <cell r="I4303">
            <v>0.17199700000000001</v>
          </cell>
        </row>
        <row r="4304">
          <cell r="I4304">
            <v>0.172037</v>
          </cell>
        </row>
        <row r="4305">
          <cell r="I4305">
            <v>0.17207700000000001</v>
          </cell>
        </row>
        <row r="4306">
          <cell r="I4306">
            <v>0.17211699999999999</v>
          </cell>
        </row>
        <row r="4307">
          <cell r="I4307">
            <v>0.172157</v>
          </cell>
        </row>
        <row r="4308">
          <cell r="I4308">
            <v>0.17219699999999999</v>
          </cell>
        </row>
        <row r="4309">
          <cell r="I4309">
            <v>0.172237</v>
          </cell>
        </row>
        <row r="4310">
          <cell r="I4310">
            <v>0.17227700000000001</v>
          </cell>
        </row>
        <row r="4311">
          <cell r="I4311">
            <v>0.172317</v>
          </cell>
        </row>
        <row r="4312">
          <cell r="I4312">
            <v>0.17235700000000001</v>
          </cell>
        </row>
        <row r="4313">
          <cell r="I4313">
            <v>0.17239699999999999</v>
          </cell>
        </row>
        <row r="4314">
          <cell r="I4314">
            <v>0.17243700000000001</v>
          </cell>
        </row>
        <row r="4315">
          <cell r="I4315">
            <v>0.17247699999999999</v>
          </cell>
        </row>
        <row r="4316">
          <cell r="I4316">
            <v>0.172517</v>
          </cell>
        </row>
        <row r="4317">
          <cell r="I4317">
            <v>0.17255699999999999</v>
          </cell>
        </row>
        <row r="4318">
          <cell r="I4318">
            <v>0.172597</v>
          </cell>
        </row>
        <row r="4319">
          <cell r="I4319">
            <v>0.17263700000000001</v>
          </cell>
        </row>
        <row r="4320">
          <cell r="I4320">
            <v>0.172677</v>
          </cell>
        </row>
        <row r="4321">
          <cell r="I4321">
            <v>0.17271700000000001</v>
          </cell>
        </row>
        <row r="4322">
          <cell r="I4322">
            <v>0.17275699999999999</v>
          </cell>
        </row>
        <row r="4323">
          <cell r="I4323">
            <v>0.17279700000000001</v>
          </cell>
        </row>
        <row r="4324">
          <cell r="I4324">
            <v>0.17283699999999999</v>
          </cell>
        </row>
        <row r="4325">
          <cell r="I4325">
            <v>0.172877</v>
          </cell>
        </row>
        <row r="4326">
          <cell r="I4326">
            <v>0.17291699999999999</v>
          </cell>
        </row>
        <row r="4327">
          <cell r="I4327">
            <v>0.172957</v>
          </cell>
        </row>
        <row r="4328">
          <cell r="I4328">
            <v>0.17299700000000001</v>
          </cell>
        </row>
        <row r="4329">
          <cell r="I4329">
            <v>0.173037</v>
          </cell>
        </row>
        <row r="4330">
          <cell r="I4330">
            <v>0.17307700000000001</v>
          </cell>
        </row>
        <row r="4331">
          <cell r="I4331">
            <v>0.17311699999999999</v>
          </cell>
        </row>
        <row r="4332">
          <cell r="I4332">
            <v>0.17315700000000001</v>
          </cell>
        </row>
        <row r="4333">
          <cell r="I4333">
            <v>0.17319699999999999</v>
          </cell>
        </row>
        <row r="4334">
          <cell r="I4334">
            <v>0.173237</v>
          </cell>
        </row>
        <row r="4335">
          <cell r="I4335">
            <v>0.17327699999999999</v>
          </cell>
        </row>
        <row r="4336">
          <cell r="I4336">
            <v>0.173317</v>
          </cell>
        </row>
        <row r="4337">
          <cell r="I4337">
            <v>0.17335700000000001</v>
          </cell>
        </row>
        <row r="4338">
          <cell r="I4338">
            <v>0.173397</v>
          </cell>
        </row>
        <row r="4339">
          <cell r="I4339">
            <v>0.17343700000000001</v>
          </cell>
        </row>
        <row r="4340">
          <cell r="I4340">
            <v>0.17347699999999999</v>
          </cell>
        </row>
        <row r="4341">
          <cell r="I4341">
            <v>0.173517</v>
          </cell>
        </row>
        <row r="4342">
          <cell r="I4342">
            <v>0.17355699999999999</v>
          </cell>
        </row>
        <row r="4343">
          <cell r="I4343">
            <v>0.173597</v>
          </cell>
        </row>
        <row r="4344">
          <cell r="I4344">
            <v>0.17363700000000001</v>
          </cell>
        </row>
        <row r="4345">
          <cell r="I4345">
            <v>0.173677</v>
          </cell>
        </row>
        <row r="4346">
          <cell r="I4346">
            <v>0.17371700000000001</v>
          </cell>
        </row>
        <row r="4347">
          <cell r="I4347">
            <v>0.17375699999999999</v>
          </cell>
        </row>
        <row r="4348">
          <cell r="I4348">
            <v>0.17379700000000001</v>
          </cell>
        </row>
        <row r="4349">
          <cell r="I4349">
            <v>0.17383699999999999</v>
          </cell>
        </row>
        <row r="4350">
          <cell r="I4350">
            <v>0.173877</v>
          </cell>
        </row>
        <row r="4351">
          <cell r="I4351">
            <v>0.17391699999999999</v>
          </cell>
        </row>
        <row r="4352">
          <cell r="I4352">
            <v>0.173957</v>
          </cell>
        </row>
        <row r="4353">
          <cell r="I4353">
            <v>0.17399700000000001</v>
          </cell>
        </row>
        <row r="4354">
          <cell r="I4354">
            <v>0.174037</v>
          </cell>
        </row>
        <row r="4355">
          <cell r="I4355">
            <v>0.17407700000000001</v>
          </cell>
        </row>
        <row r="4356">
          <cell r="I4356">
            <v>0.17411699999999999</v>
          </cell>
        </row>
        <row r="4357">
          <cell r="I4357">
            <v>0.17415700000000001</v>
          </cell>
        </row>
        <row r="4358">
          <cell r="I4358">
            <v>0.17419699999999999</v>
          </cell>
        </row>
        <row r="4359">
          <cell r="I4359">
            <v>0.174237</v>
          </cell>
        </row>
        <row r="4360">
          <cell r="I4360">
            <v>0.17427699999999999</v>
          </cell>
        </row>
        <row r="4361">
          <cell r="I4361">
            <v>0.174317</v>
          </cell>
        </row>
        <row r="4362">
          <cell r="I4362">
            <v>0.17435700000000001</v>
          </cell>
        </row>
        <row r="4363">
          <cell r="I4363">
            <v>0.174397</v>
          </cell>
        </row>
        <row r="4364">
          <cell r="I4364">
            <v>0.17443700000000001</v>
          </cell>
        </row>
        <row r="4365">
          <cell r="I4365">
            <v>0.17447699999999999</v>
          </cell>
        </row>
        <row r="4366">
          <cell r="I4366">
            <v>0.17451700000000001</v>
          </cell>
        </row>
        <row r="4367">
          <cell r="I4367">
            <v>0.17455699999999999</v>
          </cell>
        </row>
        <row r="4368">
          <cell r="I4368">
            <v>0.174597</v>
          </cell>
        </row>
        <row r="4369">
          <cell r="I4369">
            <v>0.17463699999999999</v>
          </cell>
        </row>
        <row r="4370">
          <cell r="I4370">
            <v>0.174677</v>
          </cell>
        </row>
        <row r="4371">
          <cell r="I4371">
            <v>0.17471700000000001</v>
          </cell>
        </row>
        <row r="4372">
          <cell r="I4372">
            <v>0.174757</v>
          </cell>
        </row>
        <row r="4373">
          <cell r="I4373">
            <v>0.17479700000000001</v>
          </cell>
        </row>
        <row r="4374">
          <cell r="I4374">
            <v>0.17483699999999999</v>
          </cell>
        </row>
        <row r="4375">
          <cell r="I4375">
            <v>0.174877</v>
          </cell>
        </row>
        <row r="4376">
          <cell r="I4376">
            <v>0.17491699999999999</v>
          </cell>
        </row>
        <row r="4377">
          <cell r="I4377">
            <v>0.174957</v>
          </cell>
        </row>
        <row r="4378">
          <cell r="I4378">
            <v>0.17499700000000001</v>
          </cell>
        </row>
        <row r="4379">
          <cell r="I4379">
            <v>0.175037</v>
          </cell>
        </row>
        <row r="4380">
          <cell r="I4380">
            <v>0.17507700000000001</v>
          </cell>
        </row>
        <row r="4381">
          <cell r="I4381">
            <v>0.17511699999999999</v>
          </cell>
        </row>
        <row r="4382">
          <cell r="I4382">
            <v>0.17515700000000001</v>
          </cell>
        </row>
        <row r="4383">
          <cell r="I4383">
            <v>0.17519699999999999</v>
          </cell>
        </row>
        <row r="4384">
          <cell r="I4384">
            <v>0.175237</v>
          </cell>
        </row>
        <row r="4385">
          <cell r="I4385">
            <v>0.17527699999999999</v>
          </cell>
        </row>
        <row r="4386">
          <cell r="I4386">
            <v>0.175317</v>
          </cell>
        </row>
        <row r="4387">
          <cell r="I4387">
            <v>0.17535700000000001</v>
          </cell>
        </row>
        <row r="4388">
          <cell r="I4388">
            <v>0.175397</v>
          </cell>
        </row>
        <row r="4389">
          <cell r="I4389">
            <v>0.17543700000000001</v>
          </cell>
        </row>
        <row r="4390">
          <cell r="I4390">
            <v>0.17547699999999999</v>
          </cell>
        </row>
        <row r="4391">
          <cell r="I4391">
            <v>0.17551700000000001</v>
          </cell>
        </row>
        <row r="4392">
          <cell r="I4392">
            <v>0.17555699999999999</v>
          </cell>
        </row>
        <row r="4393">
          <cell r="I4393">
            <v>0.175597</v>
          </cell>
        </row>
        <row r="4394">
          <cell r="I4394">
            <v>0.17563699999999999</v>
          </cell>
        </row>
        <row r="4395">
          <cell r="I4395">
            <v>0.175677</v>
          </cell>
        </row>
        <row r="4396">
          <cell r="I4396">
            <v>0.17571700000000001</v>
          </cell>
        </row>
        <row r="4397">
          <cell r="I4397">
            <v>0.175757</v>
          </cell>
        </row>
        <row r="4398">
          <cell r="I4398">
            <v>0.17579700000000001</v>
          </cell>
        </row>
        <row r="4399">
          <cell r="I4399">
            <v>0.17583699999999999</v>
          </cell>
        </row>
        <row r="4400">
          <cell r="I4400">
            <v>0.17587700000000001</v>
          </cell>
        </row>
        <row r="4401">
          <cell r="I4401">
            <v>0.17591699999999999</v>
          </cell>
        </row>
        <row r="4402">
          <cell r="I4402">
            <v>0.175957</v>
          </cell>
        </row>
        <row r="4403">
          <cell r="I4403">
            <v>0.17599699999999999</v>
          </cell>
        </row>
        <row r="4404">
          <cell r="I4404">
            <v>0.176037</v>
          </cell>
        </row>
        <row r="4405">
          <cell r="I4405">
            <v>0.17607700000000001</v>
          </cell>
        </row>
        <row r="4406">
          <cell r="I4406">
            <v>0.176117</v>
          </cell>
        </row>
        <row r="4407">
          <cell r="I4407">
            <v>0.17615700000000001</v>
          </cell>
        </row>
        <row r="4408">
          <cell r="I4408">
            <v>0.17619699999999999</v>
          </cell>
        </row>
        <row r="4409">
          <cell r="I4409">
            <v>0.176237</v>
          </cell>
        </row>
        <row r="4410">
          <cell r="I4410">
            <v>0.17627699999999999</v>
          </cell>
        </row>
        <row r="4411">
          <cell r="I4411">
            <v>0.176317</v>
          </cell>
        </row>
        <row r="4412">
          <cell r="I4412">
            <v>0.17635700000000001</v>
          </cell>
        </row>
        <row r="4413">
          <cell r="I4413">
            <v>0.176397</v>
          </cell>
        </row>
        <row r="4414">
          <cell r="I4414">
            <v>0.17643700000000001</v>
          </cell>
        </row>
        <row r="4415">
          <cell r="I4415">
            <v>0.17647699999999999</v>
          </cell>
        </row>
        <row r="4416">
          <cell r="I4416">
            <v>0.17651700000000001</v>
          </cell>
        </row>
        <row r="4417">
          <cell r="I4417">
            <v>0.17655699999999999</v>
          </cell>
        </row>
        <row r="4418">
          <cell r="I4418">
            <v>0.176597</v>
          </cell>
        </row>
        <row r="4419">
          <cell r="I4419">
            <v>0.17663699999999999</v>
          </cell>
        </row>
        <row r="4420">
          <cell r="I4420">
            <v>0.176677</v>
          </cell>
        </row>
        <row r="4421">
          <cell r="I4421">
            <v>0.17671700000000001</v>
          </cell>
        </row>
        <row r="4422">
          <cell r="I4422">
            <v>0.176757</v>
          </cell>
        </row>
        <row r="4423">
          <cell r="I4423">
            <v>0.17679700000000001</v>
          </cell>
        </row>
        <row r="4424">
          <cell r="I4424">
            <v>0.17683699999999999</v>
          </cell>
        </row>
        <row r="4425">
          <cell r="I4425">
            <v>0.17687700000000001</v>
          </cell>
        </row>
        <row r="4426">
          <cell r="I4426">
            <v>0.17691699999999999</v>
          </cell>
        </row>
        <row r="4427">
          <cell r="I4427">
            <v>0.176957</v>
          </cell>
        </row>
        <row r="4428">
          <cell r="I4428">
            <v>0.17699699999999999</v>
          </cell>
        </row>
        <row r="4429">
          <cell r="I4429">
            <v>0.177037</v>
          </cell>
        </row>
        <row r="4430">
          <cell r="I4430">
            <v>0.17707700000000001</v>
          </cell>
        </row>
        <row r="4431">
          <cell r="I4431">
            <v>0.177117</v>
          </cell>
        </row>
        <row r="4432">
          <cell r="I4432">
            <v>0.17715700000000001</v>
          </cell>
        </row>
        <row r="4433">
          <cell r="I4433">
            <v>0.17719699999999999</v>
          </cell>
        </row>
        <row r="4434">
          <cell r="I4434">
            <v>0.17723700000000001</v>
          </cell>
        </row>
        <row r="4435">
          <cell r="I4435">
            <v>0.17727699999999999</v>
          </cell>
        </row>
        <row r="4436">
          <cell r="I4436">
            <v>0.177317</v>
          </cell>
        </row>
        <row r="4437">
          <cell r="I4437">
            <v>0.17735699999999999</v>
          </cell>
        </row>
        <row r="4438">
          <cell r="I4438">
            <v>0.177397</v>
          </cell>
        </row>
        <row r="4439">
          <cell r="I4439">
            <v>0.17743700000000001</v>
          </cell>
        </row>
        <row r="4440">
          <cell r="I4440">
            <v>0.177477</v>
          </cell>
        </row>
        <row r="4441">
          <cell r="I4441">
            <v>0.17751700000000001</v>
          </cell>
        </row>
        <row r="4442">
          <cell r="I4442">
            <v>0.17755699999999999</v>
          </cell>
        </row>
        <row r="4443">
          <cell r="I4443">
            <v>0.177597</v>
          </cell>
        </row>
        <row r="4444">
          <cell r="I4444">
            <v>0.17763699999999999</v>
          </cell>
        </row>
        <row r="4445">
          <cell r="I4445">
            <v>0.177677</v>
          </cell>
        </row>
        <row r="4446">
          <cell r="I4446">
            <v>0.17771700000000001</v>
          </cell>
        </row>
        <row r="4447">
          <cell r="I4447">
            <v>0.177757</v>
          </cell>
        </row>
        <row r="4448">
          <cell r="I4448">
            <v>0.17779700000000001</v>
          </cell>
        </row>
        <row r="4449">
          <cell r="I4449">
            <v>0.177837</v>
          </cell>
        </row>
        <row r="4450">
          <cell r="I4450">
            <v>0.17787700000000001</v>
          </cell>
        </row>
        <row r="4451">
          <cell r="I4451">
            <v>0.17791699999999999</v>
          </cell>
        </row>
        <row r="4452">
          <cell r="I4452">
            <v>0.177957</v>
          </cell>
        </row>
        <row r="4453">
          <cell r="I4453">
            <v>0.17799699999999999</v>
          </cell>
        </row>
        <row r="4454">
          <cell r="I4454">
            <v>0.178037</v>
          </cell>
        </row>
        <row r="4455">
          <cell r="I4455">
            <v>0.17807700000000001</v>
          </cell>
        </row>
        <row r="4456">
          <cell r="I4456">
            <v>0.178117</v>
          </cell>
        </row>
        <row r="4457">
          <cell r="I4457">
            <v>0.17815700000000001</v>
          </cell>
        </row>
        <row r="4458">
          <cell r="I4458">
            <v>0.17819699999999999</v>
          </cell>
        </row>
        <row r="4459">
          <cell r="I4459">
            <v>0.17823700000000001</v>
          </cell>
        </row>
        <row r="4460">
          <cell r="I4460">
            <v>0.17827699999999999</v>
          </cell>
        </row>
        <row r="4461">
          <cell r="I4461">
            <v>0.178317</v>
          </cell>
        </row>
        <row r="4462">
          <cell r="I4462">
            <v>0.17835699999999999</v>
          </cell>
        </row>
        <row r="4463">
          <cell r="I4463">
            <v>0.178397</v>
          </cell>
        </row>
        <row r="4464">
          <cell r="I4464">
            <v>0.17843700000000001</v>
          </cell>
        </row>
        <row r="4465">
          <cell r="I4465">
            <v>0.178477</v>
          </cell>
        </row>
        <row r="4466">
          <cell r="I4466">
            <v>0.17851700000000001</v>
          </cell>
        </row>
        <row r="4467">
          <cell r="I4467">
            <v>0.17855699999999999</v>
          </cell>
        </row>
        <row r="4468">
          <cell r="I4468">
            <v>0.17859700000000001</v>
          </cell>
        </row>
        <row r="4469">
          <cell r="I4469">
            <v>0.17863699999999999</v>
          </cell>
        </row>
        <row r="4470">
          <cell r="I4470">
            <v>0.178677</v>
          </cell>
        </row>
        <row r="4471">
          <cell r="I4471">
            <v>0.17871699999999999</v>
          </cell>
        </row>
        <row r="4472">
          <cell r="I4472">
            <v>0.178757</v>
          </cell>
        </row>
        <row r="4473">
          <cell r="I4473">
            <v>0.17879700000000001</v>
          </cell>
        </row>
        <row r="4474">
          <cell r="I4474">
            <v>0.178837</v>
          </cell>
        </row>
        <row r="4475">
          <cell r="I4475">
            <v>0.17887700000000001</v>
          </cell>
        </row>
        <row r="4476">
          <cell r="I4476">
            <v>0.17891699999999999</v>
          </cell>
        </row>
        <row r="4477">
          <cell r="I4477">
            <v>0.178957</v>
          </cell>
        </row>
        <row r="4478">
          <cell r="I4478">
            <v>0.17899699999999999</v>
          </cell>
        </row>
        <row r="4479">
          <cell r="I4479">
            <v>0.179037</v>
          </cell>
        </row>
        <row r="4480">
          <cell r="I4480">
            <v>0.17907699999999999</v>
          </cell>
        </row>
        <row r="4481">
          <cell r="I4481">
            <v>0.179117</v>
          </cell>
        </row>
        <row r="4482">
          <cell r="I4482">
            <v>0.17915700000000001</v>
          </cell>
        </row>
        <row r="4483">
          <cell r="I4483">
            <v>0.179197</v>
          </cell>
        </row>
        <row r="4484">
          <cell r="I4484">
            <v>0.17923700000000001</v>
          </cell>
        </row>
        <row r="4485">
          <cell r="I4485">
            <v>0.17927699999999999</v>
          </cell>
        </row>
        <row r="4486">
          <cell r="I4486">
            <v>0.179317</v>
          </cell>
        </row>
        <row r="4487">
          <cell r="I4487">
            <v>0.17935699999999999</v>
          </cell>
        </row>
        <row r="4488">
          <cell r="I4488">
            <v>0.179397</v>
          </cell>
        </row>
        <row r="4489">
          <cell r="I4489">
            <v>0.17943700000000001</v>
          </cell>
        </row>
        <row r="4490">
          <cell r="I4490">
            <v>0.179477</v>
          </cell>
        </row>
        <row r="4491">
          <cell r="I4491">
            <v>0.17951700000000001</v>
          </cell>
        </row>
        <row r="4492">
          <cell r="I4492">
            <v>0.17955699999999999</v>
          </cell>
        </row>
        <row r="4493">
          <cell r="I4493">
            <v>0.17959700000000001</v>
          </cell>
        </row>
        <row r="4494">
          <cell r="I4494">
            <v>0.17963699999999999</v>
          </cell>
        </row>
        <row r="4495">
          <cell r="I4495">
            <v>0.179677</v>
          </cell>
        </row>
        <row r="4496">
          <cell r="I4496">
            <v>0.17971699999999999</v>
          </cell>
        </row>
        <row r="4497">
          <cell r="I4497">
            <v>0.179757</v>
          </cell>
        </row>
        <row r="4498">
          <cell r="I4498">
            <v>0.17979700000000001</v>
          </cell>
        </row>
        <row r="4499">
          <cell r="I4499">
            <v>0.179837</v>
          </cell>
        </row>
        <row r="4500">
          <cell r="I4500">
            <v>0.17987700000000001</v>
          </cell>
        </row>
        <row r="4501">
          <cell r="I4501">
            <v>0.17991699999999999</v>
          </cell>
        </row>
        <row r="4502">
          <cell r="I4502">
            <v>0.17995700000000001</v>
          </cell>
        </row>
        <row r="4503">
          <cell r="I4503">
            <v>0.17999699999999999</v>
          </cell>
        </row>
        <row r="4504">
          <cell r="I4504">
            <v>0.180037</v>
          </cell>
        </row>
        <row r="4505">
          <cell r="I4505">
            <v>0.18007699999999999</v>
          </cell>
        </row>
        <row r="4506">
          <cell r="I4506">
            <v>0.180117</v>
          </cell>
        </row>
        <row r="4507">
          <cell r="I4507">
            <v>0.18015700000000001</v>
          </cell>
        </row>
        <row r="4508">
          <cell r="I4508">
            <v>0.180197</v>
          </cell>
        </row>
        <row r="4509">
          <cell r="I4509">
            <v>0.18023700000000001</v>
          </cell>
        </row>
        <row r="4510">
          <cell r="I4510">
            <v>0.18027699999999999</v>
          </cell>
        </row>
        <row r="4511">
          <cell r="I4511">
            <v>0.18031700000000001</v>
          </cell>
        </row>
        <row r="4512">
          <cell r="I4512">
            <v>0.18035699999999999</v>
          </cell>
        </row>
        <row r="4513">
          <cell r="I4513">
            <v>0.180397</v>
          </cell>
        </row>
        <row r="4514">
          <cell r="I4514">
            <v>0.18043699999999999</v>
          </cell>
        </row>
        <row r="4515">
          <cell r="I4515">
            <v>0.180477</v>
          </cell>
        </row>
        <row r="4516">
          <cell r="I4516">
            <v>0.18051700000000001</v>
          </cell>
        </row>
        <row r="4517">
          <cell r="I4517">
            <v>0.180557</v>
          </cell>
        </row>
        <row r="4518">
          <cell r="I4518">
            <v>0.18059700000000001</v>
          </cell>
        </row>
        <row r="4519">
          <cell r="I4519">
            <v>0.18063699999999999</v>
          </cell>
        </row>
        <row r="4520">
          <cell r="I4520">
            <v>0.180677</v>
          </cell>
        </row>
        <row r="4521">
          <cell r="I4521">
            <v>0.18071699999999999</v>
          </cell>
        </row>
        <row r="4522">
          <cell r="I4522">
            <v>0.180757</v>
          </cell>
        </row>
        <row r="4523">
          <cell r="I4523">
            <v>0.18079700000000001</v>
          </cell>
        </row>
        <row r="4524">
          <cell r="I4524">
            <v>0.180837</v>
          </cell>
        </row>
        <row r="4525">
          <cell r="I4525">
            <v>0.18087700000000001</v>
          </cell>
        </row>
        <row r="4526">
          <cell r="I4526">
            <v>0.18091699999999999</v>
          </cell>
        </row>
        <row r="4527">
          <cell r="I4527">
            <v>0.18095700000000001</v>
          </cell>
        </row>
        <row r="4528">
          <cell r="I4528">
            <v>0.18099699999999999</v>
          </cell>
        </row>
        <row r="4529">
          <cell r="I4529">
            <v>0.181037</v>
          </cell>
        </row>
        <row r="4530">
          <cell r="I4530">
            <v>0.18107699999999999</v>
          </cell>
        </row>
        <row r="4531">
          <cell r="I4531">
            <v>0.181117</v>
          </cell>
        </row>
        <row r="4532">
          <cell r="I4532">
            <v>0.18115700000000001</v>
          </cell>
        </row>
        <row r="4533">
          <cell r="I4533">
            <v>0.181197</v>
          </cell>
        </row>
        <row r="4534">
          <cell r="I4534">
            <v>0.18123700000000001</v>
          </cell>
        </row>
        <row r="4535">
          <cell r="I4535">
            <v>0.18127699999999999</v>
          </cell>
        </row>
        <row r="4536">
          <cell r="I4536">
            <v>0.18131700000000001</v>
          </cell>
        </row>
        <row r="4537">
          <cell r="I4537">
            <v>0.18135699999999999</v>
          </cell>
        </row>
        <row r="4538">
          <cell r="I4538">
            <v>0.181397</v>
          </cell>
        </row>
        <row r="4539">
          <cell r="I4539">
            <v>0.18143699999999999</v>
          </cell>
        </row>
        <row r="4540">
          <cell r="I4540">
            <v>0.181477</v>
          </cell>
        </row>
        <row r="4541">
          <cell r="I4541">
            <v>0.18151700000000001</v>
          </cell>
        </row>
        <row r="4542">
          <cell r="I4542">
            <v>0.181557</v>
          </cell>
        </row>
        <row r="4543">
          <cell r="I4543">
            <v>0.18159700000000001</v>
          </cell>
        </row>
        <row r="4544">
          <cell r="I4544">
            <v>0.18163699999999999</v>
          </cell>
        </row>
        <row r="4545">
          <cell r="I4545">
            <v>0.18167700000000001</v>
          </cell>
        </row>
        <row r="4546">
          <cell r="I4546">
            <v>0.18171699999999999</v>
          </cell>
        </row>
        <row r="4547">
          <cell r="I4547">
            <v>0.181757</v>
          </cell>
        </row>
        <row r="4548">
          <cell r="I4548">
            <v>0.18179699999999999</v>
          </cell>
        </row>
        <row r="4549">
          <cell r="I4549">
            <v>0.181837</v>
          </cell>
        </row>
        <row r="4550">
          <cell r="I4550">
            <v>0.18187700000000001</v>
          </cell>
        </row>
        <row r="4551">
          <cell r="I4551">
            <v>0.181917</v>
          </cell>
        </row>
        <row r="4552">
          <cell r="I4552">
            <v>0.18195700000000001</v>
          </cell>
        </row>
        <row r="4553">
          <cell r="I4553">
            <v>0.18199699999999999</v>
          </cell>
        </row>
        <row r="4554">
          <cell r="I4554">
            <v>0.182037</v>
          </cell>
        </row>
        <row r="4555">
          <cell r="I4555">
            <v>0.18207699999999999</v>
          </cell>
        </row>
        <row r="4556">
          <cell r="I4556">
            <v>0.182117</v>
          </cell>
        </row>
        <row r="4557">
          <cell r="I4557">
            <v>0.18215700000000001</v>
          </cell>
        </row>
        <row r="4558">
          <cell r="I4558">
            <v>0.182197</v>
          </cell>
        </row>
        <row r="4559">
          <cell r="I4559">
            <v>0.18223700000000001</v>
          </cell>
        </row>
        <row r="4560">
          <cell r="I4560">
            <v>0.18227699999999999</v>
          </cell>
        </row>
        <row r="4561">
          <cell r="I4561">
            <v>0.18231700000000001</v>
          </cell>
        </row>
        <row r="4562">
          <cell r="I4562">
            <v>0.18235699999999999</v>
          </cell>
        </row>
        <row r="4563">
          <cell r="I4563">
            <v>0.182397</v>
          </cell>
        </row>
        <row r="4564">
          <cell r="I4564">
            <v>0.18243699999999999</v>
          </cell>
        </row>
        <row r="4565">
          <cell r="I4565">
            <v>0.182477</v>
          </cell>
        </row>
        <row r="4566">
          <cell r="I4566">
            <v>0.18251700000000001</v>
          </cell>
        </row>
        <row r="4567">
          <cell r="I4567">
            <v>0.182557</v>
          </cell>
        </row>
        <row r="4568">
          <cell r="I4568">
            <v>0.18259700000000001</v>
          </cell>
        </row>
        <row r="4569">
          <cell r="I4569">
            <v>0.18263699999999999</v>
          </cell>
        </row>
        <row r="4570">
          <cell r="I4570">
            <v>0.18267700000000001</v>
          </cell>
        </row>
        <row r="4571">
          <cell r="I4571">
            <v>0.18271699999999999</v>
          </cell>
        </row>
        <row r="4572">
          <cell r="I4572">
            <v>0.182757</v>
          </cell>
        </row>
        <row r="4573">
          <cell r="I4573">
            <v>0.18279699999999999</v>
          </cell>
        </row>
        <row r="4574">
          <cell r="I4574">
            <v>0.182837</v>
          </cell>
        </row>
        <row r="4575">
          <cell r="I4575">
            <v>0.18287700000000001</v>
          </cell>
        </row>
        <row r="4576">
          <cell r="I4576">
            <v>0.182917</v>
          </cell>
        </row>
        <row r="4577">
          <cell r="I4577">
            <v>0.18295700000000001</v>
          </cell>
        </row>
        <row r="4578">
          <cell r="I4578">
            <v>0.18299699999999999</v>
          </cell>
        </row>
        <row r="4579">
          <cell r="I4579">
            <v>0.18303700000000001</v>
          </cell>
        </row>
        <row r="4580">
          <cell r="I4580">
            <v>0.18307699999999999</v>
          </cell>
        </row>
        <row r="4581">
          <cell r="I4581">
            <v>0.183117</v>
          </cell>
        </row>
        <row r="4582">
          <cell r="I4582">
            <v>0.18315699999999999</v>
          </cell>
        </row>
        <row r="4583">
          <cell r="I4583">
            <v>0.183197</v>
          </cell>
        </row>
        <row r="4584">
          <cell r="I4584">
            <v>0.18323700000000001</v>
          </cell>
        </row>
        <row r="4585">
          <cell r="I4585">
            <v>0.183277</v>
          </cell>
        </row>
        <row r="4586">
          <cell r="I4586">
            <v>0.18331700000000001</v>
          </cell>
        </row>
        <row r="4587">
          <cell r="I4587">
            <v>0.18335699999999999</v>
          </cell>
        </row>
        <row r="4588">
          <cell r="I4588">
            <v>0.183397</v>
          </cell>
        </row>
        <row r="4589">
          <cell r="I4589">
            <v>0.18343699999999999</v>
          </cell>
        </row>
        <row r="4590">
          <cell r="I4590">
            <v>0.183477</v>
          </cell>
        </row>
        <row r="4591">
          <cell r="I4591">
            <v>0.18351700000000001</v>
          </cell>
        </row>
        <row r="4592">
          <cell r="I4592">
            <v>0.183557</v>
          </cell>
        </row>
        <row r="4593">
          <cell r="I4593">
            <v>0.18359700000000001</v>
          </cell>
        </row>
        <row r="4594">
          <cell r="I4594">
            <v>0.18363699999999999</v>
          </cell>
        </row>
        <row r="4595">
          <cell r="I4595">
            <v>0.18367700000000001</v>
          </cell>
        </row>
        <row r="4596">
          <cell r="I4596">
            <v>0.18371699999999999</v>
          </cell>
        </row>
        <row r="4597">
          <cell r="I4597">
            <v>0.183757</v>
          </cell>
        </row>
        <row r="4598">
          <cell r="I4598">
            <v>0.18379699999999999</v>
          </cell>
        </row>
        <row r="4599">
          <cell r="I4599">
            <v>0.183837</v>
          </cell>
        </row>
        <row r="4600">
          <cell r="I4600">
            <v>0.18387700000000001</v>
          </cell>
        </row>
        <row r="4601">
          <cell r="I4601">
            <v>0.183917</v>
          </cell>
        </row>
        <row r="4602">
          <cell r="I4602">
            <v>0.18395700000000001</v>
          </cell>
        </row>
        <row r="4603">
          <cell r="I4603">
            <v>0.18399699999999999</v>
          </cell>
        </row>
        <row r="4604">
          <cell r="I4604">
            <v>0.18403700000000001</v>
          </cell>
        </row>
        <row r="4605">
          <cell r="I4605">
            <v>0.18407699999999999</v>
          </cell>
        </row>
        <row r="4606">
          <cell r="I4606">
            <v>0.184117</v>
          </cell>
        </row>
        <row r="4607">
          <cell r="I4607">
            <v>0.18415699999999999</v>
          </cell>
        </row>
        <row r="4608">
          <cell r="I4608">
            <v>0.184197</v>
          </cell>
        </row>
        <row r="4609">
          <cell r="I4609">
            <v>0.18423700000000001</v>
          </cell>
        </row>
        <row r="4610">
          <cell r="I4610">
            <v>0.184277</v>
          </cell>
        </row>
        <row r="4611">
          <cell r="I4611">
            <v>0.18431700000000001</v>
          </cell>
        </row>
        <row r="4612">
          <cell r="I4612">
            <v>0.18435699999999999</v>
          </cell>
        </row>
        <row r="4613">
          <cell r="I4613">
            <v>0.18439700000000001</v>
          </cell>
        </row>
        <row r="4614">
          <cell r="I4614">
            <v>0.18443699999999999</v>
          </cell>
        </row>
        <row r="4615">
          <cell r="I4615">
            <v>0.184477</v>
          </cell>
        </row>
        <row r="4616">
          <cell r="I4616">
            <v>0.18451699999999999</v>
          </cell>
        </row>
        <row r="4617">
          <cell r="I4617">
            <v>0.184557</v>
          </cell>
        </row>
        <row r="4618">
          <cell r="I4618">
            <v>0.18459700000000001</v>
          </cell>
        </row>
        <row r="4619">
          <cell r="I4619">
            <v>0.184637</v>
          </cell>
        </row>
        <row r="4620">
          <cell r="I4620">
            <v>0.18467700000000001</v>
          </cell>
        </row>
        <row r="4621">
          <cell r="I4621">
            <v>0.18471699999999999</v>
          </cell>
        </row>
        <row r="4622">
          <cell r="I4622">
            <v>0.184757</v>
          </cell>
        </row>
        <row r="4623">
          <cell r="I4623">
            <v>0.18479699999999999</v>
          </cell>
        </row>
        <row r="4624">
          <cell r="I4624">
            <v>0.184837</v>
          </cell>
        </row>
        <row r="4625">
          <cell r="I4625">
            <v>0.18487700000000001</v>
          </cell>
        </row>
        <row r="4626">
          <cell r="I4626">
            <v>0.184917</v>
          </cell>
        </row>
        <row r="4627">
          <cell r="I4627">
            <v>0.18495700000000001</v>
          </cell>
        </row>
        <row r="4628">
          <cell r="I4628">
            <v>0.18499699999999999</v>
          </cell>
        </row>
        <row r="4629">
          <cell r="I4629">
            <v>0.18503700000000001</v>
          </cell>
        </row>
        <row r="4630">
          <cell r="I4630">
            <v>0.18507699999999999</v>
          </cell>
        </row>
        <row r="4631">
          <cell r="I4631">
            <v>0.185117</v>
          </cell>
        </row>
        <row r="4632">
          <cell r="I4632">
            <v>0.18515699999999999</v>
          </cell>
        </row>
        <row r="4633">
          <cell r="I4633">
            <v>0.185197</v>
          </cell>
        </row>
        <row r="4634">
          <cell r="I4634">
            <v>0.18523700000000001</v>
          </cell>
        </row>
        <row r="4635">
          <cell r="I4635">
            <v>0.185277</v>
          </cell>
        </row>
        <row r="4636">
          <cell r="I4636">
            <v>0.18531700000000001</v>
          </cell>
        </row>
        <row r="4637">
          <cell r="I4637">
            <v>0.18535699999999999</v>
          </cell>
        </row>
        <row r="4638">
          <cell r="I4638">
            <v>0.18539700000000001</v>
          </cell>
        </row>
        <row r="4639">
          <cell r="I4639">
            <v>0.18543699999999999</v>
          </cell>
        </row>
        <row r="4640">
          <cell r="I4640">
            <v>0.185477</v>
          </cell>
        </row>
        <row r="4641">
          <cell r="I4641">
            <v>0.18551699999999999</v>
          </cell>
        </row>
        <row r="4642">
          <cell r="I4642">
            <v>0.185557</v>
          </cell>
        </row>
        <row r="4643">
          <cell r="I4643">
            <v>0.18559700000000001</v>
          </cell>
        </row>
        <row r="4644">
          <cell r="I4644">
            <v>0.185637</v>
          </cell>
        </row>
        <row r="4645">
          <cell r="I4645">
            <v>0.18567700000000001</v>
          </cell>
        </row>
        <row r="4646">
          <cell r="I4646">
            <v>0.18571699999999999</v>
          </cell>
        </row>
        <row r="4647">
          <cell r="I4647">
            <v>0.18575700000000001</v>
          </cell>
        </row>
        <row r="4648">
          <cell r="I4648">
            <v>0.18579699999999999</v>
          </cell>
        </row>
        <row r="4649">
          <cell r="I4649">
            <v>0.185837</v>
          </cell>
        </row>
        <row r="4650">
          <cell r="I4650">
            <v>0.18587699999999999</v>
          </cell>
        </row>
        <row r="4651">
          <cell r="I4651">
            <v>0.185917</v>
          </cell>
        </row>
        <row r="4652">
          <cell r="I4652">
            <v>0.18595700000000001</v>
          </cell>
        </row>
        <row r="4653">
          <cell r="I4653">
            <v>0.185997</v>
          </cell>
        </row>
        <row r="4654">
          <cell r="I4654">
            <v>0.18603700000000001</v>
          </cell>
        </row>
        <row r="4655">
          <cell r="I4655">
            <v>0.18607699999999999</v>
          </cell>
        </row>
        <row r="4656">
          <cell r="I4656">
            <v>0.186117</v>
          </cell>
        </row>
        <row r="4657">
          <cell r="I4657">
            <v>0.18615699999999999</v>
          </cell>
        </row>
        <row r="4658">
          <cell r="I4658">
            <v>0.186197</v>
          </cell>
        </row>
        <row r="4659">
          <cell r="I4659">
            <v>0.18623700000000001</v>
          </cell>
        </row>
        <row r="4660">
          <cell r="I4660">
            <v>0.186277</v>
          </cell>
        </row>
        <row r="4661">
          <cell r="I4661">
            <v>0.18631700000000001</v>
          </cell>
        </row>
        <row r="4662">
          <cell r="I4662">
            <v>0.18635699999999999</v>
          </cell>
        </row>
        <row r="4663">
          <cell r="I4663">
            <v>0.18639700000000001</v>
          </cell>
        </row>
        <row r="4664">
          <cell r="I4664">
            <v>0.18643699999999999</v>
          </cell>
        </row>
        <row r="4665">
          <cell r="I4665">
            <v>0.186477</v>
          </cell>
        </row>
        <row r="4666">
          <cell r="I4666">
            <v>0.18651699999999999</v>
          </cell>
        </row>
        <row r="4667">
          <cell r="I4667">
            <v>0.186557</v>
          </cell>
        </row>
        <row r="4668">
          <cell r="I4668">
            <v>0.18659700000000001</v>
          </cell>
        </row>
        <row r="4669">
          <cell r="I4669">
            <v>0.186637</v>
          </cell>
        </row>
        <row r="4670">
          <cell r="I4670">
            <v>0.18667700000000001</v>
          </cell>
        </row>
        <row r="4671">
          <cell r="I4671">
            <v>0.18671699999999999</v>
          </cell>
        </row>
        <row r="4672">
          <cell r="I4672">
            <v>0.18675700000000001</v>
          </cell>
        </row>
        <row r="4673">
          <cell r="I4673">
            <v>0.18679699999999999</v>
          </cell>
        </row>
        <row r="4674">
          <cell r="I4674">
            <v>0.186837</v>
          </cell>
        </row>
        <row r="4675">
          <cell r="I4675">
            <v>0.18687699999999999</v>
          </cell>
        </row>
        <row r="4676">
          <cell r="I4676">
            <v>0.186917</v>
          </cell>
        </row>
        <row r="4677">
          <cell r="I4677">
            <v>0.18695700000000001</v>
          </cell>
        </row>
        <row r="4678">
          <cell r="I4678">
            <v>0.186997</v>
          </cell>
        </row>
        <row r="4679">
          <cell r="I4679">
            <v>0.18703700000000001</v>
          </cell>
        </row>
        <row r="4680">
          <cell r="I4680">
            <v>0.18707699999999999</v>
          </cell>
        </row>
        <row r="4681">
          <cell r="I4681">
            <v>0.18711700000000001</v>
          </cell>
        </row>
        <row r="4682">
          <cell r="I4682">
            <v>0.18715699999999999</v>
          </cell>
        </row>
        <row r="4683">
          <cell r="I4683">
            <v>0.187197</v>
          </cell>
        </row>
        <row r="4684">
          <cell r="I4684">
            <v>0.18723699999999999</v>
          </cell>
        </row>
        <row r="4685">
          <cell r="I4685">
            <v>0.187277</v>
          </cell>
        </row>
        <row r="4686">
          <cell r="I4686">
            <v>0.18731700000000001</v>
          </cell>
        </row>
        <row r="4687">
          <cell r="I4687">
            <v>0.187357</v>
          </cell>
        </row>
        <row r="4688">
          <cell r="I4688">
            <v>0.18739700000000001</v>
          </cell>
        </row>
        <row r="4689">
          <cell r="I4689">
            <v>0.18743699999999999</v>
          </cell>
        </row>
        <row r="4690">
          <cell r="I4690">
            <v>0.187477</v>
          </cell>
        </row>
        <row r="4691">
          <cell r="I4691">
            <v>0.18751699999999999</v>
          </cell>
        </row>
        <row r="4692">
          <cell r="I4692">
            <v>0.187557</v>
          </cell>
        </row>
        <row r="4693">
          <cell r="I4693">
            <v>0.18759700000000001</v>
          </cell>
        </row>
        <row r="4694">
          <cell r="I4694">
            <v>0.187637</v>
          </cell>
        </row>
        <row r="4695">
          <cell r="I4695">
            <v>0.18767700000000001</v>
          </cell>
        </row>
        <row r="4696">
          <cell r="I4696">
            <v>0.18771699999999999</v>
          </cell>
        </row>
        <row r="4697">
          <cell r="I4697">
            <v>0.18775700000000001</v>
          </cell>
        </row>
        <row r="4698">
          <cell r="I4698">
            <v>0.18779699999999999</v>
          </cell>
        </row>
        <row r="4699">
          <cell r="I4699">
            <v>0.187837</v>
          </cell>
        </row>
        <row r="4700">
          <cell r="I4700">
            <v>0.18787699999999999</v>
          </cell>
        </row>
        <row r="4701">
          <cell r="I4701">
            <v>0.187917</v>
          </cell>
        </row>
        <row r="4702">
          <cell r="I4702">
            <v>0.18795700000000001</v>
          </cell>
        </row>
        <row r="4703">
          <cell r="I4703">
            <v>0.187997</v>
          </cell>
        </row>
        <row r="4704">
          <cell r="I4704">
            <v>0.18803700000000001</v>
          </cell>
        </row>
        <row r="4705">
          <cell r="I4705">
            <v>0.18807699999999999</v>
          </cell>
        </row>
        <row r="4706">
          <cell r="I4706">
            <v>0.18811700000000001</v>
          </cell>
        </row>
        <row r="4707">
          <cell r="I4707">
            <v>0.18815699999999999</v>
          </cell>
        </row>
        <row r="4708">
          <cell r="I4708">
            <v>0.188197</v>
          </cell>
        </row>
        <row r="4709">
          <cell r="I4709">
            <v>0.18823699999999999</v>
          </cell>
        </row>
        <row r="4710">
          <cell r="I4710">
            <v>0.188277</v>
          </cell>
        </row>
        <row r="4711">
          <cell r="I4711">
            <v>0.18831700000000001</v>
          </cell>
        </row>
        <row r="4712">
          <cell r="I4712">
            <v>0.188357</v>
          </cell>
        </row>
        <row r="4713">
          <cell r="I4713">
            <v>0.18839700000000001</v>
          </cell>
        </row>
        <row r="4714">
          <cell r="I4714">
            <v>0.18843699999999999</v>
          </cell>
        </row>
        <row r="4715">
          <cell r="I4715">
            <v>0.18847700000000001</v>
          </cell>
        </row>
        <row r="4716">
          <cell r="I4716">
            <v>0.18851699999999999</v>
          </cell>
        </row>
        <row r="4717">
          <cell r="I4717">
            <v>0.188557</v>
          </cell>
        </row>
        <row r="4718">
          <cell r="I4718">
            <v>0.18859699999999999</v>
          </cell>
        </row>
        <row r="4719">
          <cell r="I4719">
            <v>0.188637</v>
          </cell>
        </row>
        <row r="4720">
          <cell r="I4720">
            <v>0.18867700000000001</v>
          </cell>
        </row>
        <row r="4721">
          <cell r="I4721">
            <v>0.188717</v>
          </cell>
        </row>
        <row r="4722">
          <cell r="I4722">
            <v>0.18875700000000001</v>
          </cell>
        </row>
        <row r="4723">
          <cell r="I4723">
            <v>0.18879699999999999</v>
          </cell>
        </row>
        <row r="4724">
          <cell r="I4724">
            <v>0.188837</v>
          </cell>
        </row>
        <row r="4725">
          <cell r="I4725">
            <v>0.18887699999999999</v>
          </cell>
        </row>
        <row r="4726">
          <cell r="I4726">
            <v>0.188917</v>
          </cell>
        </row>
        <row r="4727">
          <cell r="I4727">
            <v>0.18895700000000001</v>
          </cell>
        </row>
        <row r="4728">
          <cell r="I4728">
            <v>0.188997</v>
          </cell>
        </row>
        <row r="4729">
          <cell r="I4729">
            <v>0.18903700000000001</v>
          </cell>
        </row>
        <row r="4730">
          <cell r="I4730">
            <v>0.189077</v>
          </cell>
        </row>
        <row r="4731">
          <cell r="I4731">
            <v>0.18911700000000001</v>
          </cell>
        </row>
        <row r="4732">
          <cell r="I4732">
            <v>0.18915699999999999</v>
          </cell>
        </row>
        <row r="4733">
          <cell r="I4733"/>
        </row>
        <row r="4734">
          <cell r="I4734"/>
        </row>
        <row r="4735">
          <cell r="I4735"/>
        </row>
        <row r="4736">
          <cell r="I4736"/>
        </row>
        <row r="4737">
          <cell r="I4737"/>
        </row>
        <row r="4738">
          <cell r="I4738"/>
        </row>
        <row r="4739">
          <cell r="I4739"/>
        </row>
        <row r="4740">
          <cell r="I4740"/>
        </row>
        <row r="4741">
          <cell r="I4741"/>
        </row>
        <row r="4742">
          <cell r="I4742"/>
        </row>
        <row r="4743">
          <cell r="I4743"/>
        </row>
        <row r="4744">
          <cell r="I4744"/>
        </row>
        <row r="4745">
          <cell r="I4745"/>
        </row>
        <row r="4746">
          <cell r="I4746"/>
        </row>
        <row r="4747">
          <cell r="I4747"/>
        </row>
        <row r="4748">
          <cell r="I4748"/>
        </row>
        <row r="4749">
          <cell r="I4749"/>
        </row>
        <row r="4750">
          <cell r="I4750"/>
        </row>
        <row r="4751">
          <cell r="I4751"/>
        </row>
        <row r="4752">
          <cell r="I4752"/>
        </row>
        <row r="4753">
          <cell r="I4753"/>
        </row>
        <row r="4754">
          <cell r="I4754"/>
        </row>
        <row r="4755">
          <cell r="I4755"/>
        </row>
        <row r="4756">
          <cell r="I4756"/>
        </row>
        <row r="4757">
          <cell r="I4757"/>
        </row>
        <row r="4758">
          <cell r="I4758"/>
        </row>
        <row r="4759">
          <cell r="I4759"/>
        </row>
        <row r="4760">
          <cell r="I4760"/>
        </row>
        <row r="4761">
          <cell r="I4761"/>
        </row>
        <row r="4762">
          <cell r="I4762"/>
        </row>
        <row r="4763">
          <cell r="I4763"/>
        </row>
        <row r="4764">
          <cell r="I4764"/>
        </row>
        <row r="4765">
          <cell r="I4765"/>
        </row>
        <row r="4766">
          <cell r="I4766"/>
        </row>
        <row r="4767">
          <cell r="I4767"/>
        </row>
        <row r="4768">
          <cell r="I4768"/>
        </row>
        <row r="4769">
          <cell r="I4769"/>
        </row>
        <row r="4770">
          <cell r="I4770"/>
        </row>
        <row r="4771">
          <cell r="I4771"/>
        </row>
        <row r="4772">
          <cell r="I4772"/>
        </row>
        <row r="4773">
          <cell r="I4773"/>
        </row>
        <row r="4774">
          <cell r="I4774"/>
        </row>
        <row r="4775">
          <cell r="I4775"/>
        </row>
        <row r="4776">
          <cell r="I4776"/>
        </row>
        <row r="4777">
          <cell r="I4777"/>
        </row>
        <row r="4778">
          <cell r="I4778"/>
        </row>
        <row r="4779">
          <cell r="I4779"/>
        </row>
        <row r="4780">
          <cell r="I4780"/>
        </row>
        <row r="4781">
          <cell r="I4781"/>
        </row>
        <row r="4782">
          <cell r="I4782"/>
        </row>
        <row r="4783">
          <cell r="I4783"/>
        </row>
        <row r="4784">
          <cell r="I4784"/>
        </row>
        <row r="4785">
          <cell r="I4785"/>
        </row>
        <row r="4786">
          <cell r="I4786"/>
        </row>
        <row r="4787">
          <cell r="I4787"/>
        </row>
        <row r="4788">
          <cell r="I4788"/>
        </row>
        <row r="4789">
          <cell r="I4789"/>
        </row>
        <row r="4790">
          <cell r="I4790"/>
        </row>
        <row r="4791">
          <cell r="I4791"/>
        </row>
        <row r="4792">
          <cell r="I4792"/>
        </row>
        <row r="4793">
          <cell r="I4793"/>
        </row>
        <row r="4794">
          <cell r="I4794"/>
        </row>
        <row r="4795">
          <cell r="I4795"/>
        </row>
        <row r="4796">
          <cell r="I4796"/>
        </row>
        <row r="4797">
          <cell r="I4797"/>
        </row>
        <row r="4798">
          <cell r="I4798"/>
        </row>
        <row r="4799">
          <cell r="I4799"/>
        </row>
        <row r="4800">
          <cell r="I4800"/>
        </row>
        <row r="4801">
          <cell r="I4801"/>
        </row>
        <row r="4802">
          <cell r="I4802"/>
        </row>
        <row r="4803">
          <cell r="I4803"/>
        </row>
        <row r="4804">
          <cell r="I4804"/>
        </row>
        <row r="4805">
          <cell r="I4805"/>
        </row>
        <row r="4806">
          <cell r="I4806"/>
        </row>
        <row r="4807">
          <cell r="I4807"/>
        </row>
        <row r="4808">
          <cell r="I4808"/>
        </row>
        <row r="4809">
          <cell r="I4809"/>
        </row>
        <row r="4810">
          <cell r="I4810"/>
        </row>
        <row r="4811">
          <cell r="I4811"/>
        </row>
        <row r="4812">
          <cell r="I4812"/>
        </row>
        <row r="4813">
          <cell r="I4813"/>
        </row>
        <row r="4814">
          <cell r="I4814"/>
        </row>
        <row r="4815">
          <cell r="I4815"/>
        </row>
        <row r="4816">
          <cell r="I4816"/>
        </row>
        <row r="4817">
          <cell r="I4817"/>
        </row>
        <row r="4818">
          <cell r="I4818"/>
        </row>
        <row r="4819">
          <cell r="I4819"/>
        </row>
        <row r="4820">
          <cell r="I4820"/>
        </row>
        <row r="4821">
          <cell r="I4821"/>
        </row>
        <row r="4822">
          <cell r="I4822"/>
        </row>
        <row r="4823">
          <cell r="I4823"/>
        </row>
        <row r="4824">
          <cell r="I4824"/>
        </row>
        <row r="4825">
          <cell r="I4825"/>
        </row>
        <row r="4826">
          <cell r="I4826"/>
        </row>
        <row r="4827">
          <cell r="I4827"/>
        </row>
        <row r="4828">
          <cell r="I4828"/>
        </row>
        <row r="4829">
          <cell r="I4829"/>
        </row>
        <row r="4830">
          <cell r="I4830"/>
        </row>
        <row r="4831">
          <cell r="I4831"/>
        </row>
        <row r="4832">
          <cell r="I4832"/>
        </row>
        <row r="4833">
          <cell r="I4833"/>
        </row>
        <row r="4834">
          <cell r="I4834"/>
        </row>
        <row r="4835">
          <cell r="I4835"/>
        </row>
        <row r="4836">
          <cell r="I4836"/>
        </row>
        <row r="4837">
          <cell r="I4837"/>
        </row>
        <row r="4838">
          <cell r="I4838"/>
        </row>
        <row r="4839">
          <cell r="I4839"/>
        </row>
        <row r="4840">
          <cell r="I4840"/>
        </row>
        <row r="4841">
          <cell r="I4841"/>
        </row>
        <row r="4842">
          <cell r="I4842"/>
        </row>
        <row r="4843">
          <cell r="I4843"/>
        </row>
        <row r="4844">
          <cell r="I4844"/>
        </row>
        <row r="4845">
          <cell r="I4845"/>
        </row>
        <row r="4846">
          <cell r="I4846"/>
        </row>
        <row r="4847">
          <cell r="I4847"/>
        </row>
        <row r="4848">
          <cell r="I4848"/>
        </row>
        <row r="4849">
          <cell r="I4849"/>
        </row>
        <row r="4850">
          <cell r="I4850"/>
        </row>
        <row r="4851">
          <cell r="I4851"/>
        </row>
        <row r="4852">
          <cell r="I4852"/>
        </row>
        <row r="4853">
          <cell r="I4853"/>
        </row>
        <row r="4854">
          <cell r="I4854"/>
        </row>
        <row r="4855">
          <cell r="I4855"/>
        </row>
        <row r="4856">
          <cell r="I4856"/>
        </row>
        <row r="4857">
          <cell r="I4857"/>
        </row>
        <row r="4858">
          <cell r="I4858"/>
        </row>
        <row r="4859">
          <cell r="I4859"/>
        </row>
        <row r="4860">
          <cell r="I4860"/>
        </row>
        <row r="4861">
          <cell r="I4861"/>
        </row>
        <row r="4862">
          <cell r="I4862"/>
        </row>
        <row r="4863">
          <cell r="I4863"/>
        </row>
        <row r="4864">
          <cell r="I4864"/>
        </row>
        <row r="4865">
          <cell r="I4865"/>
        </row>
        <row r="4866">
          <cell r="I4866"/>
        </row>
        <row r="4867">
          <cell r="I4867"/>
        </row>
        <row r="4868">
          <cell r="I4868"/>
        </row>
        <row r="4869">
          <cell r="I4869"/>
        </row>
        <row r="4870">
          <cell r="I4870"/>
        </row>
        <row r="4871">
          <cell r="I4871"/>
        </row>
        <row r="4872">
          <cell r="I4872"/>
        </row>
        <row r="4873">
          <cell r="I4873"/>
        </row>
        <row r="4874">
          <cell r="I4874"/>
        </row>
        <row r="4875">
          <cell r="I4875"/>
        </row>
        <row r="4876">
          <cell r="I4876"/>
        </row>
        <row r="4877">
          <cell r="I4877"/>
        </row>
        <row r="4878">
          <cell r="I4878"/>
        </row>
        <row r="4879">
          <cell r="I4879"/>
        </row>
        <row r="4880">
          <cell r="I4880"/>
        </row>
        <row r="4881">
          <cell r="I4881"/>
        </row>
        <row r="4882">
          <cell r="I4882"/>
        </row>
        <row r="4883">
          <cell r="I4883"/>
        </row>
        <row r="4884">
          <cell r="I4884"/>
        </row>
        <row r="4885">
          <cell r="I4885"/>
        </row>
        <row r="4886">
          <cell r="I4886"/>
        </row>
        <row r="4887">
          <cell r="I4887"/>
        </row>
        <row r="4888">
          <cell r="I4888"/>
        </row>
        <row r="4889">
          <cell r="I4889"/>
        </row>
        <row r="4890">
          <cell r="I4890"/>
        </row>
        <row r="4891">
          <cell r="I4891"/>
        </row>
        <row r="4892">
          <cell r="I4892"/>
        </row>
        <row r="4893">
          <cell r="I4893"/>
        </row>
        <row r="4894">
          <cell r="I4894"/>
        </row>
        <row r="4895">
          <cell r="I4895"/>
        </row>
        <row r="4896">
          <cell r="I4896"/>
        </row>
        <row r="4897">
          <cell r="I4897"/>
        </row>
        <row r="4898">
          <cell r="I4898"/>
        </row>
        <row r="4899">
          <cell r="I4899"/>
        </row>
        <row r="4900">
          <cell r="I4900"/>
        </row>
        <row r="4901">
          <cell r="I4901"/>
        </row>
        <row r="4902">
          <cell r="I4902"/>
        </row>
        <row r="4903">
          <cell r="I4903"/>
        </row>
        <row r="4904">
          <cell r="I4904"/>
        </row>
        <row r="4905">
          <cell r="I4905"/>
        </row>
        <row r="4906">
          <cell r="I4906"/>
        </row>
        <row r="4907">
          <cell r="I4907"/>
        </row>
        <row r="4908">
          <cell r="I4908"/>
        </row>
        <row r="4909">
          <cell r="I4909"/>
        </row>
        <row r="4910">
          <cell r="I4910"/>
        </row>
        <row r="4911">
          <cell r="I4911"/>
        </row>
        <row r="4912">
          <cell r="I4912"/>
        </row>
        <row r="4913">
          <cell r="I4913"/>
        </row>
        <row r="4914">
          <cell r="I4914"/>
        </row>
        <row r="4915">
          <cell r="I4915"/>
        </row>
        <row r="4916">
          <cell r="I4916"/>
        </row>
        <row r="4917">
          <cell r="I4917"/>
        </row>
        <row r="4918">
          <cell r="I4918"/>
        </row>
        <row r="4919">
          <cell r="I4919"/>
        </row>
        <row r="4920">
          <cell r="I4920"/>
        </row>
        <row r="4921">
          <cell r="I4921"/>
        </row>
        <row r="4922">
          <cell r="I4922"/>
        </row>
        <row r="4923">
          <cell r="I4923"/>
        </row>
        <row r="4924">
          <cell r="I4924"/>
        </row>
        <row r="4925">
          <cell r="I4925"/>
        </row>
        <row r="4926">
          <cell r="I4926"/>
        </row>
        <row r="4927">
          <cell r="I4927"/>
        </row>
        <row r="4928">
          <cell r="I4928"/>
        </row>
        <row r="4929">
          <cell r="I4929"/>
        </row>
        <row r="4930">
          <cell r="I4930"/>
        </row>
        <row r="4931">
          <cell r="I4931"/>
        </row>
        <row r="4932">
          <cell r="I4932"/>
        </row>
        <row r="4933">
          <cell r="I4933"/>
        </row>
        <row r="4934">
          <cell r="I4934"/>
        </row>
        <row r="4935">
          <cell r="I4935"/>
        </row>
        <row r="4936">
          <cell r="I4936"/>
        </row>
        <row r="4937">
          <cell r="I4937"/>
        </row>
        <row r="4938">
          <cell r="I4938"/>
        </row>
        <row r="4939">
          <cell r="I4939"/>
        </row>
        <row r="4940">
          <cell r="I4940"/>
        </row>
        <row r="4941">
          <cell r="I4941"/>
        </row>
        <row r="4942">
          <cell r="I4942"/>
        </row>
        <row r="4943">
          <cell r="I4943"/>
        </row>
        <row r="4944">
          <cell r="I4944"/>
        </row>
        <row r="4945">
          <cell r="I4945"/>
        </row>
        <row r="4946">
          <cell r="I4946"/>
        </row>
        <row r="4947">
          <cell r="I4947"/>
        </row>
        <row r="4948">
          <cell r="I4948"/>
        </row>
        <row r="4949">
          <cell r="I4949"/>
        </row>
        <row r="4950">
          <cell r="I4950"/>
        </row>
        <row r="4951">
          <cell r="I4951"/>
        </row>
        <row r="4952">
          <cell r="I4952"/>
        </row>
        <row r="4953">
          <cell r="I4953"/>
        </row>
        <row r="4954">
          <cell r="I4954"/>
        </row>
        <row r="4955">
          <cell r="I4955"/>
        </row>
        <row r="4956">
          <cell r="I4956"/>
        </row>
        <row r="4957">
          <cell r="I4957"/>
        </row>
        <row r="4958">
          <cell r="I4958"/>
        </row>
        <row r="4959">
          <cell r="I4959"/>
        </row>
        <row r="4960">
          <cell r="I4960"/>
        </row>
        <row r="4961">
          <cell r="I4961"/>
        </row>
        <row r="4962">
          <cell r="I4962"/>
        </row>
        <row r="4963">
          <cell r="I4963"/>
        </row>
        <row r="4964">
          <cell r="I4964"/>
        </row>
        <row r="4965">
          <cell r="I4965"/>
        </row>
        <row r="4966">
          <cell r="I4966"/>
        </row>
        <row r="4967">
          <cell r="I4967"/>
        </row>
        <row r="4968">
          <cell r="I4968"/>
        </row>
        <row r="4969">
          <cell r="I4969"/>
        </row>
        <row r="4970">
          <cell r="I4970"/>
        </row>
        <row r="4971">
          <cell r="I4971"/>
        </row>
        <row r="4972">
          <cell r="I4972"/>
        </row>
        <row r="4973">
          <cell r="I4973"/>
        </row>
        <row r="4974">
          <cell r="I4974"/>
        </row>
        <row r="4975">
          <cell r="I4975"/>
        </row>
        <row r="4976">
          <cell r="I4976"/>
        </row>
        <row r="4977">
          <cell r="I4977"/>
        </row>
        <row r="4978">
          <cell r="I4978"/>
        </row>
        <row r="4979">
          <cell r="I4979"/>
        </row>
        <row r="4980">
          <cell r="I4980"/>
        </row>
        <row r="4981">
          <cell r="I4981"/>
        </row>
        <row r="4982">
          <cell r="I4982"/>
        </row>
        <row r="4983">
          <cell r="I4983"/>
        </row>
        <row r="4984">
          <cell r="I4984"/>
        </row>
        <row r="4985">
          <cell r="I4985"/>
        </row>
        <row r="4986">
          <cell r="I4986"/>
        </row>
        <row r="4987">
          <cell r="I4987"/>
        </row>
        <row r="4988">
          <cell r="I4988"/>
        </row>
        <row r="4989">
          <cell r="I4989"/>
        </row>
        <row r="4990">
          <cell r="I4990"/>
        </row>
        <row r="4991">
          <cell r="I4991"/>
        </row>
        <row r="4992">
          <cell r="I4992"/>
        </row>
        <row r="4993">
          <cell r="I4993"/>
        </row>
        <row r="4994">
          <cell r="I4994"/>
        </row>
        <row r="4995">
          <cell r="I4995"/>
        </row>
        <row r="4996">
          <cell r="I4996"/>
        </row>
        <row r="4997">
          <cell r="I4997"/>
        </row>
        <row r="4998">
          <cell r="I4998"/>
        </row>
        <row r="4999">
          <cell r="I4999"/>
        </row>
        <row r="5000">
          <cell r="I5000"/>
        </row>
        <row r="5001">
          <cell r="I5001"/>
        </row>
        <row r="5002">
          <cell r="I5002"/>
        </row>
        <row r="5003">
          <cell r="I5003"/>
        </row>
        <row r="5004">
          <cell r="I5004"/>
        </row>
        <row r="5005">
          <cell r="I5005"/>
        </row>
        <row r="5006">
          <cell r="I5006"/>
        </row>
        <row r="5007">
          <cell r="I5007"/>
        </row>
        <row r="5008">
          <cell r="I5008"/>
        </row>
        <row r="5009">
          <cell r="I5009"/>
        </row>
        <row r="5010">
          <cell r="I5010"/>
        </row>
        <row r="5011">
          <cell r="I5011"/>
        </row>
        <row r="5012">
          <cell r="I5012"/>
        </row>
        <row r="5013">
          <cell r="I5013"/>
        </row>
        <row r="5014">
          <cell r="I5014"/>
        </row>
        <row r="5015">
          <cell r="I5015"/>
        </row>
        <row r="5016">
          <cell r="I5016"/>
        </row>
        <row r="5017">
          <cell r="I5017"/>
        </row>
        <row r="5018">
          <cell r="I5018"/>
        </row>
        <row r="5019">
          <cell r="I5019"/>
        </row>
        <row r="5020">
          <cell r="I5020"/>
        </row>
        <row r="5021">
          <cell r="I5021"/>
        </row>
        <row r="5022">
          <cell r="I5022"/>
        </row>
        <row r="5023">
          <cell r="I5023"/>
        </row>
        <row r="5024">
          <cell r="I5024"/>
        </row>
        <row r="5025">
          <cell r="I5025"/>
        </row>
        <row r="5026">
          <cell r="I5026"/>
        </row>
        <row r="5027">
          <cell r="I5027"/>
        </row>
        <row r="5028">
          <cell r="I5028"/>
        </row>
        <row r="5029">
          <cell r="I5029"/>
        </row>
        <row r="5030">
          <cell r="I5030"/>
        </row>
        <row r="5031">
          <cell r="I5031"/>
        </row>
        <row r="5032">
          <cell r="I5032"/>
        </row>
        <row r="5033">
          <cell r="I5033"/>
        </row>
        <row r="5034">
          <cell r="I5034"/>
        </row>
        <row r="5035">
          <cell r="I5035"/>
        </row>
        <row r="5036">
          <cell r="I5036"/>
        </row>
        <row r="5037">
          <cell r="I5037"/>
        </row>
        <row r="5038">
          <cell r="I5038"/>
        </row>
        <row r="5039">
          <cell r="I5039"/>
        </row>
        <row r="5040">
          <cell r="I5040"/>
        </row>
        <row r="5041">
          <cell r="I5041"/>
        </row>
        <row r="5042">
          <cell r="I5042"/>
        </row>
        <row r="5043">
          <cell r="I5043"/>
        </row>
        <row r="5044">
          <cell r="I5044"/>
        </row>
        <row r="5045">
          <cell r="I5045"/>
        </row>
        <row r="5046">
          <cell r="I5046"/>
        </row>
        <row r="5047">
          <cell r="I5047"/>
        </row>
        <row r="5048">
          <cell r="I5048"/>
        </row>
        <row r="5049">
          <cell r="I5049"/>
        </row>
        <row r="5050">
          <cell r="I5050"/>
        </row>
        <row r="5051">
          <cell r="I5051"/>
        </row>
        <row r="5052">
          <cell r="I5052"/>
        </row>
        <row r="5053">
          <cell r="I5053"/>
        </row>
        <row r="5054">
          <cell r="I5054"/>
        </row>
        <row r="5055">
          <cell r="I5055"/>
        </row>
        <row r="5056">
          <cell r="I5056"/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topLeftCell="D1" zoomScale="80" zoomScaleNormal="80" workbookViewId="0">
      <selection activeCell="AH17" sqref="AH17"/>
    </sheetView>
  </sheetViews>
  <sheetFormatPr defaultRowHeight="15.75" x14ac:dyDescent="0.25"/>
  <cols>
    <col min="1" max="1" width="9.140625" style="4"/>
    <col min="2" max="2" width="8.140625" style="4" customWidth="1"/>
    <col min="3" max="3" width="9.140625" style="4" customWidth="1"/>
    <col min="4" max="4" width="10.140625" style="4" customWidth="1"/>
    <col min="5" max="5" width="9.140625" style="4" customWidth="1"/>
    <col min="6" max="9" width="9.140625" style="4"/>
    <col min="10" max="10" width="5.85546875" style="4" bestFit="1" customWidth="1"/>
    <col min="11" max="11" width="12.7109375" style="4" customWidth="1"/>
    <col min="12" max="12" width="5.85546875" style="4" bestFit="1" customWidth="1"/>
    <col min="13" max="13" width="8.7109375" style="4" customWidth="1"/>
    <col min="14" max="14" width="5.85546875" style="4" bestFit="1" customWidth="1"/>
    <col min="15" max="15" width="12.7109375" style="4" customWidth="1"/>
    <col min="16" max="16" width="5.85546875" style="4" bestFit="1" customWidth="1"/>
    <col min="17" max="17" width="8.7109375" style="4" customWidth="1"/>
    <col min="18" max="18" width="5" style="4" bestFit="1" customWidth="1"/>
    <col min="19" max="19" width="8" style="4" customWidth="1"/>
    <col min="20" max="20" width="9.5703125" style="4" customWidth="1"/>
    <col min="21" max="21" width="11.28515625" style="4" customWidth="1"/>
    <col min="22" max="25" width="10.5703125" style="4" bestFit="1" customWidth="1"/>
    <col min="26" max="26" width="10.42578125" style="4" bestFit="1" customWidth="1"/>
    <col min="27" max="27" width="13.28515625" style="4" bestFit="1" customWidth="1"/>
    <col min="28" max="28" width="10.7109375" style="4" bestFit="1" customWidth="1"/>
    <col min="29" max="29" width="8.7109375" style="4" bestFit="1" customWidth="1"/>
    <col min="30" max="30" width="10.28515625" style="4" bestFit="1" customWidth="1"/>
    <col min="31" max="31" width="7.7109375" style="4" bestFit="1" customWidth="1"/>
    <col min="32" max="32" width="11.85546875" style="4" bestFit="1" customWidth="1"/>
    <col min="33" max="33" width="12.28515625" style="4" bestFit="1" customWidth="1"/>
    <col min="34" max="34" width="10" style="4" customWidth="1"/>
    <col min="35" max="35" width="11.7109375" style="4" bestFit="1" customWidth="1"/>
    <col min="36" max="36" width="5.28515625" style="4" bestFit="1" customWidth="1"/>
    <col min="37" max="37" width="14.28515625" style="4" bestFit="1" customWidth="1"/>
    <col min="38" max="38" width="5.85546875" style="4" bestFit="1" customWidth="1"/>
    <col min="39" max="16384" width="9.140625" style="4"/>
  </cols>
  <sheetData>
    <row r="1" spans="2:38" ht="16.5" thickBot="1" x14ac:dyDescent="0.3"/>
    <row r="2" spans="2:38" ht="15" customHeight="1" x14ac:dyDescent="0.25">
      <c r="B2" s="154"/>
      <c r="C2" s="155"/>
      <c r="D2" s="155"/>
      <c r="E2" s="155"/>
      <c r="F2" s="155"/>
      <c r="G2" s="155"/>
      <c r="H2" s="155"/>
      <c r="I2" s="155"/>
      <c r="J2" s="601" t="s">
        <v>4</v>
      </c>
      <c r="K2" s="601"/>
      <c r="L2" s="601"/>
      <c r="M2" s="601"/>
      <c r="N2" s="601"/>
      <c r="O2" s="601"/>
      <c r="P2" s="601"/>
      <c r="Q2" s="156"/>
      <c r="S2" s="561" t="s">
        <v>31</v>
      </c>
      <c r="T2" s="562"/>
      <c r="U2" s="562"/>
      <c r="V2" s="562"/>
      <c r="W2" s="562"/>
      <c r="X2" s="562"/>
      <c r="Y2" s="562"/>
      <c r="Z2" s="562"/>
      <c r="AA2" s="562"/>
      <c r="AB2" s="562"/>
      <c r="AC2" s="563"/>
    </row>
    <row r="3" spans="2:38" ht="15" customHeight="1" thickBot="1" x14ac:dyDescent="0.3">
      <c r="B3" s="5"/>
      <c r="C3" s="38"/>
      <c r="D3" s="38"/>
      <c r="E3" s="38"/>
      <c r="F3" s="38"/>
      <c r="G3" s="38"/>
      <c r="H3" s="38"/>
      <c r="I3" s="38"/>
      <c r="J3" s="594"/>
      <c r="K3" s="594"/>
      <c r="L3" s="594"/>
      <c r="M3" s="594"/>
      <c r="N3" s="594"/>
      <c r="O3" s="594"/>
      <c r="P3" s="594"/>
      <c r="Q3" s="6"/>
      <c r="S3" s="564"/>
      <c r="T3" s="565"/>
      <c r="U3" s="565"/>
      <c r="V3" s="565"/>
      <c r="W3" s="565"/>
      <c r="X3" s="565"/>
      <c r="Y3" s="565"/>
      <c r="Z3" s="565"/>
      <c r="AA3" s="565"/>
      <c r="AB3" s="565"/>
      <c r="AC3" s="566"/>
    </row>
    <row r="4" spans="2:38" ht="16.5" thickBot="1" x14ac:dyDescent="0.3">
      <c r="B4" s="5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6"/>
      <c r="S4" s="586" t="s">
        <v>0</v>
      </c>
      <c r="T4" s="581" t="s">
        <v>2</v>
      </c>
      <c r="U4" s="581" t="s">
        <v>3</v>
      </c>
      <c r="V4" s="585" t="s">
        <v>10</v>
      </c>
      <c r="W4" s="585"/>
      <c r="X4" s="585"/>
      <c r="Y4" s="585"/>
      <c r="Z4" s="585"/>
      <c r="AA4" s="567"/>
      <c r="AB4" s="581" t="s">
        <v>24</v>
      </c>
      <c r="AC4" s="583" t="s">
        <v>25</v>
      </c>
    </row>
    <row r="5" spans="2:38" ht="16.5" thickBot="1" x14ac:dyDescent="0.3">
      <c r="B5" s="5"/>
      <c r="C5" s="38"/>
      <c r="D5" s="38"/>
      <c r="E5" s="38"/>
      <c r="F5" s="38"/>
      <c r="G5" s="38"/>
      <c r="H5" s="38"/>
      <c r="I5" s="38"/>
      <c r="J5" s="307">
        <v>1116</v>
      </c>
      <c r="K5" s="308">
        <v>5116</v>
      </c>
      <c r="L5" s="307">
        <v>1216</v>
      </c>
      <c r="M5" s="308">
        <v>5216</v>
      </c>
      <c r="N5" s="307">
        <v>1316</v>
      </c>
      <c r="O5" s="308">
        <v>5316</v>
      </c>
      <c r="P5" s="307">
        <v>1416</v>
      </c>
      <c r="Q5" s="6"/>
      <c r="S5" s="587"/>
      <c r="T5" s="582"/>
      <c r="U5" s="582"/>
      <c r="V5" s="66" t="s">
        <v>5</v>
      </c>
      <c r="W5" s="66" t="s">
        <v>6</v>
      </c>
      <c r="X5" s="66" t="s">
        <v>7</v>
      </c>
      <c r="Y5" s="66" t="s">
        <v>8</v>
      </c>
      <c r="Z5" s="66" t="s">
        <v>9</v>
      </c>
      <c r="AA5" s="568"/>
      <c r="AB5" s="582"/>
      <c r="AC5" s="584"/>
    </row>
    <row r="6" spans="2:38" ht="18" customHeight="1" x14ac:dyDescent="0.25">
      <c r="B6" s="5"/>
      <c r="C6" s="38"/>
      <c r="D6" s="38"/>
      <c r="E6" s="38"/>
      <c r="F6" s="38"/>
      <c r="G6" s="38"/>
      <c r="H6" s="38"/>
      <c r="I6" s="38"/>
      <c r="J6" s="599">
        <v>7116</v>
      </c>
      <c r="K6" s="597"/>
      <c r="L6" s="599">
        <v>7216</v>
      </c>
      <c r="M6" s="597"/>
      <c r="N6" s="599">
        <v>7316</v>
      </c>
      <c r="O6" s="597"/>
      <c r="P6" s="599">
        <v>7416</v>
      </c>
      <c r="Q6" s="6"/>
      <c r="S6" s="212">
        <v>6</v>
      </c>
      <c r="T6" s="68">
        <v>17.75</v>
      </c>
      <c r="U6" s="68">
        <f t="shared" ref="U6:U11" si="0">T6-T7</f>
        <v>3</v>
      </c>
      <c r="V6" s="68">
        <v>6.3072999999999997</v>
      </c>
      <c r="W6" s="68">
        <v>12.615</v>
      </c>
      <c r="X6" s="68">
        <v>12.615</v>
      </c>
      <c r="Y6" s="68">
        <v>6.3072999999999997</v>
      </c>
      <c r="Z6" s="68">
        <f>Y6+X6+W6+V6</f>
        <v>37.8446</v>
      </c>
      <c r="AA6" s="568"/>
      <c r="AB6" s="66">
        <v>3</v>
      </c>
      <c r="AC6" s="309">
        <v>4.5</v>
      </c>
    </row>
    <row r="7" spans="2:38" ht="18" customHeight="1" thickBot="1" x14ac:dyDescent="0.3">
      <c r="B7" s="5"/>
      <c r="C7" s="38"/>
      <c r="D7" s="38"/>
      <c r="E7" s="38"/>
      <c r="F7" s="38"/>
      <c r="G7" s="38"/>
      <c r="H7" s="38"/>
      <c r="I7" s="38"/>
      <c r="J7" s="600"/>
      <c r="K7" s="598"/>
      <c r="L7" s="600"/>
      <c r="M7" s="598"/>
      <c r="N7" s="600"/>
      <c r="O7" s="598"/>
      <c r="P7" s="600"/>
      <c r="Q7" s="6"/>
      <c r="S7" s="212">
        <v>5</v>
      </c>
      <c r="T7" s="68">
        <v>14.75</v>
      </c>
      <c r="U7" s="68">
        <f t="shared" si="0"/>
        <v>3</v>
      </c>
      <c r="V7" s="68">
        <v>6.7278000000000002</v>
      </c>
      <c r="W7" s="68">
        <v>13.4557</v>
      </c>
      <c r="X7" s="68">
        <v>13.4557</v>
      </c>
      <c r="Y7" s="68">
        <v>6.7278000000000002</v>
      </c>
      <c r="Z7" s="68">
        <f t="shared" ref="Z7:Z12" si="1">Y7+X7+W7+V7</f>
        <v>40.367000000000004</v>
      </c>
      <c r="AA7" s="568"/>
      <c r="AB7" s="66">
        <v>2</v>
      </c>
      <c r="AC7" s="309">
        <v>2</v>
      </c>
    </row>
    <row r="8" spans="2:38" ht="16.5" thickBot="1" x14ac:dyDescent="0.3">
      <c r="B8" s="5"/>
      <c r="C8" s="38"/>
      <c r="D8" s="38"/>
      <c r="E8" s="38"/>
      <c r="F8" s="38"/>
      <c r="G8" s="38"/>
      <c r="H8" s="38"/>
      <c r="I8" s="38"/>
      <c r="J8" s="307">
        <v>1115</v>
      </c>
      <c r="K8" s="308">
        <v>5115</v>
      </c>
      <c r="L8" s="307">
        <v>1215</v>
      </c>
      <c r="M8" s="308">
        <v>5215</v>
      </c>
      <c r="N8" s="307">
        <v>1315</v>
      </c>
      <c r="O8" s="308">
        <v>5315</v>
      </c>
      <c r="P8" s="307">
        <v>1415</v>
      </c>
      <c r="Q8" s="6"/>
      <c r="S8" s="212">
        <v>4</v>
      </c>
      <c r="T8" s="68">
        <v>11.75</v>
      </c>
      <c r="U8" s="68">
        <f t="shared" si="0"/>
        <v>3</v>
      </c>
      <c r="V8" s="68">
        <v>6.7278000000000002</v>
      </c>
      <c r="W8" s="68">
        <v>13.4557</v>
      </c>
      <c r="X8" s="68">
        <v>13.4557</v>
      </c>
      <c r="Y8" s="68">
        <v>6.7278000000000002</v>
      </c>
      <c r="Z8" s="68">
        <f t="shared" si="1"/>
        <v>40.367000000000004</v>
      </c>
      <c r="AA8" s="568"/>
      <c r="AB8" s="66">
        <v>1</v>
      </c>
      <c r="AC8" s="309">
        <v>4.5</v>
      </c>
    </row>
    <row r="9" spans="2:38" ht="18" customHeight="1" x14ac:dyDescent="0.25">
      <c r="B9" s="5"/>
      <c r="C9" s="38"/>
      <c r="D9" s="38"/>
      <c r="E9" s="38"/>
      <c r="F9" s="38"/>
      <c r="G9" s="38"/>
      <c r="H9" s="38"/>
      <c r="I9" s="38"/>
      <c r="J9" s="599">
        <v>7115</v>
      </c>
      <c r="K9" s="597"/>
      <c r="L9" s="599">
        <v>7215</v>
      </c>
      <c r="M9" s="597"/>
      <c r="N9" s="599">
        <v>7315</v>
      </c>
      <c r="O9" s="597"/>
      <c r="P9" s="599">
        <v>7415</v>
      </c>
      <c r="Q9" s="6"/>
      <c r="S9" s="212">
        <v>3</v>
      </c>
      <c r="T9" s="68">
        <v>8.75</v>
      </c>
      <c r="U9" s="68">
        <f t="shared" si="0"/>
        <v>3</v>
      </c>
      <c r="V9" s="68">
        <v>6.7278000000000002</v>
      </c>
      <c r="W9" s="68">
        <v>13.4557</v>
      </c>
      <c r="X9" s="68">
        <v>13.4557</v>
      </c>
      <c r="Y9" s="68">
        <v>6.7278000000000002</v>
      </c>
      <c r="Z9" s="68">
        <f t="shared" si="1"/>
        <v>40.367000000000004</v>
      </c>
      <c r="AA9" s="568"/>
      <c r="AB9" s="570"/>
      <c r="AC9" s="571"/>
    </row>
    <row r="10" spans="2:38" ht="18" customHeight="1" thickBot="1" x14ac:dyDescent="0.3">
      <c r="B10" s="5"/>
      <c r="C10" s="38"/>
      <c r="D10" s="38"/>
      <c r="E10" s="38"/>
      <c r="F10" s="38"/>
      <c r="G10" s="38"/>
      <c r="H10" s="38"/>
      <c r="I10" s="38"/>
      <c r="J10" s="600"/>
      <c r="K10" s="598"/>
      <c r="L10" s="600"/>
      <c r="M10" s="598"/>
      <c r="N10" s="600"/>
      <c r="O10" s="598"/>
      <c r="P10" s="600"/>
      <c r="Q10" s="6"/>
      <c r="S10" s="212">
        <v>2</v>
      </c>
      <c r="T10" s="68">
        <v>5.75</v>
      </c>
      <c r="U10" s="68">
        <f t="shared" si="0"/>
        <v>3</v>
      </c>
      <c r="V10" s="68">
        <v>6.7278000000000002</v>
      </c>
      <c r="W10" s="68">
        <v>13.4557</v>
      </c>
      <c r="X10" s="68">
        <v>13.4557</v>
      </c>
      <c r="Y10" s="68">
        <v>6.7278000000000002</v>
      </c>
      <c r="Z10" s="68">
        <f t="shared" si="1"/>
        <v>40.367000000000004</v>
      </c>
      <c r="AA10" s="568"/>
      <c r="AB10" s="572"/>
      <c r="AC10" s="573"/>
    </row>
    <row r="11" spans="2:38" ht="16.5" thickBot="1" x14ac:dyDescent="0.3">
      <c r="B11" s="5"/>
      <c r="C11" s="38"/>
      <c r="D11" s="38"/>
      <c r="E11" s="38"/>
      <c r="F11" s="38"/>
      <c r="G11" s="38"/>
      <c r="H11" s="38"/>
      <c r="I11" s="38"/>
      <c r="J11" s="307">
        <v>1114</v>
      </c>
      <c r="K11" s="308">
        <v>5114</v>
      </c>
      <c r="L11" s="307">
        <v>1214</v>
      </c>
      <c r="M11" s="308">
        <v>5214</v>
      </c>
      <c r="N11" s="307">
        <v>1314</v>
      </c>
      <c r="O11" s="308">
        <v>5314</v>
      </c>
      <c r="P11" s="307">
        <v>1414</v>
      </c>
      <c r="Q11" s="6"/>
      <c r="S11" s="212">
        <v>1</v>
      </c>
      <c r="T11" s="68">
        <v>2.75</v>
      </c>
      <c r="U11" s="68">
        <f t="shared" si="0"/>
        <v>2.75</v>
      </c>
      <c r="V11" s="68">
        <v>6.7278000000000002</v>
      </c>
      <c r="W11" s="68">
        <v>13.4557</v>
      </c>
      <c r="X11" s="68">
        <v>13.4557</v>
      </c>
      <c r="Y11" s="68">
        <v>6.7278000000000002</v>
      </c>
      <c r="Z11" s="68">
        <f t="shared" si="1"/>
        <v>40.367000000000004</v>
      </c>
      <c r="AA11" s="568"/>
      <c r="AB11" s="572"/>
      <c r="AC11" s="573"/>
    </row>
    <row r="12" spans="2:38" ht="18" customHeight="1" thickBot="1" x14ac:dyDescent="0.3">
      <c r="B12" s="5"/>
      <c r="C12" s="38"/>
      <c r="D12" s="38"/>
      <c r="E12" s="38"/>
      <c r="F12" s="38"/>
      <c r="G12" s="38"/>
      <c r="H12" s="38"/>
      <c r="I12" s="38"/>
      <c r="J12" s="599">
        <v>7114</v>
      </c>
      <c r="K12" s="597"/>
      <c r="L12" s="599">
        <v>7214</v>
      </c>
      <c r="M12" s="597"/>
      <c r="N12" s="599">
        <v>7314</v>
      </c>
      <c r="O12" s="597"/>
      <c r="P12" s="599">
        <v>7414</v>
      </c>
      <c r="Q12" s="6"/>
      <c r="S12" s="310" t="s">
        <v>1</v>
      </c>
      <c r="T12" s="104">
        <v>0</v>
      </c>
      <c r="U12" s="104">
        <f>T12-0</f>
        <v>0</v>
      </c>
      <c r="V12" s="104">
        <v>0</v>
      </c>
      <c r="W12" s="104">
        <v>0</v>
      </c>
      <c r="X12" s="104">
        <v>0</v>
      </c>
      <c r="Y12" s="104">
        <v>0</v>
      </c>
      <c r="Z12" s="104">
        <f t="shared" si="1"/>
        <v>0</v>
      </c>
      <c r="AA12" s="569"/>
      <c r="AB12" s="574"/>
      <c r="AC12" s="575"/>
    </row>
    <row r="13" spans="2:38" ht="18" customHeight="1" thickBot="1" x14ac:dyDescent="0.3">
      <c r="B13" s="5"/>
      <c r="C13" s="38"/>
      <c r="D13" s="38"/>
      <c r="E13" s="38"/>
      <c r="F13" s="38"/>
      <c r="G13" s="38"/>
      <c r="H13" s="38"/>
      <c r="I13" s="38"/>
      <c r="J13" s="600"/>
      <c r="K13" s="598"/>
      <c r="L13" s="600"/>
      <c r="M13" s="598"/>
      <c r="N13" s="600"/>
      <c r="O13" s="598"/>
      <c r="P13" s="600"/>
      <c r="Q13" s="6"/>
    </row>
    <row r="14" spans="2:38" ht="15.75" customHeight="1" thickBot="1" x14ac:dyDescent="0.3">
      <c r="B14" s="5"/>
      <c r="C14" s="38"/>
      <c r="D14" s="38"/>
      <c r="E14" s="38"/>
      <c r="F14" s="38"/>
      <c r="G14" s="38"/>
      <c r="H14" s="38"/>
      <c r="I14" s="38"/>
      <c r="J14" s="307">
        <v>1113</v>
      </c>
      <c r="K14" s="308">
        <v>5113</v>
      </c>
      <c r="L14" s="307">
        <v>1213</v>
      </c>
      <c r="M14" s="308">
        <v>5213</v>
      </c>
      <c r="N14" s="307">
        <v>1313</v>
      </c>
      <c r="O14" s="308">
        <v>5313</v>
      </c>
      <c r="P14" s="307">
        <v>1413</v>
      </c>
      <c r="Q14" s="6"/>
      <c r="S14" s="596" t="s">
        <v>11</v>
      </c>
      <c r="T14" s="596"/>
      <c r="U14" s="596"/>
      <c r="V14" s="596"/>
      <c r="W14" s="596"/>
      <c r="X14" s="596"/>
      <c r="Y14" s="596"/>
      <c r="Z14" s="596"/>
      <c r="AA14" s="596"/>
      <c r="AB14" s="596"/>
      <c r="AC14" s="596"/>
      <c r="AD14" s="596"/>
      <c r="AE14" s="596"/>
      <c r="AG14" s="560" t="s">
        <v>219</v>
      </c>
      <c r="AH14" s="560"/>
      <c r="AI14" s="560"/>
      <c r="AJ14" s="560"/>
      <c r="AK14" s="560"/>
      <c r="AL14" s="560"/>
    </row>
    <row r="15" spans="2:38" ht="18" customHeight="1" x14ac:dyDescent="0.25">
      <c r="B15" s="5"/>
      <c r="C15" s="38"/>
      <c r="D15" s="38"/>
      <c r="E15" s="38"/>
      <c r="F15" s="38"/>
      <c r="G15" s="38"/>
      <c r="H15" s="38"/>
      <c r="I15" s="38"/>
      <c r="J15" s="599">
        <v>7113</v>
      </c>
      <c r="K15" s="597"/>
      <c r="L15" s="599">
        <v>7213</v>
      </c>
      <c r="M15" s="597"/>
      <c r="N15" s="599">
        <v>7313</v>
      </c>
      <c r="O15" s="597"/>
      <c r="P15" s="599">
        <v>7413</v>
      </c>
      <c r="Q15" s="6"/>
      <c r="S15" s="596"/>
      <c r="T15" s="596"/>
      <c r="U15" s="596"/>
      <c r="V15" s="596"/>
      <c r="W15" s="596"/>
      <c r="X15" s="596"/>
      <c r="Y15" s="596"/>
      <c r="Z15" s="596"/>
      <c r="AA15" s="596"/>
      <c r="AB15" s="596"/>
      <c r="AC15" s="596"/>
      <c r="AD15" s="596"/>
      <c r="AE15" s="596"/>
      <c r="AG15" s="560"/>
      <c r="AH15" s="560"/>
      <c r="AI15" s="560"/>
      <c r="AJ15" s="560"/>
      <c r="AK15" s="560"/>
      <c r="AL15" s="560"/>
    </row>
    <row r="16" spans="2:38" ht="18" customHeight="1" thickBot="1" x14ac:dyDescent="0.3">
      <c r="B16" s="5"/>
      <c r="C16" s="38"/>
      <c r="D16" s="38"/>
      <c r="E16" s="38"/>
      <c r="F16" s="38"/>
      <c r="G16" s="38"/>
      <c r="H16" s="38"/>
      <c r="I16" s="38"/>
      <c r="J16" s="600"/>
      <c r="K16" s="598"/>
      <c r="L16" s="600"/>
      <c r="M16" s="598"/>
      <c r="N16" s="600"/>
      <c r="O16" s="598"/>
      <c r="P16" s="600"/>
      <c r="Q16" s="6"/>
      <c r="S16" s="595" t="s">
        <v>12</v>
      </c>
      <c r="T16" s="595"/>
      <c r="U16" s="595"/>
      <c r="V16" s="595"/>
      <c r="W16" s="595"/>
      <c r="X16" s="595"/>
      <c r="Y16" s="595"/>
      <c r="Z16" s="595"/>
      <c r="AA16" s="595"/>
      <c r="AB16" s="595"/>
      <c r="AC16" s="595"/>
      <c r="AD16" s="595"/>
      <c r="AE16" s="595"/>
      <c r="AG16" s="578" t="s">
        <v>151</v>
      </c>
      <c r="AH16" s="578"/>
      <c r="AI16" s="578"/>
      <c r="AJ16" s="578"/>
      <c r="AK16" s="578"/>
      <c r="AL16" s="578"/>
    </row>
    <row r="17" spans="2:38" ht="16.5" thickBot="1" x14ac:dyDescent="0.3">
      <c r="B17" s="5"/>
      <c r="C17" s="38"/>
      <c r="D17" s="38"/>
      <c r="E17" s="38"/>
      <c r="F17" s="38"/>
      <c r="G17" s="38"/>
      <c r="H17" s="38"/>
      <c r="I17" s="38"/>
      <c r="J17" s="307">
        <v>1112</v>
      </c>
      <c r="K17" s="308">
        <v>5112</v>
      </c>
      <c r="L17" s="307">
        <v>1212</v>
      </c>
      <c r="M17" s="308">
        <v>5212</v>
      </c>
      <c r="N17" s="307">
        <v>1312</v>
      </c>
      <c r="O17" s="308">
        <v>5312</v>
      </c>
      <c r="P17" s="307">
        <v>1412</v>
      </c>
      <c r="Q17" s="6"/>
      <c r="S17" s="591" t="s">
        <v>22</v>
      </c>
      <c r="T17" s="592"/>
      <c r="U17" s="580" t="s">
        <v>16</v>
      </c>
      <c r="V17" s="580"/>
      <c r="W17" s="580"/>
      <c r="X17" s="580"/>
      <c r="Y17" s="580" t="s">
        <v>17</v>
      </c>
      <c r="Z17" s="580"/>
      <c r="AA17" s="580"/>
      <c r="AB17" s="580" t="s">
        <v>33</v>
      </c>
      <c r="AC17" s="580"/>
      <c r="AD17" s="580" t="s">
        <v>36</v>
      </c>
      <c r="AE17" s="580"/>
      <c r="AG17" s="465" t="s">
        <v>142</v>
      </c>
      <c r="AH17" s="68">
        <v>991</v>
      </c>
      <c r="AI17" s="465" t="s">
        <v>146</v>
      </c>
      <c r="AJ17" s="68">
        <v>0.55000000000000004</v>
      </c>
      <c r="AK17" s="465" t="s">
        <v>150</v>
      </c>
      <c r="AL17" s="469">
        <v>80</v>
      </c>
    </row>
    <row r="18" spans="2:38" ht="18" customHeight="1" x14ac:dyDescent="0.25">
      <c r="B18" s="5"/>
      <c r="C18" s="38"/>
      <c r="D18" s="38"/>
      <c r="E18" s="38"/>
      <c r="F18" s="38"/>
      <c r="G18" s="38"/>
      <c r="H18" s="38"/>
      <c r="I18" s="38"/>
      <c r="J18" s="599">
        <v>7112</v>
      </c>
      <c r="K18" s="597"/>
      <c r="L18" s="599">
        <v>7212</v>
      </c>
      <c r="M18" s="597"/>
      <c r="N18" s="599">
        <v>7312</v>
      </c>
      <c r="O18" s="597"/>
      <c r="P18" s="599">
        <v>7412</v>
      </c>
      <c r="Q18" s="6"/>
      <c r="S18" s="66" t="s">
        <v>393</v>
      </c>
      <c r="T18" s="67">
        <v>500</v>
      </c>
      <c r="U18" s="66" t="s">
        <v>20</v>
      </c>
      <c r="V18" s="66" t="s">
        <v>18</v>
      </c>
      <c r="W18" s="66" t="s">
        <v>23</v>
      </c>
      <c r="X18" s="66" t="s">
        <v>19</v>
      </c>
      <c r="Y18" s="66" t="s">
        <v>20</v>
      </c>
      <c r="Z18" s="66" t="s">
        <v>23</v>
      </c>
      <c r="AA18" s="66" t="s">
        <v>21</v>
      </c>
      <c r="AB18" s="66" t="s">
        <v>35</v>
      </c>
      <c r="AC18" s="67">
        <v>19.600000000000001</v>
      </c>
      <c r="AD18" s="66" t="s">
        <v>37</v>
      </c>
      <c r="AE18" s="67">
        <v>372</v>
      </c>
      <c r="AG18" s="465" t="s">
        <v>143</v>
      </c>
      <c r="AH18" s="68">
        <v>1873</v>
      </c>
      <c r="AI18" s="465" t="s">
        <v>147</v>
      </c>
      <c r="AJ18" s="68">
        <v>0.44</v>
      </c>
      <c r="AK18" s="465" t="s">
        <v>141</v>
      </c>
      <c r="AL18" s="68">
        <v>0</v>
      </c>
    </row>
    <row r="19" spans="2:38" ht="18" customHeight="1" thickBot="1" x14ac:dyDescent="0.3">
      <c r="B19" s="5"/>
      <c r="C19" s="38"/>
      <c r="D19" s="38"/>
      <c r="E19" s="38"/>
      <c r="F19" s="38"/>
      <c r="G19" s="38"/>
      <c r="H19" s="38"/>
      <c r="I19" s="38"/>
      <c r="J19" s="600"/>
      <c r="K19" s="598"/>
      <c r="L19" s="600"/>
      <c r="M19" s="598"/>
      <c r="N19" s="600"/>
      <c r="O19" s="598"/>
      <c r="P19" s="600"/>
      <c r="Q19" s="6"/>
      <c r="S19" s="66" t="s">
        <v>13</v>
      </c>
      <c r="T19" s="67">
        <v>350</v>
      </c>
      <c r="U19" s="66" t="s">
        <v>14</v>
      </c>
      <c r="V19" s="67">
        <v>4</v>
      </c>
      <c r="W19" s="67">
        <v>16</v>
      </c>
      <c r="X19" s="68">
        <f>V19*PI()*(W19*0.5)^2</f>
        <v>804.24771931898704</v>
      </c>
      <c r="Y19" s="66" t="s">
        <v>26</v>
      </c>
      <c r="Z19" s="67">
        <v>6</v>
      </c>
      <c r="AA19" s="67">
        <v>100</v>
      </c>
      <c r="AB19" s="66" t="s">
        <v>38</v>
      </c>
      <c r="AC19" s="69">
        <f>(2*AC18)/(12680+460*$AC$18)</f>
        <v>1.8067846607669618E-3</v>
      </c>
      <c r="AD19" s="66" t="s">
        <v>39</v>
      </c>
      <c r="AE19" s="69">
        <f>AE18/200000</f>
        <v>1.8600000000000001E-3</v>
      </c>
      <c r="AG19" s="465" t="s">
        <v>144</v>
      </c>
      <c r="AH19" s="68">
        <v>1089</v>
      </c>
      <c r="AI19" s="465" t="s">
        <v>148</v>
      </c>
      <c r="AJ19" s="68">
        <v>2.02</v>
      </c>
      <c r="AK19" s="465" t="s">
        <v>140</v>
      </c>
      <c r="AL19" s="68">
        <v>0.2</v>
      </c>
    </row>
    <row r="20" spans="2:38" ht="15.75" customHeight="1" thickBot="1" x14ac:dyDescent="0.3">
      <c r="B20" s="5"/>
      <c r="C20" s="38"/>
      <c r="D20" s="38"/>
      <c r="E20" s="38"/>
      <c r="F20" s="38"/>
      <c r="G20" s="38"/>
      <c r="H20" s="38"/>
      <c r="I20" s="38"/>
      <c r="J20" s="307">
        <v>1111</v>
      </c>
      <c r="K20" s="308">
        <v>5111</v>
      </c>
      <c r="L20" s="307">
        <v>1211</v>
      </c>
      <c r="M20" s="308">
        <v>5211</v>
      </c>
      <c r="N20" s="307">
        <v>1311</v>
      </c>
      <c r="O20" s="308">
        <v>5311</v>
      </c>
      <c r="P20" s="307">
        <v>1411</v>
      </c>
      <c r="Q20" s="6"/>
      <c r="S20" s="66" t="s">
        <v>41</v>
      </c>
      <c r="T20" s="67">
        <v>20</v>
      </c>
      <c r="U20" s="66" t="s">
        <v>15</v>
      </c>
      <c r="V20" s="67">
        <v>2</v>
      </c>
      <c r="W20" s="67">
        <v>16</v>
      </c>
      <c r="X20" s="68">
        <f>V20*PI()*(W20*0.5)^2</f>
        <v>402.12385965949352</v>
      </c>
      <c r="Y20" s="66"/>
      <c r="Z20" s="67"/>
      <c r="AA20" s="67"/>
      <c r="AB20" s="66" t="s">
        <v>34</v>
      </c>
      <c r="AC20" s="67">
        <v>3.8E-3</v>
      </c>
      <c r="AD20" s="66" t="s">
        <v>40</v>
      </c>
      <c r="AE20" s="67"/>
      <c r="AG20" s="465" t="s">
        <v>182</v>
      </c>
      <c r="AH20" s="68">
        <f>4700*SQRT($AC$18)</f>
        <v>20807.787003907935</v>
      </c>
      <c r="AI20" s="465" t="s">
        <v>149</v>
      </c>
      <c r="AJ20" s="68">
        <v>1.18</v>
      </c>
      <c r="AK20" s="465" t="s">
        <v>145</v>
      </c>
      <c r="AL20" s="469">
        <v>6.87</v>
      </c>
    </row>
    <row r="21" spans="2:38" ht="18" customHeight="1" x14ac:dyDescent="0.25">
      <c r="B21" s="5"/>
      <c r="C21" s="38"/>
      <c r="D21" s="38"/>
      <c r="E21" s="38"/>
      <c r="F21" s="38"/>
      <c r="G21" s="38"/>
      <c r="H21" s="38"/>
      <c r="I21" s="38"/>
      <c r="J21" s="599">
        <v>7111</v>
      </c>
      <c r="K21" s="597"/>
      <c r="L21" s="599">
        <v>7211</v>
      </c>
      <c r="M21" s="597"/>
      <c r="N21" s="599">
        <v>7311</v>
      </c>
      <c r="O21" s="597"/>
      <c r="P21" s="599">
        <v>7411</v>
      </c>
      <c r="Q21" s="6"/>
      <c r="S21" s="588" t="s">
        <v>27</v>
      </c>
      <c r="T21" s="588"/>
      <c r="U21" s="588"/>
      <c r="V21" s="588"/>
      <c r="W21" s="588"/>
      <c r="X21" s="588"/>
      <c r="Y21" s="588"/>
      <c r="Z21" s="588"/>
      <c r="AA21" s="588"/>
      <c r="AB21" s="588"/>
      <c r="AC21" s="588"/>
      <c r="AD21" s="588"/>
      <c r="AE21" s="588"/>
      <c r="AG21" s="579"/>
      <c r="AH21" s="579"/>
      <c r="AI21" s="579"/>
      <c r="AJ21" s="579"/>
      <c r="AK21" s="579"/>
      <c r="AL21" s="579"/>
    </row>
    <row r="22" spans="2:38" ht="18" customHeight="1" thickBot="1" x14ac:dyDescent="0.3">
      <c r="B22" s="5"/>
      <c r="C22" s="38"/>
      <c r="D22" s="38"/>
      <c r="E22" s="38"/>
      <c r="F22" s="38"/>
      <c r="G22" s="38"/>
      <c r="H22" s="38"/>
      <c r="I22" s="38"/>
      <c r="J22" s="600"/>
      <c r="K22" s="598"/>
      <c r="L22" s="600"/>
      <c r="M22" s="598"/>
      <c r="N22" s="600"/>
      <c r="O22" s="598"/>
      <c r="P22" s="600"/>
      <c r="Q22" s="6"/>
      <c r="S22" s="591" t="s">
        <v>22</v>
      </c>
      <c r="T22" s="592"/>
      <c r="U22" s="580" t="s">
        <v>16</v>
      </c>
      <c r="V22" s="580"/>
      <c r="W22" s="580"/>
      <c r="X22" s="580"/>
      <c r="Y22" s="580" t="s">
        <v>17</v>
      </c>
      <c r="Z22" s="580"/>
      <c r="AA22" s="580"/>
      <c r="AB22" s="580" t="s">
        <v>33</v>
      </c>
      <c r="AC22" s="580"/>
      <c r="AD22" s="580" t="s">
        <v>36</v>
      </c>
      <c r="AE22" s="580"/>
      <c r="AG22" s="577" t="s">
        <v>152</v>
      </c>
      <c r="AH22" s="577"/>
      <c r="AI22" s="577"/>
      <c r="AJ22" s="577"/>
      <c r="AK22" s="577"/>
      <c r="AL22" s="577"/>
    </row>
    <row r="23" spans="2:38" ht="16.5" thickBot="1" x14ac:dyDescent="0.3">
      <c r="B23" s="5"/>
      <c r="C23" s="38"/>
      <c r="D23" s="38"/>
      <c r="E23" s="38"/>
      <c r="F23" s="38"/>
      <c r="G23" s="38"/>
      <c r="H23" s="38"/>
      <c r="I23" s="311"/>
      <c r="J23" s="312">
        <v>1110</v>
      </c>
      <c r="K23" s="313"/>
      <c r="L23" s="312">
        <v>1210</v>
      </c>
      <c r="M23" s="313"/>
      <c r="N23" s="312">
        <v>1310</v>
      </c>
      <c r="O23" s="313"/>
      <c r="P23" s="312">
        <v>1410</v>
      </c>
      <c r="Q23" s="314"/>
      <c r="S23" s="66" t="s">
        <v>393</v>
      </c>
      <c r="T23" s="67">
        <v>250</v>
      </c>
      <c r="U23" s="66" t="s">
        <v>20</v>
      </c>
      <c r="V23" s="66" t="s">
        <v>18</v>
      </c>
      <c r="W23" s="66" t="s">
        <v>23</v>
      </c>
      <c r="X23" s="66" t="s">
        <v>19</v>
      </c>
      <c r="Y23" s="66" t="s">
        <v>20</v>
      </c>
      <c r="Z23" s="66" t="s">
        <v>23</v>
      </c>
      <c r="AA23" s="66" t="s">
        <v>21</v>
      </c>
      <c r="AB23" s="66" t="s">
        <v>35</v>
      </c>
      <c r="AC23" s="67">
        <v>19.600000000000001</v>
      </c>
      <c r="AD23" s="66" t="s">
        <v>37</v>
      </c>
      <c r="AE23" s="67">
        <v>372</v>
      </c>
      <c r="AG23" s="465" t="s">
        <v>142</v>
      </c>
      <c r="AH23" s="68">
        <v>991</v>
      </c>
      <c r="AI23" s="465" t="s">
        <v>146</v>
      </c>
      <c r="AJ23" s="68">
        <v>0.31</v>
      </c>
      <c r="AK23" s="465" t="s">
        <v>150</v>
      </c>
      <c r="AL23" s="469">
        <v>240</v>
      </c>
    </row>
    <row r="24" spans="2:38" x14ac:dyDescent="0.25">
      <c r="B24" s="5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6"/>
      <c r="S24" s="66" t="s">
        <v>13</v>
      </c>
      <c r="T24" s="67">
        <v>250</v>
      </c>
      <c r="U24" s="66" t="s">
        <v>30</v>
      </c>
      <c r="V24" s="67">
        <v>4</v>
      </c>
      <c r="W24" s="67">
        <v>16</v>
      </c>
      <c r="X24" s="68">
        <f>V24*PI()*(W24*0.5)^2</f>
        <v>804.24771931898704</v>
      </c>
      <c r="Y24" s="66" t="s">
        <v>26</v>
      </c>
      <c r="Z24" s="67">
        <v>6</v>
      </c>
      <c r="AA24" s="67">
        <v>100</v>
      </c>
      <c r="AB24" s="66" t="s">
        <v>38</v>
      </c>
      <c r="AC24" s="69">
        <f>(2*AC23)/(12680+460*AC23)</f>
        <v>1.8067846607669618E-3</v>
      </c>
      <c r="AD24" s="66" t="s">
        <v>39</v>
      </c>
      <c r="AE24" s="69">
        <f>AE23/200000</f>
        <v>1.8600000000000001E-3</v>
      </c>
      <c r="AG24" s="465" t="s">
        <v>143</v>
      </c>
      <c r="AH24" s="68">
        <v>1873</v>
      </c>
      <c r="AI24" s="465" t="s">
        <v>147</v>
      </c>
      <c r="AJ24" s="68">
        <v>0.25</v>
      </c>
      <c r="AK24" s="465" t="s">
        <v>141</v>
      </c>
      <c r="AL24" s="68">
        <v>0</v>
      </c>
    </row>
    <row r="25" spans="2:38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6"/>
      <c r="S25" s="66" t="s">
        <v>41</v>
      </c>
      <c r="T25" s="67">
        <v>20</v>
      </c>
      <c r="U25" s="66"/>
      <c r="V25" s="67"/>
      <c r="W25" s="67"/>
      <c r="X25" s="68">
        <f>V25*PI()*(W25*0.5)^2</f>
        <v>0</v>
      </c>
      <c r="Y25" s="66"/>
      <c r="Z25" s="67"/>
      <c r="AA25" s="67"/>
      <c r="AB25" s="66" t="s">
        <v>34</v>
      </c>
      <c r="AC25" s="67">
        <v>3.8E-3</v>
      </c>
      <c r="AD25" s="66" t="s">
        <v>40</v>
      </c>
      <c r="AE25" s="67"/>
      <c r="AG25" s="465" t="s">
        <v>144</v>
      </c>
      <c r="AH25" s="68">
        <v>1089</v>
      </c>
      <c r="AI25" s="465" t="s">
        <v>148</v>
      </c>
      <c r="AJ25" s="68">
        <v>1.5</v>
      </c>
      <c r="AK25" s="465" t="s">
        <v>140</v>
      </c>
      <c r="AL25" s="68">
        <v>0.2</v>
      </c>
    </row>
    <row r="26" spans="2:38" x14ac:dyDescent="0.25">
      <c r="B26" s="5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6"/>
      <c r="S26" s="589" t="s">
        <v>28</v>
      </c>
      <c r="T26" s="589"/>
      <c r="U26" s="589"/>
      <c r="V26" s="589"/>
      <c r="W26" s="589"/>
      <c r="X26" s="589"/>
      <c r="Y26" s="589"/>
      <c r="Z26" s="589"/>
      <c r="AA26" s="589"/>
      <c r="AB26" s="589"/>
      <c r="AC26" s="589"/>
      <c r="AD26" s="589"/>
      <c r="AE26" s="589"/>
      <c r="AG26" s="465" t="s">
        <v>182</v>
      </c>
      <c r="AH26" s="68">
        <f>4700*SQRT($AC$18)</f>
        <v>20807.787003907935</v>
      </c>
      <c r="AI26" s="465" t="s">
        <v>149</v>
      </c>
      <c r="AJ26" s="68">
        <v>1.1100000000000001</v>
      </c>
      <c r="AK26" s="465" t="s">
        <v>145</v>
      </c>
      <c r="AL26" s="68">
        <v>6.87</v>
      </c>
    </row>
    <row r="27" spans="2:38" x14ac:dyDescent="0.25">
      <c r="B27" s="5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6"/>
      <c r="S27" s="591" t="s">
        <v>22</v>
      </c>
      <c r="T27" s="592"/>
      <c r="U27" s="580" t="s">
        <v>16</v>
      </c>
      <c r="V27" s="580"/>
      <c r="W27" s="580"/>
      <c r="X27" s="580"/>
      <c r="Y27" s="580" t="s">
        <v>17</v>
      </c>
      <c r="Z27" s="580"/>
      <c r="AA27" s="580"/>
      <c r="AB27" s="580" t="s">
        <v>33</v>
      </c>
      <c r="AC27" s="580"/>
      <c r="AD27" s="580" t="s">
        <v>36</v>
      </c>
      <c r="AE27" s="580"/>
      <c r="AG27" s="579"/>
      <c r="AH27" s="579"/>
      <c r="AI27" s="579"/>
      <c r="AJ27" s="579"/>
      <c r="AK27" s="579"/>
      <c r="AL27" s="579"/>
    </row>
    <row r="28" spans="2:38" x14ac:dyDescent="0.25">
      <c r="B28" s="593" t="s">
        <v>220</v>
      </c>
      <c r="C28" s="594"/>
      <c r="D28" s="594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6"/>
      <c r="S28" s="66" t="s">
        <v>393</v>
      </c>
      <c r="T28" s="67">
        <v>300</v>
      </c>
      <c r="U28" s="66" t="s">
        <v>20</v>
      </c>
      <c r="V28" s="66" t="s">
        <v>18</v>
      </c>
      <c r="W28" s="66" t="s">
        <v>23</v>
      </c>
      <c r="X28" s="66" t="s">
        <v>19</v>
      </c>
      <c r="Y28" s="66" t="s">
        <v>20</v>
      </c>
      <c r="Z28" s="66" t="s">
        <v>23</v>
      </c>
      <c r="AA28" s="66" t="s">
        <v>21</v>
      </c>
      <c r="AB28" s="66" t="s">
        <v>35</v>
      </c>
      <c r="AC28" s="67">
        <v>19.600000000000001</v>
      </c>
      <c r="AD28" s="66" t="s">
        <v>37</v>
      </c>
      <c r="AE28" s="67">
        <v>372</v>
      </c>
      <c r="AG28" s="576" t="s">
        <v>153</v>
      </c>
      <c r="AH28" s="576"/>
      <c r="AI28" s="576"/>
      <c r="AJ28" s="576"/>
      <c r="AK28" s="576"/>
      <c r="AL28" s="576"/>
    </row>
    <row r="29" spans="2:38" x14ac:dyDescent="0.25">
      <c r="B29" s="593"/>
      <c r="C29" s="594"/>
      <c r="D29" s="594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6"/>
      <c r="S29" s="66" t="s">
        <v>13</v>
      </c>
      <c r="T29" s="67">
        <v>300</v>
      </c>
      <c r="U29" s="66" t="s">
        <v>30</v>
      </c>
      <c r="V29" s="67">
        <v>4</v>
      </c>
      <c r="W29" s="67">
        <v>16</v>
      </c>
      <c r="X29" s="68">
        <f>V29*PI()*(W29*0.5)^2</f>
        <v>804.24771931898704</v>
      </c>
      <c r="Y29" s="66" t="s">
        <v>26</v>
      </c>
      <c r="Z29" s="67">
        <v>6</v>
      </c>
      <c r="AA29" s="67">
        <v>150</v>
      </c>
      <c r="AB29" s="66" t="s">
        <v>38</v>
      </c>
      <c r="AC29" s="69">
        <f>(2*AC28)/(12680+460*AC28)</f>
        <v>1.8067846607669618E-3</v>
      </c>
      <c r="AD29" s="66" t="s">
        <v>39</v>
      </c>
      <c r="AE29" s="69">
        <f>AE28/200000</f>
        <v>1.8600000000000001E-3</v>
      </c>
      <c r="AG29" s="465" t="s">
        <v>142</v>
      </c>
      <c r="AH29" s="68">
        <v>1050</v>
      </c>
      <c r="AI29" s="465" t="s">
        <v>146</v>
      </c>
      <c r="AJ29" s="68">
        <v>0.36</v>
      </c>
      <c r="AK29" s="465" t="s">
        <v>150</v>
      </c>
      <c r="AL29" s="469">
        <v>300</v>
      </c>
    </row>
    <row r="30" spans="2:38" x14ac:dyDescent="0.25">
      <c r="B30" s="5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6"/>
      <c r="S30" s="66" t="s">
        <v>41</v>
      </c>
      <c r="T30" s="67">
        <v>20</v>
      </c>
      <c r="U30" s="66"/>
      <c r="V30" s="67"/>
      <c r="W30" s="67"/>
      <c r="X30" s="68">
        <f>V30*PI()*(W30*0.5)^2</f>
        <v>0</v>
      </c>
      <c r="Y30" s="66"/>
      <c r="Z30" s="67"/>
      <c r="AA30" s="67"/>
      <c r="AB30" s="66" t="s">
        <v>34</v>
      </c>
      <c r="AC30" s="67">
        <v>3.8E-3</v>
      </c>
      <c r="AD30" s="66" t="s">
        <v>40</v>
      </c>
      <c r="AE30" s="67"/>
      <c r="AG30" s="465" t="s">
        <v>143</v>
      </c>
      <c r="AH30" s="68">
        <v>3240</v>
      </c>
      <c r="AI30" s="465" t="s">
        <v>147</v>
      </c>
      <c r="AJ30" s="68">
        <v>0.3</v>
      </c>
      <c r="AK30" s="465" t="s">
        <v>141</v>
      </c>
      <c r="AL30" s="68">
        <v>0</v>
      </c>
    </row>
    <row r="31" spans="2:38" ht="16.5" thickBot="1" x14ac:dyDescent="0.3">
      <c r="B31" s="39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1"/>
      <c r="S31" s="590" t="s">
        <v>29</v>
      </c>
      <c r="T31" s="590"/>
      <c r="U31" s="590"/>
      <c r="V31" s="590"/>
      <c r="W31" s="590"/>
      <c r="X31" s="590"/>
      <c r="Y31" s="590"/>
      <c r="Z31" s="590"/>
      <c r="AA31" s="590"/>
      <c r="AB31" s="590"/>
      <c r="AC31" s="590"/>
      <c r="AD31" s="590"/>
      <c r="AE31" s="590"/>
      <c r="AG31" s="465" t="s">
        <v>144</v>
      </c>
      <c r="AH31" s="68">
        <v>1296</v>
      </c>
      <c r="AI31" s="465" t="s">
        <v>148</v>
      </c>
      <c r="AJ31" s="68">
        <v>3.51</v>
      </c>
      <c r="AK31" s="465" t="s">
        <v>140</v>
      </c>
      <c r="AL31" s="68">
        <v>0.2</v>
      </c>
    </row>
    <row r="32" spans="2:38" x14ac:dyDescent="0.25">
      <c r="S32" s="591" t="s">
        <v>22</v>
      </c>
      <c r="T32" s="592"/>
      <c r="U32" s="580" t="s">
        <v>16</v>
      </c>
      <c r="V32" s="580"/>
      <c r="W32" s="580"/>
      <c r="X32" s="580"/>
      <c r="Y32" s="580" t="s">
        <v>17</v>
      </c>
      <c r="Z32" s="580"/>
      <c r="AA32" s="580"/>
      <c r="AB32" s="580" t="s">
        <v>33</v>
      </c>
      <c r="AC32" s="580"/>
      <c r="AD32" s="580" t="s">
        <v>36</v>
      </c>
      <c r="AE32" s="580"/>
      <c r="AG32" s="465" t="s">
        <v>182</v>
      </c>
      <c r="AH32" s="68">
        <f>4700*SQRT($AC$18)</f>
        <v>20807.787003907935</v>
      </c>
      <c r="AI32" s="465" t="s">
        <v>149</v>
      </c>
      <c r="AJ32" s="68">
        <v>1.5</v>
      </c>
      <c r="AK32" s="465" t="s">
        <v>145</v>
      </c>
      <c r="AL32" s="68">
        <v>7.36</v>
      </c>
    </row>
    <row r="33" spans="19:31" ht="15" customHeight="1" x14ac:dyDescent="0.25">
      <c r="S33" s="66" t="s">
        <v>393</v>
      </c>
      <c r="T33" s="67">
        <v>500</v>
      </c>
      <c r="U33" s="66" t="s">
        <v>20</v>
      </c>
      <c r="V33" s="66" t="s">
        <v>18</v>
      </c>
      <c r="W33" s="66" t="s">
        <v>23</v>
      </c>
      <c r="X33" s="66" t="s">
        <v>19</v>
      </c>
      <c r="Y33" s="66" t="s">
        <v>20</v>
      </c>
      <c r="Z33" s="66" t="s">
        <v>23</v>
      </c>
      <c r="AA33" s="66" t="s">
        <v>21</v>
      </c>
      <c r="AB33" s="66" t="s">
        <v>35</v>
      </c>
      <c r="AC33" s="67">
        <v>19.600000000000001</v>
      </c>
      <c r="AD33" s="66" t="s">
        <v>37</v>
      </c>
      <c r="AE33" s="67">
        <v>372</v>
      </c>
    </row>
    <row r="34" spans="19:31" x14ac:dyDescent="0.25">
      <c r="S34" s="66" t="s">
        <v>13</v>
      </c>
      <c r="T34" s="67">
        <v>350</v>
      </c>
      <c r="U34" s="66" t="s">
        <v>30</v>
      </c>
      <c r="V34" s="67">
        <v>4</v>
      </c>
      <c r="W34" s="67">
        <v>18</v>
      </c>
      <c r="X34" s="68">
        <f>V34*PI()*(W34*0.5)^2</f>
        <v>1017.8760197630929</v>
      </c>
      <c r="Y34" s="66" t="s">
        <v>26</v>
      </c>
      <c r="Z34" s="67">
        <v>6</v>
      </c>
      <c r="AA34" s="67">
        <v>150</v>
      </c>
      <c r="AB34" s="66" t="s">
        <v>38</v>
      </c>
      <c r="AC34" s="69">
        <f>(2*AC33)/(12680+460*AC33)</f>
        <v>1.8067846607669618E-3</v>
      </c>
      <c r="AD34" s="66" t="s">
        <v>39</v>
      </c>
      <c r="AE34" s="69">
        <f>AE33/200000</f>
        <v>1.8600000000000001E-3</v>
      </c>
    </row>
    <row r="35" spans="19:31" x14ac:dyDescent="0.25">
      <c r="S35" s="66" t="s">
        <v>41</v>
      </c>
      <c r="T35" s="67">
        <v>20</v>
      </c>
      <c r="U35" s="66"/>
      <c r="V35" s="67"/>
      <c r="W35" s="67"/>
      <c r="X35" s="68">
        <f>V35*PI()*(W35*0.5)^2</f>
        <v>0</v>
      </c>
      <c r="Y35" s="66"/>
      <c r="Z35" s="67"/>
      <c r="AA35" s="67"/>
      <c r="AB35" s="66" t="s">
        <v>34</v>
      </c>
      <c r="AC35" s="67">
        <v>3.8E-3</v>
      </c>
      <c r="AD35" s="66" t="s">
        <v>40</v>
      </c>
      <c r="AE35" s="67"/>
    </row>
  </sheetData>
  <mergeCells count="84">
    <mergeCell ref="J2:P3"/>
    <mergeCell ref="M18:M19"/>
    <mergeCell ref="J6:J7"/>
    <mergeCell ref="J9:J10"/>
    <mergeCell ref="J12:J13"/>
    <mergeCell ref="J15:J16"/>
    <mergeCell ref="N12:N13"/>
    <mergeCell ref="N9:N10"/>
    <mergeCell ref="L6:L7"/>
    <mergeCell ref="L9:L10"/>
    <mergeCell ref="L12:L13"/>
    <mergeCell ref="L15:L16"/>
    <mergeCell ref="L18:L19"/>
    <mergeCell ref="P18:P19"/>
    <mergeCell ref="N6:N7"/>
    <mergeCell ref="P6:P7"/>
    <mergeCell ref="J18:J19"/>
    <mergeCell ref="J21:J22"/>
    <mergeCell ref="L21:L22"/>
    <mergeCell ref="O6:O7"/>
    <mergeCell ref="M6:M7"/>
    <mergeCell ref="N15:N16"/>
    <mergeCell ref="K6:K7"/>
    <mergeCell ref="O21:O22"/>
    <mergeCell ref="O18:O19"/>
    <mergeCell ref="M12:M13"/>
    <mergeCell ref="K9:K10"/>
    <mergeCell ref="M9:M10"/>
    <mergeCell ref="U4:U5"/>
    <mergeCell ref="M21:M22"/>
    <mergeCell ref="K21:K22"/>
    <mergeCell ref="K18:K19"/>
    <mergeCell ref="K15:K16"/>
    <mergeCell ref="K12:K13"/>
    <mergeCell ref="P9:P10"/>
    <mergeCell ref="P12:P13"/>
    <mergeCell ref="P15:P16"/>
    <mergeCell ref="O15:O16"/>
    <mergeCell ref="O12:O13"/>
    <mergeCell ref="O9:O10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5:M16"/>
    <mergeCell ref="N21:N22"/>
    <mergeCell ref="N18:N19"/>
    <mergeCell ref="P21:P22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AG14:AL15"/>
    <mergeCell ref="S2:AC3"/>
    <mergeCell ref="AA4:AA12"/>
    <mergeCell ref="AB9:AC12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B1:BY100"/>
  <sheetViews>
    <sheetView topLeftCell="AT1" zoomScale="80" zoomScaleNormal="80" workbookViewId="0">
      <selection activeCell="BB42" sqref="BB42"/>
    </sheetView>
  </sheetViews>
  <sheetFormatPr defaultRowHeight="15.75" x14ac:dyDescent="0.25"/>
  <cols>
    <col min="1" max="2" width="9.140625" style="4"/>
    <col min="3" max="3" width="8.85546875" style="4" customWidth="1"/>
    <col min="4" max="4" width="10.140625" style="4" bestFit="1" customWidth="1"/>
    <col min="5" max="5" width="11.42578125" style="4" bestFit="1" customWidth="1"/>
    <col min="6" max="6" width="11" style="4" customWidth="1"/>
    <col min="7" max="7" width="11.28515625" style="4" bestFit="1" customWidth="1"/>
    <col min="8" max="8" width="10.85546875" style="4" bestFit="1" customWidth="1"/>
    <col min="9" max="9" width="11.42578125" style="4" bestFit="1" customWidth="1"/>
    <col min="10" max="10" width="11" style="4" customWidth="1"/>
    <col min="11" max="11" width="12.42578125" style="4" bestFit="1" customWidth="1"/>
    <col min="12" max="12" width="12.140625" style="4" bestFit="1" customWidth="1"/>
    <col min="13" max="14" width="12.140625" style="4" customWidth="1"/>
    <col min="15" max="15" width="11.28515625" style="4" customWidth="1"/>
    <col min="16" max="16" width="9.5703125" style="4" bestFit="1" customWidth="1"/>
    <col min="17" max="17" width="8.7109375" style="4" customWidth="1"/>
    <col min="18" max="18" width="9.140625" style="4"/>
    <col min="19" max="19" width="8.85546875" style="4" customWidth="1"/>
    <col min="20" max="20" width="9" style="4" customWidth="1"/>
    <col min="21" max="21" width="9.7109375" style="4" customWidth="1"/>
    <col min="22" max="22" width="9.7109375" style="4" bestFit="1" customWidth="1"/>
    <col min="23" max="23" width="8.85546875" style="4" bestFit="1" customWidth="1"/>
    <col min="24" max="24" width="10.5703125" style="4" bestFit="1" customWidth="1"/>
    <col min="25" max="25" width="10.7109375" style="4" bestFit="1" customWidth="1"/>
    <col min="26" max="26" width="11" style="4" bestFit="1" customWidth="1"/>
    <col min="27" max="35" width="9.140625" style="4"/>
    <col min="36" max="36" width="9.85546875" style="4" bestFit="1" customWidth="1"/>
    <col min="37" max="37" width="11.42578125" style="4" customWidth="1"/>
    <col min="38" max="38" width="9.85546875" style="4" bestFit="1" customWidth="1"/>
    <col min="39" max="39" width="9" style="4" customWidth="1"/>
    <col min="40" max="45" width="9.140625" style="4"/>
    <col min="46" max="46" width="11" style="4" customWidth="1"/>
    <col min="47" max="47" width="10.28515625" style="4" bestFit="1" customWidth="1"/>
    <col min="48" max="48" width="10.42578125" style="4" customWidth="1"/>
    <col min="49" max="49" width="11.7109375" style="4" customWidth="1"/>
    <col min="50" max="50" width="10.28515625" style="4" bestFit="1" customWidth="1"/>
    <col min="51" max="51" width="12.7109375" style="4" customWidth="1"/>
    <col min="52" max="52" width="11.5703125" style="4" bestFit="1" customWidth="1"/>
    <col min="53" max="55" width="11.5703125" style="4" customWidth="1"/>
    <col min="56" max="56" width="9.28515625" style="4" bestFit="1" customWidth="1"/>
    <col min="57" max="58" width="11.28515625" style="4" bestFit="1" customWidth="1"/>
    <col min="59" max="59" width="11.5703125" style="4" bestFit="1" customWidth="1"/>
    <col min="60" max="60" width="9.140625" style="4"/>
    <col min="61" max="61" width="9.28515625" style="4" bestFit="1" customWidth="1"/>
    <col min="62" max="62" width="10.7109375" style="4" bestFit="1" customWidth="1"/>
    <col min="63" max="63" width="8.5703125" style="4" bestFit="1" customWidth="1"/>
    <col min="64" max="64" width="12.7109375" style="4" bestFit="1" customWidth="1"/>
    <col min="65" max="65" width="12.42578125" style="4" bestFit="1" customWidth="1"/>
    <col min="66" max="66" width="11.5703125" style="4" bestFit="1" customWidth="1"/>
    <col min="67" max="70" width="9.140625" style="4"/>
    <col min="71" max="71" width="10.28515625" style="4" customWidth="1"/>
    <col min="72" max="16384" width="9.140625" style="4"/>
  </cols>
  <sheetData>
    <row r="1" spans="2:77" ht="16.5" thickBot="1" x14ac:dyDescent="0.3"/>
    <row r="2" spans="2:77" ht="16.5" thickBot="1" x14ac:dyDescent="0.3">
      <c r="B2" s="735" t="s">
        <v>301</v>
      </c>
      <c r="C2" s="736"/>
      <c r="D2" s="736"/>
      <c r="E2" s="736"/>
      <c r="F2" s="736"/>
      <c r="G2" s="736"/>
      <c r="H2" s="736"/>
      <c r="I2" s="736"/>
      <c r="J2" s="736"/>
      <c r="K2" s="736"/>
      <c r="L2" s="736"/>
      <c r="M2" s="736"/>
      <c r="N2" s="736"/>
      <c r="O2" s="737"/>
      <c r="Q2" s="708" t="s">
        <v>227</v>
      </c>
      <c r="R2" s="709"/>
      <c r="S2" s="709"/>
      <c r="T2" s="709"/>
      <c r="U2" s="709"/>
      <c r="V2" s="709"/>
      <c r="W2" s="709"/>
      <c r="X2" s="709"/>
      <c r="Y2" s="709"/>
      <c r="Z2" s="709"/>
      <c r="AA2" s="709"/>
      <c r="AB2" s="709"/>
      <c r="AC2" s="709"/>
      <c r="AD2" s="709"/>
      <c r="AE2" s="709"/>
      <c r="AF2" s="709"/>
      <c r="AG2" s="710"/>
      <c r="AI2" s="715" t="s">
        <v>81</v>
      </c>
      <c r="AJ2" s="716"/>
      <c r="AK2" s="716"/>
      <c r="AL2" s="716"/>
      <c r="AM2" s="716"/>
      <c r="AN2" s="716"/>
      <c r="AO2" s="716"/>
      <c r="AP2" s="716"/>
      <c r="AQ2" s="716"/>
      <c r="AR2" s="716"/>
      <c r="AS2" s="716"/>
      <c r="AT2" s="716"/>
      <c r="AU2" s="716"/>
      <c r="AV2" s="716"/>
      <c r="AW2" s="716"/>
      <c r="AX2" s="716"/>
      <c r="AY2" s="716"/>
      <c r="AZ2" s="716"/>
      <c r="BA2" s="716"/>
      <c r="BB2" s="716"/>
      <c r="BC2" s="717"/>
      <c r="BE2" s="732" t="s">
        <v>437</v>
      </c>
      <c r="BF2" s="733"/>
      <c r="BG2" s="733"/>
      <c r="BH2" s="733"/>
      <c r="BI2" s="733"/>
      <c r="BJ2" s="733"/>
      <c r="BK2" s="733"/>
      <c r="BL2" s="733"/>
      <c r="BM2" s="734"/>
      <c r="BN2" s="181"/>
      <c r="BO2" s="1"/>
      <c r="BP2" s="1"/>
      <c r="BQ2" s="1"/>
      <c r="BR2" s="1"/>
    </row>
    <row r="3" spans="2:77" ht="15" customHeight="1" thickBot="1" x14ac:dyDescent="0.3">
      <c r="B3" s="695" t="s">
        <v>63</v>
      </c>
      <c r="C3" s="682" t="s">
        <v>32</v>
      </c>
      <c r="D3" s="682" t="s">
        <v>30</v>
      </c>
      <c r="E3" s="697" t="s">
        <v>221</v>
      </c>
      <c r="F3" s="680" t="s">
        <v>222</v>
      </c>
      <c r="G3" s="697" t="s">
        <v>225</v>
      </c>
      <c r="H3" s="680" t="s">
        <v>226</v>
      </c>
      <c r="I3" s="697" t="s">
        <v>223</v>
      </c>
      <c r="J3" s="680" t="s">
        <v>224</v>
      </c>
      <c r="K3" s="697" t="s">
        <v>304</v>
      </c>
      <c r="L3" s="680" t="s">
        <v>305</v>
      </c>
      <c r="M3" s="650"/>
      <c r="N3" s="652"/>
      <c r="O3" s="738"/>
      <c r="Q3" s="673" t="s">
        <v>9</v>
      </c>
      <c r="R3" s="580"/>
      <c r="S3" s="580">
        <v>1</v>
      </c>
      <c r="T3" s="580"/>
      <c r="U3" s="580"/>
      <c r="V3" s="580"/>
      <c r="W3" s="580"/>
      <c r="X3" s="580">
        <v>2</v>
      </c>
      <c r="Y3" s="580"/>
      <c r="Z3" s="580"/>
      <c r="AA3" s="580"/>
      <c r="AB3" s="580"/>
      <c r="AC3" s="580">
        <v>3</v>
      </c>
      <c r="AD3" s="580"/>
      <c r="AE3" s="580"/>
      <c r="AF3" s="580"/>
      <c r="AG3" s="674"/>
      <c r="AI3" s="586" t="s">
        <v>74</v>
      </c>
      <c r="AJ3" s="581" t="s">
        <v>75</v>
      </c>
      <c r="AK3" s="581"/>
      <c r="AL3" s="699" t="s">
        <v>76</v>
      </c>
      <c r="AM3" s="581" t="s">
        <v>77</v>
      </c>
      <c r="AN3" s="581" t="s">
        <v>78</v>
      </c>
      <c r="AO3" s="581" t="s">
        <v>79</v>
      </c>
      <c r="AP3" s="585" t="s">
        <v>82</v>
      </c>
      <c r="AQ3" s="728" t="s">
        <v>343</v>
      </c>
      <c r="AR3" s="726" t="s">
        <v>80</v>
      </c>
      <c r="AS3" s="726" t="s">
        <v>59</v>
      </c>
      <c r="AT3" s="726" t="s">
        <v>427</v>
      </c>
      <c r="AU3" s="720" t="s">
        <v>311</v>
      </c>
      <c r="AV3" s="720" t="s">
        <v>59</v>
      </c>
      <c r="AW3" s="720" t="s">
        <v>428</v>
      </c>
      <c r="AX3" s="722" t="s">
        <v>312</v>
      </c>
      <c r="AY3" s="722" t="s">
        <v>59</v>
      </c>
      <c r="AZ3" s="724" t="s">
        <v>429</v>
      </c>
      <c r="BA3" s="718" t="s">
        <v>312</v>
      </c>
      <c r="BB3" s="718" t="s">
        <v>59</v>
      </c>
      <c r="BC3" s="719" t="s">
        <v>429</v>
      </c>
      <c r="BE3" s="472" t="str">
        <f>'System Capacities'!C31</f>
        <v>Storey</v>
      </c>
      <c r="BF3" s="729" t="str">
        <f>'System Capacities'!D31</f>
        <v>Sway Mechanism at Storey i</v>
      </c>
      <c r="BG3" s="730"/>
      <c r="BH3" s="730"/>
      <c r="BI3" s="731"/>
      <c r="BJ3" s="473" t="str">
        <f>'System Capacities'!G31</f>
        <v>VR,i [kN]</v>
      </c>
      <c r="BK3" s="473" t="str">
        <f>'System Capacities'!H31</f>
        <v>hs,i [m]</v>
      </c>
      <c r="BL3" s="473" t="str">
        <f>'System Capacities'!I31</f>
        <v>θsys,i [rad]</v>
      </c>
      <c r="BM3" s="76" t="str">
        <f>'System Capacities'!J31</f>
        <v>ky,i [kN/m]</v>
      </c>
      <c r="BN3" s="482"/>
    </row>
    <row r="4" spans="2:77" ht="16.5" thickBot="1" x14ac:dyDescent="0.3">
      <c r="B4" s="696"/>
      <c r="C4" s="683"/>
      <c r="D4" s="683"/>
      <c r="E4" s="698"/>
      <c r="F4" s="681"/>
      <c r="G4" s="698"/>
      <c r="H4" s="681"/>
      <c r="I4" s="698"/>
      <c r="J4" s="681"/>
      <c r="K4" s="698"/>
      <c r="L4" s="681"/>
      <c r="M4" s="651"/>
      <c r="N4" s="653"/>
      <c r="O4" s="739"/>
      <c r="Q4" s="673" t="s">
        <v>42</v>
      </c>
      <c r="R4" s="580"/>
      <c r="S4" s="77" t="s">
        <v>43</v>
      </c>
      <c r="T4" s="77" t="s">
        <v>44</v>
      </c>
      <c r="U4" s="77" t="s">
        <v>45</v>
      </c>
      <c r="V4" s="77" t="s">
        <v>46</v>
      </c>
      <c r="W4" s="78" t="s">
        <v>62</v>
      </c>
      <c r="X4" s="77" t="s">
        <v>47</v>
      </c>
      <c r="Y4" s="77" t="s">
        <v>48</v>
      </c>
      <c r="Z4" s="77" t="s">
        <v>49</v>
      </c>
      <c r="AA4" s="77" t="s">
        <v>50</v>
      </c>
      <c r="AB4" s="78" t="s">
        <v>62</v>
      </c>
      <c r="AC4" s="77" t="s">
        <v>51</v>
      </c>
      <c r="AD4" s="77" t="s">
        <v>52</v>
      </c>
      <c r="AE4" s="77" t="s">
        <v>53</v>
      </c>
      <c r="AF4" s="77" t="s">
        <v>54</v>
      </c>
      <c r="AG4" s="79" t="s">
        <v>62</v>
      </c>
      <c r="AI4" s="587"/>
      <c r="AJ4" s="582"/>
      <c r="AK4" s="582"/>
      <c r="AL4" s="700"/>
      <c r="AM4" s="582"/>
      <c r="AN4" s="582"/>
      <c r="AO4" s="582"/>
      <c r="AP4" s="580"/>
      <c r="AQ4" s="581"/>
      <c r="AR4" s="727"/>
      <c r="AS4" s="727"/>
      <c r="AT4" s="727"/>
      <c r="AU4" s="721"/>
      <c r="AV4" s="721"/>
      <c r="AW4" s="721"/>
      <c r="AX4" s="723"/>
      <c r="AY4" s="723"/>
      <c r="AZ4" s="725"/>
      <c r="BA4" s="718"/>
      <c r="BB4" s="718"/>
      <c r="BC4" s="719"/>
      <c r="BE4" s="80">
        <f>'System Capacities'!C32</f>
        <v>6</v>
      </c>
      <c r="BF4" s="613" t="str">
        <f>'System Capacities'!D32</f>
        <v>Column</v>
      </c>
      <c r="BG4" s="614"/>
      <c r="BH4" s="614"/>
      <c r="BI4" s="615"/>
      <c r="BJ4" s="81">
        <f>'System Capacities'!G32</f>
        <v>10.57254973689585</v>
      </c>
      <c r="BK4" s="81">
        <f>'Structural Information'!U6</f>
        <v>3</v>
      </c>
      <c r="BL4" s="82">
        <f>'System Capacities'!I32</f>
        <v>9.8813489336206217E-4</v>
      </c>
      <c r="BM4" s="83">
        <f>'System Capacities'!J32</f>
        <v>3566.500150238754</v>
      </c>
      <c r="BN4" s="482"/>
    </row>
    <row r="5" spans="2:77" x14ac:dyDescent="0.25">
      <c r="B5" s="695">
        <v>1</v>
      </c>
      <c r="C5" s="84">
        <v>5111</v>
      </c>
      <c r="D5" s="84" t="s">
        <v>12</v>
      </c>
      <c r="E5" s="85">
        <v>61.6</v>
      </c>
      <c r="F5" s="86">
        <v>120</v>
      </c>
      <c r="G5" s="85">
        <v>66.3</v>
      </c>
      <c r="H5" s="86">
        <v>129.19999999999999</v>
      </c>
      <c r="I5" s="87">
        <v>53.1</v>
      </c>
      <c r="J5" s="88">
        <v>103.4</v>
      </c>
      <c r="K5" s="87">
        <v>6.6</v>
      </c>
      <c r="L5" s="88">
        <v>12.9</v>
      </c>
      <c r="M5" s="89"/>
      <c r="N5" s="89"/>
      <c r="O5" s="90"/>
      <c r="Q5" s="673" t="s">
        <v>61</v>
      </c>
      <c r="R5" s="591"/>
      <c r="S5" s="206">
        <v>30.8</v>
      </c>
      <c r="T5" s="94">
        <v>98.8</v>
      </c>
      <c r="U5" s="94">
        <v>98.8</v>
      </c>
      <c r="V5" s="205">
        <v>71.3</v>
      </c>
      <c r="W5" s="91">
        <f>S5+T5+U5+V5</f>
        <v>299.7</v>
      </c>
      <c r="X5" s="206">
        <v>30.8</v>
      </c>
      <c r="Y5" s="94">
        <v>82.8</v>
      </c>
      <c r="Z5" s="94">
        <v>82.8</v>
      </c>
      <c r="AA5" s="205">
        <v>47.5</v>
      </c>
      <c r="AB5" s="91">
        <f>X5+Y5+Z5+AA5</f>
        <v>243.89999999999998</v>
      </c>
      <c r="AC5" s="206">
        <v>30.8</v>
      </c>
      <c r="AD5" s="94">
        <v>77.8</v>
      </c>
      <c r="AE5" s="94">
        <v>77.8</v>
      </c>
      <c r="AF5" s="205">
        <v>44.9</v>
      </c>
      <c r="AG5" s="92">
        <f>AC5+AD5+AE5+AF5</f>
        <v>231.29999999999998</v>
      </c>
      <c r="AI5" s="673">
        <v>6</v>
      </c>
      <c r="AJ5" s="701" t="s">
        <v>42</v>
      </c>
      <c r="AK5" s="701"/>
      <c r="AL5" s="93">
        <v>1116</v>
      </c>
      <c r="AM5" s="93">
        <v>7116</v>
      </c>
      <c r="AN5" s="94">
        <f>'[1]Structural Information'!U6</f>
        <v>3</v>
      </c>
      <c r="AO5" s="94">
        <f>'[1]Structural Information'!T23/1000</f>
        <v>0.25</v>
      </c>
      <c r="AP5" s="95">
        <f t="shared" ref="AP5:AP28" si="0">0.43*AN5</f>
        <v>1.29</v>
      </c>
      <c r="AQ5" s="96">
        <f>(0.08*AP5*1000+0.022*'[1]Structural Information'!$AE$18*'[1]Structural Information'!$W$24)/1000</f>
        <v>0.23414400000000002</v>
      </c>
      <c r="AR5" s="522">
        <f>AP5*E82/3</f>
        <v>6.7510000000000001E-3</v>
      </c>
      <c r="AS5" s="94">
        <v>30.8</v>
      </c>
      <c r="AT5" s="523">
        <f t="shared" ref="AT5:AT32" si="1">AS5*AR5</f>
        <v>0.2079308</v>
      </c>
      <c r="AU5" s="524">
        <f>AQ5*G82</f>
        <v>2.1236860800000004E-2</v>
      </c>
      <c r="AV5" s="94">
        <v>33.1</v>
      </c>
      <c r="AW5" s="96">
        <f t="shared" ref="AW5:AW32" si="2">AV5*AU5</f>
        <v>0.70294009248000011</v>
      </c>
      <c r="AX5" s="522">
        <f>AQ5*I82</f>
        <v>6.5653977599999996E-2</v>
      </c>
      <c r="AY5" s="94">
        <v>26.5</v>
      </c>
      <c r="AZ5" s="523">
        <f t="shared" ref="AZ5:AZ32" si="3">AY5*AX5</f>
        <v>1.7398304063999999</v>
      </c>
      <c r="BA5" s="525">
        <f>AQ5*K82</f>
        <v>0.22112559360000003</v>
      </c>
      <c r="BB5" s="496">
        <v>3.3</v>
      </c>
      <c r="BC5" s="176">
        <f>BA5*BB5</f>
        <v>0.72971445888000008</v>
      </c>
      <c r="BE5" s="97">
        <f>'System Capacities'!C33</f>
        <v>5</v>
      </c>
      <c r="BF5" s="613" t="str">
        <f>'System Capacities'!D33</f>
        <v>Column</v>
      </c>
      <c r="BG5" s="614"/>
      <c r="BH5" s="614"/>
      <c r="BI5" s="615"/>
      <c r="BJ5" s="68">
        <f>'System Capacities'!G33</f>
        <v>16.292206460508616</v>
      </c>
      <c r="BK5" s="68">
        <f>'Structural Information'!U7</f>
        <v>3</v>
      </c>
      <c r="BL5" s="82">
        <f>'System Capacities'!I33</f>
        <v>1.4977593939212409E-3</v>
      </c>
      <c r="BM5" s="83">
        <f>'System Capacities'!J33</f>
        <v>3625.9064766191536</v>
      </c>
      <c r="BN5" s="482"/>
    </row>
    <row r="6" spans="2:77" x14ac:dyDescent="0.25">
      <c r="B6" s="695"/>
      <c r="C6" s="84">
        <v>5112</v>
      </c>
      <c r="D6" s="84" t="s">
        <v>12</v>
      </c>
      <c r="E6" s="85">
        <v>61.6</v>
      </c>
      <c r="F6" s="86">
        <v>120</v>
      </c>
      <c r="G6" s="85">
        <v>66.3</v>
      </c>
      <c r="H6" s="86">
        <v>129.19999999999999</v>
      </c>
      <c r="I6" s="87">
        <v>53.1</v>
      </c>
      <c r="J6" s="88">
        <v>103.4</v>
      </c>
      <c r="K6" s="87">
        <v>6.6</v>
      </c>
      <c r="L6" s="88">
        <v>12.9</v>
      </c>
      <c r="M6" s="89"/>
      <c r="N6" s="89"/>
      <c r="O6" s="90"/>
      <c r="Q6" s="673" t="s">
        <v>60</v>
      </c>
      <c r="R6" s="591"/>
      <c r="S6" s="237">
        <v>71.3</v>
      </c>
      <c r="T6" s="100">
        <v>118.8</v>
      </c>
      <c r="U6" s="100">
        <v>118.8</v>
      </c>
      <c r="V6" s="236">
        <v>71.3</v>
      </c>
      <c r="W6" s="91">
        <f>S6+T6+U6+V6</f>
        <v>380.2</v>
      </c>
      <c r="X6" s="237">
        <v>30.8</v>
      </c>
      <c r="Y6" s="100">
        <v>82.8</v>
      </c>
      <c r="Z6" s="100">
        <v>82.8</v>
      </c>
      <c r="AA6" s="236">
        <v>47.5</v>
      </c>
      <c r="AB6" s="91">
        <f>X6+Y6+Z6+AA6</f>
        <v>243.89999999999998</v>
      </c>
      <c r="AC6" s="237">
        <v>30.8</v>
      </c>
      <c r="AD6" s="100">
        <v>77.8</v>
      </c>
      <c r="AE6" s="100">
        <v>77.8</v>
      </c>
      <c r="AF6" s="236">
        <v>44.9</v>
      </c>
      <c r="AG6" s="92">
        <f>AC6+AD6+AE6+AF6</f>
        <v>231.29999999999998</v>
      </c>
      <c r="AI6" s="673"/>
      <c r="AJ6" s="701"/>
      <c r="AK6" s="701"/>
      <c r="AL6" s="84">
        <v>1216</v>
      </c>
      <c r="AM6" s="84">
        <v>7216</v>
      </c>
      <c r="AN6" s="17">
        <f>'[1]Structural Information'!U6</f>
        <v>3</v>
      </c>
      <c r="AO6" s="17">
        <f>'[1]Structural Information'!T23/1000</f>
        <v>0.25</v>
      </c>
      <c r="AP6" s="45">
        <f t="shared" si="0"/>
        <v>1.29</v>
      </c>
      <c r="AQ6" s="25">
        <f>(0.08*AP6*1000+0.022*'[1]Structural Information'!$AE$18*'[1]Structural Information'!$W$24)/1000</f>
        <v>0.23414400000000002</v>
      </c>
      <c r="AR6" s="526">
        <f>AP6*E88/3</f>
        <v>6.7510000000000001E-3</v>
      </c>
      <c r="AS6" s="17">
        <v>36</v>
      </c>
      <c r="AT6" s="381">
        <f t="shared" si="1"/>
        <v>0.243036</v>
      </c>
      <c r="AU6" s="527">
        <f>AQ6*G88</f>
        <v>2.1424176E-2</v>
      </c>
      <c r="AV6" s="17">
        <v>38.799999999999997</v>
      </c>
      <c r="AW6" s="25">
        <f t="shared" si="2"/>
        <v>0.83125802879999988</v>
      </c>
      <c r="AX6" s="526">
        <f>AQ6*I88</f>
        <v>6.5490076800000005E-2</v>
      </c>
      <c r="AY6" s="17">
        <v>31</v>
      </c>
      <c r="AZ6" s="381">
        <f t="shared" si="3"/>
        <v>2.0301923808</v>
      </c>
      <c r="BA6" s="528">
        <f>AQ6*K88</f>
        <v>0.21967390080000002</v>
      </c>
      <c r="BB6" s="359">
        <v>3.9</v>
      </c>
      <c r="BC6" s="20">
        <f t="shared" ref="BC6:BC32" si="4">BA6*BB6</f>
        <v>0.85672821312000003</v>
      </c>
      <c r="BE6" s="97">
        <f>'System Capacities'!C34</f>
        <v>4</v>
      </c>
      <c r="BF6" s="613" t="str">
        <f>'System Capacities'!D34</f>
        <v>Column</v>
      </c>
      <c r="BG6" s="614"/>
      <c r="BH6" s="614"/>
      <c r="BI6" s="615"/>
      <c r="BJ6" s="68">
        <f>'System Capacities'!G34</f>
        <v>25.447513777167412</v>
      </c>
      <c r="BK6" s="68">
        <f>'Structural Information'!U8</f>
        <v>3</v>
      </c>
      <c r="BL6" s="82">
        <f>'System Capacities'!I34</f>
        <v>2.0066112110200067E-3</v>
      </c>
      <c r="BM6" s="83">
        <f>'System Capacities'!J34</f>
        <v>4227.278580825473</v>
      </c>
      <c r="BN6" s="482"/>
    </row>
    <row r="7" spans="2:77" x14ac:dyDescent="0.25">
      <c r="B7" s="695"/>
      <c r="C7" s="84">
        <v>5113</v>
      </c>
      <c r="D7" s="84" t="s">
        <v>12</v>
      </c>
      <c r="E7" s="85">
        <v>61.6</v>
      </c>
      <c r="F7" s="86">
        <v>120</v>
      </c>
      <c r="G7" s="85">
        <v>66.3</v>
      </c>
      <c r="H7" s="86">
        <v>129.19999999999999</v>
      </c>
      <c r="I7" s="87">
        <v>53.1</v>
      </c>
      <c r="J7" s="88">
        <v>103.4</v>
      </c>
      <c r="K7" s="87">
        <v>6.6</v>
      </c>
      <c r="L7" s="88">
        <v>12.9</v>
      </c>
      <c r="M7" s="89"/>
      <c r="N7" s="89"/>
      <c r="O7" s="90"/>
      <c r="Q7" s="711" t="s">
        <v>73</v>
      </c>
      <c r="R7" s="712"/>
      <c r="S7" s="713"/>
      <c r="T7" s="713"/>
      <c r="U7" s="713"/>
      <c r="V7" s="713"/>
      <c r="W7" s="712"/>
      <c r="X7" s="713"/>
      <c r="Y7" s="713"/>
      <c r="Z7" s="713"/>
      <c r="AA7" s="713"/>
      <c r="AB7" s="712"/>
      <c r="AC7" s="713"/>
      <c r="AD7" s="713"/>
      <c r="AE7" s="713"/>
      <c r="AF7" s="713"/>
      <c r="AG7" s="714"/>
      <c r="AI7" s="673"/>
      <c r="AJ7" s="701"/>
      <c r="AK7" s="701"/>
      <c r="AL7" s="84">
        <v>1316</v>
      </c>
      <c r="AM7" s="84">
        <v>7316</v>
      </c>
      <c r="AN7" s="17">
        <f>'[1]Structural Information'!U6</f>
        <v>3</v>
      </c>
      <c r="AO7" s="17">
        <f>'[1]Structural Information'!T23/1000</f>
        <v>0.25</v>
      </c>
      <c r="AP7" s="45">
        <f t="shared" si="0"/>
        <v>1.29</v>
      </c>
      <c r="AQ7" s="25">
        <f>(0.08*AP7*1000+0.022*'[1]Structural Information'!$AE$18*'[1]Structural Information'!$W$24)/1000</f>
        <v>0.23414400000000002</v>
      </c>
      <c r="AR7" s="526">
        <f>AP7*E94/3</f>
        <v>6.7510000000000001E-3</v>
      </c>
      <c r="AS7" s="17">
        <v>36</v>
      </c>
      <c r="AT7" s="381">
        <f t="shared" si="1"/>
        <v>0.243036</v>
      </c>
      <c r="AU7" s="527">
        <f>AQ7*G94</f>
        <v>2.1424176E-2</v>
      </c>
      <c r="AV7" s="17">
        <v>38.799999999999997</v>
      </c>
      <c r="AW7" s="25">
        <f t="shared" si="2"/>
        <v>0.83125802879999988</v>
      </c>
      <c r="AX7" s="526">
        <f>AQ7*I94</f>
        <v>6.5490076800000005E-2</v>
      </c>
      <c r="AY7" s="17">
        <v>31</v>
      </c>
      <c r="AZ7" s="381">
        <f t="shared" si="3"/>
        <v>2.0301923808</v>
      </c>
      <c r="BA7" s="528">
        <f>AQ7*K94</f>
        <v>0.21967390080000002</v>
      </c>
      <c r="BB7" s="359">
        <v>3.9</v>
      </c>
      <c r="BC7" s="20">
        <f t="shared" si="4"/>
        <v>0.85672821312000003</v>
      </c>
      <c r="BE7" s="97">
        <f>'System Capacities'!C35</f>
        <v>3</v>
      </c>
      <c r="BF7" s="613" t="str">
        <f>'System Capacities'!D35</f>
        <v>Column</v>
      </c>
      <c r="BG7" s="614"/>
      <c r="BH7" s="614"/>
      <c r="BI7" s="615"/>
      <c r="BJ7" s="68">
        <f>'System Capacities'!G35</f>
        <v>67.033560210219122</v>
      </c>
      <c r="BK7" s="68">
        <f>'Structural Information'!U9</f>
        <v>3</v>
      </c>
      <c r="BL7" s="82">
        <f>'System Capacities'!I35</f>
        <v>3.7308400584711251E-3</v>
      </c>
      <c r="BM7" s="83">
        <f>'System Capacities'!J35</f>
        <v>5989.1391000100084</v>
      </c>
      <c r="BN7" s="482"/>
    </row>
    <row r="8" spans="2:77" x14ac:dyDescent="0.25">
      <c r="B8" s="695"/>
      <c r="C8" s="84">
        <v>5114</v>
      </c>
      <c r="D8" s="84" t="s">
        <v>12</v>
      </c>
      <c r="E8" s="85">
        <v>61.6</v>
      </c>
      <c r="F8" s="86">
        <v>120</v>
      </c>
      <c r="G8" s="85">
        <v>66.3</v>
      </c>
      <c r="H8" s="86">
        <v>129.19999999999999</v>
      </c>
      <c r="I8" s="87">
        <v>53.1</v>
      </c>
      <c r="J8" s="88">
        <v>103.4</v>
      </c>
      <c r="K8" s="87">
        <v>6.6</v>
      </c>
      <c r="L8" s="88">
        <v>12.9</v>
      </c>
      <c r="M8" s="89"/>
      <c r="N8" s="89"/>
      <c r="O8" s="90"/>
      <c r="Q8" s="673" t="s">
        <v>9</v>
      </c>
      <c r="R8" s="580"/>
      <c r="S8" s="580">
        <v>4</v>
      </c>
      <c r="T8" s="580"/>
      <c r="U8" s="580"/>
      <c r="V8" s="580"/>
      <c r="W8" s="580"/>
      <c r="X8" s="580">
        <v>5</v>
      </c>
      <c r="Y8" s="580"/>
      <c r="Z8" s="580"/>
      <c r="AA8" s="580"/>
      <c r="AB8" s="580"/>
      <c r="AC8" s="580">
        <v>6</v>
      </c>
      <c r="AD8" s="580"/>
      <c r="AE8" s="580"/>
      <c r="AF8" s="580"/>
      <c r="AG8" s="674"/>
      <c r="AI8" s="673"/>
      <c r="AJ8" s="701"/>
      <c r="AK8" s="701"/>
      <c r="AL8" s="99">
        <v>1416</v>
      </c>
      <c r="AM8" s="99">
        <v>7416</v>
      </c>
      <c r="AN8" s="100">
        <f>'[1]Structural Information'!U6</f>
        <v>3</v>
      </c>
      <c r="AO8" s="100">
        <f>'[1]Structural Information'!T23/1000</f>
        <v>0.25</v>
      </c>
      <c r="AP8" s="101">
        <f t="shared" si="0"/>
        <v>1.29</v>
      </c>
      <c r="AQ8" s="102">
        <f>(0.08*AP8*1000+0.022*'[1]Structural Information'!$AE$18*'[1]Structural Information'!$W$24)/1000</f>
        <v>0.23414400000000002</v>
      </c>
      <c r="AR8" s="529">
        <f>AP8*E100/3</f>
        <v>6.7510000000000001E-3</v>
      </c>
      <c r="AS8" s="100">
        <v>30.8</v>
      </c>
      <c r="AT8" s="530">
        <f t="shared" si="1"/>
        <v>0.2079308</v>
      </c>
      <c r="AU8" s="531">
        <f>AQ8*G100</f>
        <v>2.1236860800000004E-2</v>
      </c>
      <c r="AV8" s="100">
        <v>33.1</v>
      </c>
      <c r="AW8" s="102">
        <f t="shared" si="2"/>
        <v>0.70294009248000011</v>
      </c>
      <c r="AX8" s="529">
        <f>AQ8*I100</f>
        <v>6.5653977599999996E-2</v>
      </c>
      <c r="AY8" s="100">
        <v>26.5</v>
      </c>
      <c r="AZ8" s="530">
        <f t="shared" si="3"/>
        <v>1.7398304063999999</v>
      </c>
      <c r="BA8" s="528">
        <f>AQ8*K100</f>
        <v>0.22112559360000003</v>
      </c>
      <c r="BB8" s="359">
        <v>3.3</v>
      </c>
      <c r="BC8" s="20">
        <f t="shared" si="4"/>
        <v>0.72971445888000008</v>
      </c>
      <c r="BE8" s="97">
        <f>'System Capacities'!C36</f>
        <v>2</v>
      </c>
      <c r="BF8" s="613" t="str">
        <f>'System Capacities'!D36</f>
        <v>Column</v>
      </c>
      <c r="BG8" s="614"/>
      <c r="BH8" s="614"/>
      <c r="BI8" s="615"/>
      <c r="BJ8" s="68">
        <f>'System Capacities'!G36</f>
        <v>17.466666666666669</v>
      </c>
      <c r="BK8" s="68">
        <f>'Structural Information'!U10</f>
        <v>3</v>
      </c>
      <c r="BL8" s="82">
        <f>'System Capacities'!I36</f>
        <v>8.3446945222873076E-2</v>
      </c>
      <c r="BM8" s="83">
        <f>'System Capacities'!J36</f>
        <v>-815.42836940679661</v>
      </c>
      <c r="BN8" s="482"/>
    </row>
    <row r="9" spans="2:77" ht="16.5" thickBot="1" x14ac:dyDescent="0.3">
      <c r="B9" s="695"/>
      <c r="C9" s="84">
        <v>5115</v>
      </c>
      <c r="D9" s="84" t="s">
        <v>12</v>
      </c>
      <c r="E9" s="85">
        <v>61.6</v>
      </c>
      <c r="F9" s="86">
        <v>120</v>
      </c>
      <c r="G9" s="85">
        <v>66.3</v>
      </c>
      <c r="H9" s="86">
        <v>129.19999999999999</v>
      </c>
      <c r="I9" s="87">
        <v>53.1</v>
      </c>
      <c r="J9" s="88">
        <v>103.4</v>
      </c>
      <c r="K9" s="87">
        <v>6.6</v>
      </c>
      <c r="L9" s="88">
        <v>12.9</v>
      </c>
      <c r="M9" s="89"/>
      <c r="N9" s="89"/>
      <c r="O9" s="90"/>
      <c r="Q9" s="673" t="s">
        <v>42</v>
      </c>
      <c r="R9" s="580"/>
      <c r="S9" s="77" t="s">
        <v>55</v>
      </c>
      <c r="T9" s="77" t="s">
        <v>56</v>
      </c>
      <c r="U9" s="77" t="s">
        <v>57</v>
      </c>
      <c r="V9" s="77" t="s">
        <v>58</v>
      </c>
      <c r="W9" s="78" t="s">
        <v>62</v>
      </c>
      <c r="X9" s="77" t="s">
        <v>65</v>
      </c>
      <c r="Y9" s="77" t="s">
        <v>66</v>
      </c>
      <c r="Z9" s="77" t="s">
        <v>67</v>
      </c>
      <c r="AA9" s="77" t="s">
        <v>68</v>
      </c>
      <c r="AB9" s="78" t="s">
        <v>62</v>
      </c>
      <c r="AC9" s="77" t="s">
        <v>69</v>
      </c>
      <c r="AD9" s="77" t="s">
        <v>70</v>
      </c>
      <c r="AE9" s="77" t="s">
        <v>71</v>
      </c>
      <c r="AF9" s="77" t="s">
        <v>72</v>
      </c>
      <c r="AG9" s="79" t="s">
        <v>62</v>
      </c>
      <c r="AI9" s="673">
        <v>5</v>
      </c>
      <c r="AJ9" s="701" t="s">
        <v>42</v>
      </c>
      <c r="AK9" s="701"/>
      <c r="AL9" s="84">
        <v>1115</v>
      </c>
      <c r="AM9" s="84">
        <v>7116</v>
      </c>
      <c r="AN9" s="17">
        <f>'[1]Structural Information'!U7</f>
        <v>3</v>
      </c>
      <c r="AO9" s="17">
        <f>'[1]Structural Information'!T23/1000</f>
        <v>0.25</v>
      </c>
      <c r="AP9" s="95">
        <f t="shared" si="0"/>
        <v>1.29</v>
      </c>
      <c r="AQ9" s="96">
        <f>(0.08*AP9*1000+0.022*'[1]Structural Information'!$AE$18*'[1]Structural Information'!$W$24)/1000</f>
        <v>0.23414400000000002</v>
      </c>
      <c r="AR9" s="526">
        <f>AP9*'[1]Structural Information'!$AE$24/AO9</f>
        <v>9.5976000000000013E-3</v>
      </c>
      <c r="AS9" s="17">
        <v>36.4</v>
      </c>
      <c r="AT9" s="381">
        <f t="shared" si="1"/>
        <v>0.34935264000000005</v>
      </c>
      <c r="AU9" s="524">
        <f>AQ9*G81</f>
        <v>2.1986121600000002E-2</v>
      </c>
      <c r="AV9" s="17">
        <v>39.200000000000003</v>
      </c>
      <c r="AW9" s="25">
        <f t="shared" si="2"/>
        <v>0.86185596672000009</v>
      </c>
      <c r="AX9" s="526">
        <f>AQ9*I81</f>
        <v>6.4904716800000012E-2</v>
      </c>
      <c r="AY9" s="17">
        <v>31.3</v>
      </c>
      <c r="AZ9" s="25">
        <f t="shared" si="3"/>
        <v>2.0315176358400002</v>
      </c>
      <c r="BA9" s="532">
        <f>AQ9*K81</f>
        <v>0.21503784960000003</v>
      </c>
      <c r="BB9" s="496">
        <v>3.9</v>
      </c>
      <c r="BC9" s="176">
        <f t="shared" si="4"/>
        <v>0.83864761344000005</v>
      </c>
      <c r="BE9" s="103">
        <f>'System Capacities'!C37</f>
        <v>1</v>
      </c>
      <c r="BF9" s="616" t="str">
        <f>'System Capacities'!D37</f>
        <v>Column</v>
      </c>
      <c r="BG9" s="617"/>
      <c r="BH9" s="617"/>
      <c r="BI9" s="618"/>
      <c r="BJ9" s="104">
        <f>'System Capacities'!G37</f>
        <v>200.38802480659299</v>
      </c>
      <c r="BK9" s="104">
        <f>'Structural Information'!U11</f>
        <v>2.75</v>
      </c>
      <c r="BL9" s="105">
        <f>'System Capacities'!I37</f>
        <v>4.3055098348240197E-3</v>
      </c>
      <c r="BM9" s="106">
        <f>'System Capacities'!J37</f>
        <v>16924.446918589209</v>
      </c>
      <c r="BN9" s="482"/>
    </row>
    <row r="10" spans="2:77" ht="16.5" thickBot="1" x14ac:dyDescent="0.3">
      <c r="B10" s="703"/>
      <c r="C10" s="99">
        <v>5116</v>
      </c>
      <c r="D10" s="99" t="s">
        <v>12</v>
      </c>
      <c r="E10" s="107">
        <v>61.6</v>
      </c>
      <c r="F10" s="108">
        <v>120</v>
      </c>
      <c r="G10" s="107">
        <v>66.3</v>
      </c>
      <c r="H10" s="108">
        <v>129.19999999999999</v>
      </c>
      <c r="I10" s="109">
        <v>53.1</v>
      </c>
      <c r="J10" s="110">
        <v>103.4</v>
      </c>
      <c r="K10" s="109">
        <v>6.6</v>
      </c>
      <c r="L10" s="110">
        <v>12.9</v>
      </c>
      <c r="M10" s="111"/>
      <c r="N10" s="111"/>
      <c r="O10" s="112"/>
      <c r="Q10" s="673" t="s">
        <v>61</v>
      </c>
      <c r="R10" s="591"/>
      <c r="S10" s="206">
        <v>30.8</v>
      </c>
      <c r="T10" s="94">
        <v>49.6</v>
      </c>
      <c r="U10" s="94">
        <v>49.6</v>
      </c>
      <c r="V10" s="205">
        <v>41.5</v>
      </c>
      <c r="W10" s="91">
        <f>S10+T10+U10+V10</f>
        <v>171.5</v>
      </c>
      <c r="X10" s="206">
        <v>30.8</v>
      </c>
      <c r="Y10" s="94">
        <v>44.7</v>
      </c>
      <c r="Z10" s="94">
        <v>44.7</v>
      </c>
      <c r="AA10" s="205">
        <v>36.4</v>
      </c>
      <c r="AB10" s="91">
        <f>X10+Y10+Z10+AA10</f>
        <v>156.6</v>
      </c>
      <c r="AC10" s="206">
        <v>30.6</v>
      </c>
      <c r="AD10" s="94">
        <v>36</v>
      </c>
      <c r="AE10" s="94">
        <v>36</v>
      </c>
      <c r="AF10" s="205">
        <v>30.8</v>
      </c>
      <c r="AG10" s="92">
        <f>AC10+AD10+AE10+AF10</f>
        <v>133.4</v>
      </c>
      <c r="AI10" s="673"/>
      <c r="AJ10" s="701"/>
      <c r="AK10" s="701"/>
      <c r="AL10" s="84">
        <v>1215</v>
      </c>
      <c r="AM10" s="84">
        <v>7216</v>
      </c>
      <c r="AN10" s="17">
        <f>'[1]Structural Information'!U7</f>
        <v>3</v>
      </c>
      <c r="AO10" s="17">
        <f>'[1]Structural Information'!T23/1000</f>
        <v>0.25</v>
      </c>
      <c r="AP10" s="45">
        <f t="shared" si="0"/>
        <v>1.29</v>
      </c>
      <c r="AQ10" s="25">
        <f>(0.08*AP10*1000+0.022*'[1]Structural Information'!$AE$18*'[1]Structural Information'!$W$24)/1000</f>
        <v>0.23414400000000002</v>
      </c>
      <c r="AR10" s="526">
        <f>AP10*'[1]Structural Information'!$AE$24/AO10</f>
        <v>9.5976000000000013E-3</v>
      </c>
      <c r="AS10" s="17">
        <v>44.7</v>
      </c>
      <c r="AT10" s="381">
        <f t="shared" si="1"/>
        <v>0.42901272000000007</v>
      </c>
      <c r="AU10" s="527">
        <f>AQ10*G87</f>
        <v>2.3156841600000002E-2</v>
      </c>
      <c r="AV10" s="17">
        <v>48.1</v>
      </c>
      <c r="AW10" s="25">
        <f t="shared" si="2"/>
        <v>1.1138440809600001</v>
      </c>
      <c r="AX10" s="526">
        <f>AQ10*I87</f>
        <v>4.6781971200000008E-2</v>
      </c>
      <c r="AY10" s="17">
        <v>38.5</v>
      </c>
      <c r="AZ10" s="25">
        <f t="shared" si="3"/>
        <v>1.8011058912000004</v>
      </c>
      <c r="BA10" s="533">
        <f>AQ10*K87</f>
        <v>0.12950504640000002</v>
      </c>
      <c r="BB10" s="359">
        <v>4.8</v>
      </c>
      <c r="BC10" s="20">
        <f t="shared" si="4"/>
        <v>0.62162422272000006</v>
      </c>
    </row>
    <row r="11" spans="2:77" ht="16.5" customHeight="1" thickBot="1" x14ac:dyDescent="0.3">
      <c r="B11" s="694">
        <v>2</v>
      </c>
      <c r="C11" s="93">
        <v>5211</v>
      </c>
      <c r="D11" s="93" t="s">
        <v>12</v>
      </c>
      <c r="E11" s="113">
        <v>61.6</v>
      </c>
      <c r="F11" s="114">
        <v>120</v>
      </c>
      <c r="G11" s="113">
        <v>66.3</v>
      </c>
      <c r="H11" s="114">
        <v>129.19999999999999</v>
      </c>
      <c r="I11" s="115">
        <v>53.1</v>
      </c>
      <c r="J11" s="116">
        <v>103.4</v>
      </c>
      <c r="K11" s="115">
        <v>6.6</v>
      </c>
      <c r="L11" s="116">
        <v>12.9</v>
      </c>
      <c r="M11" s="117"/>
      <c r="N11" s="117"/>
      <c r="O11" s="118"/>
      <c r="Q11" s="675" t="s">
        <v>60</v>
      </c>
      <c r="R11" s="676"/>
      <c r="S11" s="31">
        <v>30.8</v>
      </c>
      <c r="T11" s="30">
        <v>49.6</v>
      </c>
      <c r="U11" s="30">
        <v>49.6</v>
      </c>
      <c r="V11" s="280">
        <v>41.5</v>
      </c>
      <c r="W11" s="119">
        <f>S11+T11+U11+V11</f>
        <v>171.5</v>
      </c>
      <c r="X11" s="31">
        <f>S10</f>
        <v>30.8</v>
      </c>
      <c r="Y11" s="30">
        <v>44.7</v>
      </c>
      <c r="Z11" s="30">
        <v>44.7</v>
      </c>
      <c r="AA11" s="280">
        <v>36.4</v>
      </c>
      <c r="AB11" s="119">
        <f>X11+Y11+Z11+AA11</f>
        <v>156.6</v>
      </c>
      <c r="AC11" s="31">
        <v>30.6</v>
      </c>
      <c r="AD11" s="30">
        <v>36</v>
      </c>
      <c r="AE11" s="30">
        <v>36</v>
      </c>
      <c r="AF11" s="280">
        <v>30.8</v>
      </c>
      <c r="AG11" s="120">
        <f>AC11+AD11+AE11+AF11</f>
        <v>133.4</v>
      </c>
      <c r="AI11" s="673"/>
      <c r="AJ11" s="701"/>
      <c r="AK11" s="701"/>
      <c r="AL11" s="84">
        <v>1315</v>
      </c>
      <c r="AM11" s="84">
        <v>7316</v>
      </c>
      <c r="AN11" s="17">
        <f>'[1]Structural Information'!U7</f>
        <v>3</v>
      </c>
      <c r="AO11" s="17">
        <f>'[1]Structural Information'!T23/1000</f>
        <v>0.25</v>
      </c>
      <c r="AP11" s="45">
        <f t="shared" si="0"/>
        <v>1.29</v>
      </c>
      <c r="AQ11" s="25">
        <f>(0.08*AP11*1000+0.022*'[1]Structural Information'!$AE$18*'[1]Structural Information'!$W$24)/1000</f>
        <v>0.23414400000000002</v>
      </c>
      <c r="AR11" s="526">
        <f>AP11*'[1]Structural Information'!$AE$24/AO11</f>
        <v>9.5976000000000013E-3</v>
      </c>
      <c r="AS11" s="17">
        <v>44.7</v>
      </c>
      <c r="AT11" s="381">
        <f t="shared" si="1"/>
        <v>0.42901272000000007</v>
      </c>
      <c r="AU11" s="527">
        <f>AQ11*G93</f>
        <v>2.3156841600000002E-2</v>
      </c>
      <c r="AV11" s="17">
        <v>48.1</v>
      </c>
      <c r="AW11" s="25">
        <f t="shared" si="2"/>
        <v>1.1138440809600001</v>
      </c>
      <c r="AX11" s="526">
        <f>AQ11*I93</f>
        <v>4.6781971200000008E-2</v>
      </c>
      <c r="AY11" s="17">
        <v>38.5</v>
      </c>
      <c r="AZ11" s="25">
        <f t="shared" si="3"/>
        <v>1.8011058912000004</v>
      </c>
      <c r="BA11" s="533">
        <f>AQ11*K93</f>
        <v>0.12950504640000002</v>
      </c>
      <c r="BB11" s="359">
        <v>4.8</v>
      </c>
      <c r="BC11" s="20">
        <f t="shared" si="4"/>
        <v>0.62162422272000006</v>
      </c>
      <c r="BE11" s="604" t="s">
        <v>324</v>
      </c>
      <c r="BF11" s="605"/>
      <c r="BG11" s="605"/>
      <c r="BH11" s="605"/>
      <c r="BI11" s="605"/>
      <c r="BJ11" s="605"/>
      <c r="BK11" s="606"/>
      <c r="BL11" s="607" t="s">
        <v>325</v>
      </c>
      <c r="BM11" s="608"/>
      <c r="BN11" s="608"/>
      <c r="BO11" s="608"/>
      <c r="BP11" s="608"/>
      <c r="BQ11" s="608"/>
      <c r="BR11" s="609"/>
      <c r="BS11" s="610" t="s">
        <v>323</v>
      </c>
      <c r="BT11" s="611"/>
      <c r="BU11" s="611"/>
      <c r="BV11" s="611"/>
      <c r="BW11" s="611"/>
      <c r="BX11" s="611"/>
      <c r="BY11" s="612"/>
    </row>
    <row r="12" spans="2:77" ht="16.5" thickBot="1" x14ac:dyDescent="0.3">
      <c r="B12" s="695"/>
      <c r="C12" s="84">
        <v>5212</v>
      </c>
      <c r="D12" s="84" t="s">
        <v>12</v>
      </c>
      <c r="E12" s="85">
        <v>61.6</v>
      </c>
      <c r="F12" s="86">
        <v>120</v>
      </c>
      <c r="G12" s="85">
        <v>66.3</v>
      </c>
      <c r="H12" s="86">
        <v>129.19999999999999</v>
      </c>
      <c r="I12" s="87">
        <v>53.1</v>
      </c>
      <c r="J12" s="88">
        <v>103.4</v>
      </c>
      <c r="K12" s="87">
        <v>6.6</v>
      </c>
      <c r="L12" s="88">
        <v>12.9</v>
      </c>
      <c r="M12" s="89"/>
      <c r="N12" s="89"/>
      <c r="O12" s="90"/>
      <c r="AI12" s="673"/>
      <c r="AJ12" s="701"/>
      <c r="AK12" s="701"/>
      <c r="AL12" s="84">
        <v>1415</v>
      </c>
      <c r="AM12" s="84">
        <v>7416</v>
      </c>
      <c r="AN12" s="17">
        <f>'[1]Structural Information'!U7</f>
        <v>3</v>
      </c>
      <c r="AO12" s="17">
        <f>'[1]Structural Information'!T23/1000</f>
        <v>0.25</v>
      </c>
      <c r="AP12" s="101">
        <f t="shared" si="0"/>
        <v>1.29</v>
      </c>
      <c r="AQ12" s="102">
        <f>(0.08*AP12*1000+0.022*'[1]Structural Information'!$AE$18*'[1]Structural Information'!$W$24)/1000</f>
        <v>0.23414400000000002</v>
      </c>
      <c r="AR12" s="526">
        <f>AP12*'[1]Structural Information'!$AE$24/AO12</f>
        <v>9.5976000000000013E-3</v>
      </c>
      <c r="AS12" s="17">
        <v>36.4</v>
      </c>
      <c r="AT12" s="381">
        <f t="shared" si="1"/>
        <v>0.34935264000000005</v>
      </c>
      <c r="AU12" s="531">
        <f>AQ12*G99</f>
        <v>2.1986121600000002E-2</v>
      </c>
      <c r="AV12" s="17">
        <v>39.200000000000003</v>
      </c>
      <c r="AW12" s="25">
        <f t="shared" si="2"/>
        <v>0.86185596672000009</v>
      </c>
      <c r="AX12" s="526">
        <f>AQ12*I99</f>
        <v>6.4904716800000012E-2</v>
      </c>
      <c r="AY12" s="17">
        <v>31.3</v>
      </c>
      <c r="AZ12" s="25">
        <f t="shared" si="3"/>
        <v>2.0315176358400002</v>
      </c>
      <c r="BA12" s="534">
        <f>AQ12*K99</f>
        <v>0.21503784960000003</v>
      </c>
      <c r="BB12" s="516">
        <v>3.9</v>
      </c>
      <c r="BC12" s="143">
        <f t="shared" si="4"/>
        <v>0.83864761344000005</v>
      </c>
      <c r="BE12" s="656" t="s">
        <v>216</v>
      </c>
      <c r="BF12" s="658" t="s">
        <v>212</v>
      </c>
      <c r="BG12" s="660" t="s">
        <v>213</v>
      </c>
      <c r="BH12" s="660" t="s">
        <v>214</v>
      </c>
      <c r="BI12" s="660" t="s">
        <v>215</v>
      </c>
      <c r="BJ12" s="619" t="s">
        <v>436</v>
      </c>
      <c r="BK12" s="625" t="s">
        <v>465</v>
      </c>
      <c r="BL12" s="662" t="s">
        <v>247</v>
      </c>
      <c r="BM12" s="664" t="s">
        <v>212</v>
      </c>
      <c r="BN12" s="666" t="s">
        <v>213</v>
      </c>
      <c r="BO12" s="666" t="s">
        <v>214</v>
      </c>
      <c r="BP12" s="666" t="s">
        <v>215</v>
      </c>
      <c r="BQ12" s="621" t="s">
        <v>436</v>
      </c>
      <c r="BR12" s="627" t="s">
        <v>465</v>
      </c>
      <c r="BS12" s="668" t="s">
        <v>326</v>
      </c>
      <c r="BT12" s="637" t="s">
        <v>212</v>
      </c>
      <c r="BU12" s="639" t="s">
        <v>213</v>
      </c>
      <c r="BV12" s="639" t="s">
        <v>214</v>
      </c>
      <c r="BW12" s="639" t="s">
        <v>215</v>
      </c>
      <c r="BX12" s="623" t="s">
        <v>436</v>
      </c>
      <c r="BY12" s="602" t="s">
        <v>465</v>
      </c>
    </row>
    <row r="13" spans="2:77" x14ac:dyDescent="0.25">
      <c r="B13" s="695"/>
      <c r="C13" s="84">
        <v>5213</v>
      </c>
      <c r="D13" s="84" t="s">
        <v>12</v>
      </c>
      <c r="E13" s="85">
        <v>61.6</v>
      </c>
      <c r="F13" s="86">
        <v>120</v>
      </c>
      <c r="G13" s="85">
        <v>66.3</v>
      </c>
      <c r="H13" s="86">
        <v>129.19999999999999</v>
      </c>
      <c r="I13" s="87">
        <v>53.1</v>
      </c>
      <c r="J13" s="88">
        <v>103.4</v>
      </c>
      <c r="K13" s="87">
        <v>6.6</v>
      </c>
      <c r="L13" s="88">
        <v>12.9</v>
      </c>
      <c r="M13" s="89"/>
      <c r="N13" s="89"/>
      <c r="O13" s="90"/>
      <c r="Q13" s="704" t="s">
        <v>228</v>
      </c>
      <c r="R13" s="705"/>
      <c r="S13" s="705"/>
      <c r="T13" s="705"/>
      <c r="U13" s="705"/>
      <c r="V13" s="705"/>
      <c r="W13" s="705"/>
      <c r="X13" s="705"/>
      <c r="Y13" s="705"/>
      <c r="Z13" s="705"/>
      <c r="AA13" s="705"/>
      <c r="AB13" s="705"/>
      <c r="AC13" s="705"/>
      <c r="AD13" s="705"/>
      <c r="AE13" s="705"/>
      <c r="AF13" s="705"/>
      <c r="AG13" s="706"/>
      <c r="AI13" s="673">
        <v>4</v>
      </c>
      <c r="AJ13" s="701" t="s">
        <v>42</v>
      </c>
      <c r="AK13" s="701"/>
      <c r="AL13" s="93">
        <v>1114</v>
      </c>
      <c r="AM13" s="93">
        <v>7115</v>
      </c>
      <c r="AN13" s="94">
        <f>'[1]Structural Information'!U8</f>
        <v>3</v>
      </c>
      <c r="AO13" s="94">
        <f>'[1]Structural Information'!T23/1000</f>
        <v>0.25</v>
      </c>
      <c r="AP13" s="95">
        <f t="shared" si="0"/>
        <v>1.29</v>
      </c>
      <c r="AQ13" s="96">
        <f>(0.08*AP13*1000+0.022*'[1]Structural Information'!$AE$18*'[1]Structural Information'!$W$24)/1000</f>
        <v>0.23414400000000002</v>
      </c>
      <c r="AR13" s="522">
        <f>AP13*'[1]Structural Information'!$AE$24/AO13</f>
        <v>9.5976000000000013E-3</v>
      </c>
      <c r="AS13" s="94">
        <v>41.5</v>
      </c>
      <c r="AT13" s="523">
        <f t="shared" si="1"/>
        <v>0.39830040000000005</v>
      </c>
      <c r="AU13" s="524">
        <f>AQ13*G80</f>
        <v>2.5357795200000002E-2</v>
      </c>
      <c r="AV13" s="94">
        <v>44.7</v>
      </c>
      <c r="AW13" s="96">
        <f t="shared" si="2"/>
        <v>1.1334934454400001</v>
      </c>
      <c r="AX13" s="522">
        <f>AQ13*I80</f>
        <v>5.5538956800000004E-2</v>
      </c>
      <c r="AY13" s="94">
        <v>35.799999999999997</v>
      </c>
      <c r="AZ13" s="523">
        <f t="shared" si="3"/>
        <v>1.9882946534399999</v>
      </c>
      <c r="BA13" s="528">
        <f>AQ13*K80</f>
        <v>0.1612315584</v>
      </c>
      <c r="BB13" s="359">
        <v>4.5</v>
      </c>
      <c r="BC13" s="20">
        <f t="shared" si="4"/>
        <v>0.72554201279999997</v>
      </c>
      <c r="BE13" s="657"/>
      <c r="BF13" s="659"/>
      <c r="BG13" s="661"/>
      <c r="BH13" s="661"/>
      <c r="BI13" s="661"/>
      <c r="BJ13" s="620"/>
      <c r="BK13" s="626"/>
      <c r="BL13" s="663"/>
      <c r="BM13" s="665"/>
      <c r="BN13" s="667"/>
      <c r="BO13" s="667"/>
      <c r="BP13" s="667"/>
      <c r="BQ13" s="622"/>
      <c r="BR13" s="628"/>
      <c r="BS13" s="669"/>
      <c r="BT13" s="638"/>
      <c r="BU13" s="640"/>
      <c r="BV13" s="640"/>
      <c r="BW13" s="640"/>
      <c r="BX13" s="624"/>
      <c r="BY13" s="603"/>
    </row>
    <row r="14" spans="2:77" x14ac:dyDescent="0.25">
      <c r="B14" s="695"/>
      <c r="C14" s="84">
        <v>5214</v>
      </c>
      <c r="D14" s="84" t="s">
        <v>12</v>
      </c>
      <c r="E14" s="85">
        <v>61.6</v>
      </c>
      <c r="F14" s="86">
        <v>120</v>
      </c>
      <c r="G14" s="85">
        <v>66.3</v>
      </c>
      <c r="H14" s="86">
        <v>129.19999999999999</v>
      </c>
      <c r="I14" s="87">
        <v>53.1</v>
      </c>
      <c r="J14" s="88">
        <v>103.4</v>
      </c>
      <c r="K14" s="87">
        <v>6.6</v>
      </c>
      <c r="L14" s="88">
        <v>12.9</v>
      </c>
      <c r="M14" s="89"/>
      <c r="N14" s="89"/>
      <c r="O14" s="90"/>
      <c r="Q14" s="673" t="s">
        <v>9</v>
      </c>
      <c r="R14" s="580"/>
      <c r="S14" s="580">
        <v>1</v>
      </c>
      <c r="T14" s="580"/>
      <c r="U14" s="580"/>
      <c r="V14" s="580"/>
      <c r="W14" s="580"/>
      <c r="X14" s="580">
        <v>2</v>
      </c>
      <c r="Y14" s="580"/>
      <c r="Z14" s="580"/>
      <c r="AA14" s="580"/>
      <c r="AB14" s="580"/>
      <c r="AC14" s="580">
        <v>3</v>
      </c>
      <c r="AD14" s="580"/>
      <c r="AE14" s="580"/>
      <c r="AF14" s="580"/>
      <c r="AG14" s="674"/>
      <c r="AI14" s="673"/>
      <c r="AJ14" s="701"/>
      <c r="AK14" s="701"/>
      <c r="AL14" s="84">
        <v>1214</v>
      </c>
      <c r="AM14" s="84">
        <v>7215</v>
      </c>
      <c r="AN14" s="17">
        <f>'[1]Structural Information'!U8</f>
        <v>3</v>
      </c>
      <c r="AO14" s="17">
        <f>'[1]Structural Information'!T23/1000</f>
        <v>0.25</v>
      </c>
      <c r="AP14" s="45">
        <f t="shared" si="0"/>
        <v>1.29</v>
      </c>
      <c r="AQ14" s="25">
        <f>(0.08*AP14*1000+0.022*'[1]Structural Information'!$AE$18*'[1]Structural Information'!$W$24)/1000</f>
        <v>0.23414400000000002</v>
      </c>
      <c r="AR14" s="526">
        <f>AP14*'[1]Structural Information'!$AE$24/AO14</f>
        <v>9.5976000000000013E-3</v>
      </c>
      <c r="AS14" s="17">
        <v>49.6</v>
      </c>
      <c r="AT14" s="381">
        <f t="shared" si="1"/>
        <v>0.47604096000000007</v>
      </c>
      <c r="AU14" s="527">
        <f>AQ14*G86</f>
        <v>2.3484643200000002E-2</v>
      </c>
      <c r="AV14" s="17">
        <v>53.4</v>
      </c>
      <c r="AW14" s="25">
        <f t="shared" si="2"/>
        <v>1.2540799468800001</v>
      </c>
      <c r="AX14" s="526">
        <f>AQ14*I86</f>
        <v>3.9640579200000005E-2</v>
      </c>
      <c r="AY14" s="17">
        <v>42.7</v>
      </c>
      <c r="AZ14" s="381">
        <f t="shared" si="3"/>
        <v>1.6926527318400004</v>
      </c>
      <c r="BA14" s="528">
        <f>AQ14*K86</f>
        <v>9.6139526400000008E-2</v>
      </c>
      <c r="BB14" s="359">
        <v>5.3</v>
      </c>
      <c r="BC14" s="20">
        <f t="shared" si="4"/>
        <v>0.50953948991999998</v>
      </c>
      <c r="BE14" s="46" t="s">
        <v>344</v>
      </c>
      <c r="BF14" s="70">
        <f>(AG10+AG11)/$BK4</f>
        <v>88.933333333333337</v>
      </c>
      <c r="BG14" s="70">
        <f>(AG21+AG22)/$BK4</f>
        <v>95.866666666666674</v>
      </c>
      <c r="BH14" s="70">
        <f>(AG32+AG33)/$BK4</f>
        <v>76.666666666666671</v>
      </c>
      <c r="BI14" s="70">
        <f>(AG43+AG44)/$BK4</f>
        <v>9.6</v>
      </c>
      <c r="BJ14" s="70">
        <f>BI14</f>
        <v>9.6</v>
      </c>
      <c r="BK14" s="227">
        <v>10.57254973689585</v>
      </c>
      <c r="BL14" s="46" t="s">
        <v>314</v>
      </c>
      <c r="BM14" s="70">
        <f t="shared" ref="BM14:BM19" si="5">(BF14)/((BT14)*$BK4)</f>
        <v>3566.500150238754</v>
      </c>
      <c r="BN14" s="70">
        <f t="shared" ref="BN14:BP19" si="6">(BG14-BF14)/((BU14-BT14)*$BK4)</f>
        <v>168.26210879707884</v>
      </c>
      <c r="BO14" s="70">
        <f t="shared" si="6"/>
        <v>-169.8731033296591</v>
      </c>
      <c r="BP14" s="70">
        <f t="shared" si="6"/>
        <v>-169.49511542081925</v>
      </c>
      <c r="BQ14" s="70">
        <v>0</v>
      </c>
      <c r="BR14" s="227">
        <f>BM14</f>
        <v>3566.500150238754</v>
      </c>
      <c r="BS14" s="46" t="s">
        <v>350</v>
      </c>
      <c r="BT14" s="61">
        <f>(SUM(AT5:AT8)+SUM(AT9:AT12))/(SUM(AS5:AS8)+SUM(AS9:AS12))</f>
        <v>8.3119145368492249E-3</v>
      </c>
      <c r="BU14" s="61">
        <f>(SUM(AW5:AW8)+SUM(AW9:AW12))/(SUM(AV5:AV8)+SUM(AV9:AV12))</f>
        <v>2.2047099051256281E-2</v>
      </c>
      <c r="BV14" s="61">
        <f>(SUM(AZ5:AZ8)+SUM(AZ9:AZ12))/(SUM(AY5:AY8)+SUM(AY9:AY12))</f>
        <v>5.9722280551767482E-2</v>
      </c>
      <c r="BW14" s="61">
        <f>(SUM(BC5:BC8)+SUM(BC9:BC12))/(SUM(BB5:BB8)+SUM(BB9:BB12))</f>
        <v>0.19161726466415097</v>
      </c>
      <c r="BX14" s="25">
        <v>0.2</v>
      </c>
      <c r="BY14" s="485">
        <v>9.8813489336206217E-4</v>
      </c>
    </row>
    <row r="15" spans="2:77" x14ac:dyDescent="0.25">
      <c r="B15" s="695"/>
      <c r="C15" s="84">
        <v>5215</v>
      </c>
      <c r="D15" s="84" t="s">
        <v>12</v>
      </c>
      <c r="E15" s="85">
        <v>61.6</v>
      </c>
      <c r="F15" s="86">
        <v>120</v>
      </c>
      <c r="G15" s="85">
        <v>66.3</v>
      </c>
      <c r="H15" s="86">
        <v>129.19999999999999</v>
      </c>
      <c r="I15" s="87">
        <v>53.1</v>
      </c>
      <c r="J15" s="88">
        <v>103.4</v>
      </c>
      <c r="K15" s="87">
        <v>6.6</v>
      </c>
      <c r="L15" s="88">
        <v>12.9</v>
      </c>
      <c r="M15" s="89"/>
      <c r="N15" s="89"/>
      <c r="O15" s="90"/>
      <c r="Q15" s="673" t="s">
        <v>42</v>
      </c>
      <c r="R15" s="580"/>
      <c r="S15" s="77" t="s">
        <v>43</v>
      </c>
      <c r="T15" s="77" t="s">
        <v>44</v>
      </c>
      <c r="U15" s="77" t="s">
        <v>45</v>
      </c>
      <c r="V15" s="77" t="s">
        <v>46</v>
      </c>
      <c r="W15" s="78" t="s">
        <v>62</v>
      </c>
      <c r="X15" s="77" t="s">
        <v>47</v>
      </c>
      <c r="Y15" s="77" t="s">
        <v>48</v>
      </c>
      <c r="Z15" s="77" t="s">
        <v>49</v>
      </c>
      <c r="AA15" s="77" t="s">
        <v>50</v>
      </c>
      <c r="AB15" s="78" t="s">
        <v>62</v>
      </c>
      <c r="AC15" s="77" t="s">
        <v>51</v>
      </c>
      <c r="AD15" s="77" t="s">
        <v>52</v>
      </c>
      <c r="AE15" s="77" t="s">
        <v>53</v>
      </c>
      <c r="AF15" s="77" t="s">
        <v>54</v>
      </c>
      <c r="AG15" s="79" t="s">
        <v>62</v>
      </c>
      <c r="AI15" s="673"/>
      <c r="AJ15" s="701"/>
      <c r="AK15" s="701"/>
      <c r="AL15" s="84">
        <v>1314</v>
      </c>
      <c r="AM15" s="84">
        <v>7315</v>
      </c>
      <c r="AN15" s="17">
        <f>'[1]Structural Information'!U8</f>
        <v>3</v>
      </c>
      <c r="AO15" s="17">
        <f>'[1]Structural Information'!T23/1000</f>
        <v>0.25</v>
      </c>
      <c r="AP15" s="45">
        <f t="shared" si="0"/>
        <v>1.29</v>
      </c>
      <c r="AQ15" s="25">
        <f>(0.08*AP15*1000+0.022*'[1]Structural Information'!$AE$18*'[1]Structural Information'!$W$24)/1000</f>
        <v>0.23414400000000002</v>
      </c>
      <c r="AR15" s="526">
        <f>AP15*'[1]Structural Information'!$AE$24/AO15</f>
        <v>9.5976000000000013E-3</v>
      </c>
      <c r="AS15" s="17">
        <v>49.6</v>
      </c>
      <c r="AT15" s="381">
        <f t="shared" si="1"/>
        <v>0.47604096000000007</v>
      </c>
      <c r="AU15" s="527">
        <f>AQ15*G92</f>
        <v>2.3484643200000002E-2</v>
      </c>
      <c r="AV15" s="17">
        <v>53.4</v>
      </c>
      <c r="AW15" s="25">
        <f t="shared" si="2"/>
        <v>1.2540799468800001</v>
      </c>
      <c r="AX15" s="526">
        <f>AQ15*I92</f>
        <v>3.9640579200000005E-2</v>
      </c>
      <c r="AY15" s="17">
        <v>42.7</v>
      </c>
      <c r="AZ15" s="381">
        <f t="shared" si="3"/>
        <v>1.6926527318400004</v>
      </c>
      <c r="BA15" s="528">
        <f>AQ15*K92</f>
        <v>9.6139526400000008E-2</v>
      </c>
      <c r="BB15" s="359">
        <v>5.3</v>
      </c>
      <c r="BC15" s="20">
        <f t="shared" si="4"/>
        <v>0.50953948991999998</v>
      </c>
      <c r="BE15" s="46" t="s">
        <v>345</v>
      </c>
      <c r="BF15" s="70">
        <f>(AB10+AB11)/$BK5</f>
        <v>104.39999999999999</v>
      </c>
      <c r="BG15" s="70">
        <f>(AB21+AB22)/$BK5</f>
        <v>112.36666666666667</v>
      </c>
      <c r="BH15" s="70">
        <f>(AB32+AB33)/$BK5</f>
        <v>89.899999999999991</v>
      </c>
      <c r="BI15" s="70">
        <f>(AB43+AB44)/$BK5</f>
        <v>11.199999999999998</v>
      </c>
      <c r="BJ15" s="70">
        <f>BI15</f>
        <v>11.199999999999998</v>
      </c>
      <c r="BK15" s="227">
        <v>16.292206460508616</v>
      </c>
      <c r="BL15" s="46" t="s">
        <v>315</v>
      </c>
      <c r="BM15" s="70">
        <f t="shared" si="5"/>
        <v>3625.9064766191536</v>
      </c>
      <c r="BN15" s="70">
        <f t="shared" si="6"/>
        <v>190.54302245802316</v>
      </c>
      <c r="BO15" s="70">
        <f t="shared" si="6"/>
        <v>-276.03417891176861</v>
      </c>
      <c r="BP15" s="70">
        <f t="shared" si="6"/>
        <v>-276.05287784019094</v>
      </c>
      <c r="BQ15" s="70">
        <v>0</v>
      </c>
      <c r="BR15" s="227">
        <f t="shared" ref="BR15:BR19" si="7">BM15</f>
        <v>3625.9064766191536</v>
      </c>
      <c r="BS15" s="46" t="s">
        <v>351</v>
      </c>
      <c r="BT15" s="61">
        <f>(SUM(AT9:AT12)+SUM(AT13:AT16))/(SUM(AS9:AS12)+SUM(AS13:AS16))</f>
        <v>9.597600000000003E-3</v>
      </c>
      <c r="BU15" s="61">
        <f>(SUM(AW9:AW12)+SUM(AW13:AW16))/(SUM(AV9:AV12)+SUM(AV13:AV16))</f>
        <v>2.3534376699029129E-2</v>
      </c>
      <c r="BV15" s="61">
        <f>(SUM(AZ9:AZ12)+SUM(AZ13:AZ16))/(SUM(AY9:AY12)+SUM(AY13:AY16))</f>
        <v>5.066467236898179E-2</v>
      </c>
      <c r="BW15" s="61">
        <f>(SUM(BC9:BC12)+SUM(BC13:BC16))/(SUM(BB9:BB12)+SUM(BB13:BB16))</f>
        <v>0.14569477507459458</v>
      </c>
      <c r="BX15" s="25">
        <v>0.15</v>
      </c>
      <c r="BY15" s="485">
        <v>1.4977593939212409E-3</v>
      </c>
    </row>
    <row r="16" spans="2:77" x14ac:dyDescent="0.25">
      <c r="B16" s="703"/>
      <c r="C16" s="99">
        <v>5216</v>
      </c>
      <c r="D16" s="99" t="s">
        <v>12</v>
      </c>
      <c r="E16" s="107">
        <v>61.6</v>
      </c>
      <c r="F16" s="108">
        <v>120</v>
      </c>
      <c r="G16" s="107">
        <v>66.3</v>
      </c>
      <c r="H16" s="108">
        <v>129.19999999999999</v>
      </c>
      <c r="I16" s="109">
        <v>53.1</v>
      </c>
      <c r="J16" s="110">
        <v>103.4</v>
      </c>
      <c r="K16" s="109">
        <v>6.6</v>
      </c>
      <c r="L16" s="110">
        <v>12.9</v>
      </c>
      <c r="M16" s="111"/>
      <c r="N16" s="111"/>
      <c r="O16" s="112"/>
      <c r="Q16" s="673" t="s">
        <v>61</v>
      </c>
      <c r="R16" s="591"/>
      <c r="S16" s="206">
        <v>33.15</v>
      </c>
      <c r="T16" s="94">
        <v>106.3</v>
      </c>
      <c r="U16" s="94">
        <v>106.3</v>
      </c>
      <c r="V16" s="205">
        <v>64.599999999999994</v>
      </c>
      <c r="W16" s="91">
        <f>S16+T16+U16+V16</f>
        <v>310.35000000000002</v>
      </c>
      <c r="X16" s="206">
        <v>33.15</v>
      </c>
      <c r="Y16" s="94">
        <v>89.2</v>
      </c>
      <c r="Z16" s="94">
        <v>89.2</v>
      </c>
      <c r="AA16" s="205">
        <v>51.1</v>
      </c>
      <c r="AB16" s="91">
        <f>X16+Y16+Z16+AA16</f>
        <v>262.65000000000003</v>
      </c>
      <c r="AC16" s="206">
        <v>33.15</v>
      </c>
      <c r="AD16" s="94">
        <v>83.8</v>
      </c>
      <c r="AE16" s="94">
        <v>83.8</v>
      </c>
      <c r="AF16" s="205">
        <v>48.4</v>
      </c>
      <c r="AG16" s="92">
        <f>AC16+AD16+AE16+AF16</f>
        <v>249.15</v>
      </c>
      <c r="AI16" s="673"/>
      <c r="AJ16" s="701"/>
      <c r="AK16" s="701"/>
      <c r="AL16" s="99">
        <v>1414</v>
      </c>
      <c r="AM16" s="99">
        <v>7415</v>
      </c>
      <c r="AN16" s="100">
        <f>'[1]Structural Information'!U8</f>
        <v>3</v>
      </c>
      <c r="AO16" s="100">
        <f>'[1]Structural Information'!T23/1000</f>
        <v>0.25</v>
      </c>
      <c r="AP16" s="101">
        <f t="shared" si="0"/>
        <v>1.29</v>
      </c>
      <c r="AQ16" s="102">
        <f>(0.08*AP16*1000+0.022*'[1]Structural Information'!$AE$18*'[1]Structural Information'!$W$24)/1000</f>
        <v>0.23414400000000002</v>
      </c>
      <c r="AR16" s="529">
        <f>AP16*'[1]Structural Information'!$AE$24/AO16</f>
        <v>9.5976000000000013E-3</v>
      </c>
      <c r="AS16" s="100">
        <v>41.5</v>
      </c>
      <c r="AT16" s="530">
        <f t="shared" si="1"/>
        <v>0.39830040000000005</v>
      </c>
      <c r="AU16" s="531">
        <f>AQ16*G98</f>
        <v>2.5357795200000002E-2</v>
      </c>
      <c r="AV16" s="100">
        <v>44.7</v>
      </c>
      <c r="AW16" s="102">
        <f t="shared" si="2"/>
        <v>1.1334934454400001</v>
      </c>
      <c r="AX16" s="529">
        <f>AQ16*I98</f>
        <v>5.5538956800000004E-2</v>
      </c>
      <c r="AY16" s="100">
        <v>35.799999999999997</v>
      </c>
      <c r="AZ16" s="530">
        <f t="shared" si="3"/>
        <v>1.9882946534399999</v>
      </c>
      <c r="BA16" s="528">
        <f>AQ16*K98</f>
        <v>0.1612315584</v>
      </c>
      <c r="BB16" s="359">
        <v>4.5</v>
      </c>
      <c r="BC16" s="20">
        <f t="shared" si="4"/>
        <v>0.72554201279999997</v>
      </c>
      <c r="BE16" s="46" t="s">
        <v>346</v>
      </c>
      <c r="BF16" s="70">
        <f>(W10+W11)/$BK6</f>
        <v>114.33333333333333</v>
      </c>
      <c r="BG16" s="70">
        <f>(W21+W22)/$BK6</f>
        <v>123.09999999999998</v>
      </c>
      <c r="BH16" s="70">
        <f>(W32+W33)/$BK6</f>
        <v>98.5</v>
      </c>
      <c r="BI16" s="70">
        <f>(W43+W44)/$BK6</f>
        <v>12.266666666666666</v>
      </c>
      <c r="BJ16" s="70">
        <f>BI16</f>
        <v>12.266666666666666</v>
      </c>
      <c r="BK16" s="227">
        <v>25.447513777167412</v>
      </c>
      <c r="BL16" s="46" t="s">
        <v>316</v>
      </c>
      <c r="BM16" s="70">
        <f t="shared" si="5"/>
        <v>4227.278580825473</v>
      </c>
      <c r="BN16" s="70">
        <f t="shared" si="6"/>
        <v>225.72290998281008</v>
      </c>
      <c r="BO16" s="70">
        <f t="shared" si="6"/>
        <v>-415.48203791408116</v>
      </c>
      <c r="BP16" s="70">
        <f t="shared" si="6"/>
        <v>-415.98288801877436</v>
      </c>
      <c r="BQ16" s="70">
        <v>0</v>
      </c>
      <c r="BR16" s="227">
        <f t="shared" si="7"/>
        <v>4227.278580825473</v>
      </c>
      <c r="BS16" s="46" t="s">
        <v>352</v>
      </c>
      <c r="BT16" s="61">
        <f>(SUM(AT13:AT16)+SUM(AT17:AT20))/(SUM(AS13:AS16)+SUM(AS17:AS20))</f>
        <v>9.015519176800749E-3</v>
      </c>
      <c r="BU16" s="61">
        <f>(SUM(AW13:AW16)+SUM(AW17:AW20))/(SUM(AV13:AV16)+SUM(AV17:AV20))</f>
        <v>2.1961578672687804E-2</v>
      </c>
      <c r="BV16" s="61">
        <f>(SUM(AZ13:AZ16)+SUM(AZ17:AZ20))/(SUM(AY13:AY16)+SUM(AY17:AY20))</f>
        <v>4.1697690590228022E-2</v>
      </c>
      <c r="BW16" s="61">
        <f>(SUM(BC13:BC16)+SUM(BC17:BC20))/(SUM(BB13:BB16)+SUM(BB17:BB20))</f>
        <v>0.11079775521391305</v>
      </c>
      <c r="BX16" s="25">
        <v>0.15</v>
      </c>
      <c r="BY16" s="485">
        <v>2.0066112110200067E-3</v>
      </c>
    </row>
    <row r="17" spans="2:77" x14ac:dyDescent="0.25">
      <c r="B17" s="694">
        <v>3</v>
      </c>
      <c r="C17" s="93">
        <v>5311</v>
      </c>
      <c r="D17" s="93" t="s">
        <v>12</v>
      </c>
      <c r="E17" s="113">
        <v>61.6</v>
      </c>
      <c r="F17" s="114">
        <v>120</v>
      </c>
      <c r="G17" s="113">
        <v>66.3</v>
      </c>
      <c r="H17" s="114">
        <v>129.19999999999999</v>
      </c>
      <c r="I17" s="115">
        <v>53.1</v>
      </c>
      <c r="J17" s="116">
        <v>103.4</v>
      </c>
      <c r="K17" s="115">
        <v>6.6</v>
      </c>
      <c r="L17" s="116">
        <v>12.9</v>
      </c>
      <c r="M17" s="117"/>
      <c r="N17" s="117"/>
      <c r="O17" s="118"/>
      <c r="Q17" s="673" t="s">
        <v>60</v>
      </c>
      <c r="R17" s="591"/>
      <c r="S17" s="237">
        <v>76.8</v>
      </c>
      <c r="T17" s="100">
        <v>128</v>
      </c>
      <c r="U17" s="100">
        <v>128</v>
      </c>
      <c r="V17" s="236">
        <v>76.8</v>
      </c>
      <c r="W17" s="91">
        <f>S17+T17+U17+V17</f>
        <v>409.6</v>
      </c>
      <c r="X17" s="237">
        <v>33.15</v>
      </c>
      <c r="Y17" s="100">
        <v>89.2</v>
      </c>
      <c r="Z17" s="100">
        <v>89.2</v>
      </c>
      <c r="AA17" s="236">
        <v>51.1</v>
      </c>
      <c r="AB17" s="91">
        <f>X17+Y17+Z17+AA17</f>
        <v>262.65000000000003</v>
      </c>
      <c r="AC17" s="237">
        <v>33.15</v>
      </c>
      <c r="AD17" s="100">
        <v>83.8</v>
      </c>
      <c r="AE17" s="100">
        <v>83.8</v>
      </c>
      <c r="AF17" s="236">
        <v>48.4</v>
      </c>
      <c r="AG17" s="92">
        <f>AC17+AD17+AE17+AF17</f>
        <v>249.15</v>
      </c>
      <c r="AI17" s="673">
        <v>3</v>
      </c>
      <c r="AJ17" s="701" t="s">
        <v>42</v>
      </c>
      <c r="AK17" s="701"/>
      <c r="AL17" s="84">
        <v>1113</v>
      </c>
      <c r="AM17" s="84">
        <v>7114</v>
      </c>
      <c r="AN17" s="17">
        <f>'[1]Structural Information'!U9</f>
        <v>3</v>
      </c>
      <c r="AO17" s="17">
        <f>'[1]Structural Information'!T23/1000</f>
        <v>0.25</v>
      </c>
      <c r="AP17" s="95">
        <f t="shared" si="0"/>
        <v>1.29</v>
      </c>
      <c r="AQ17" s="96">
        <f>(0.08*AP17*1000+0.022*'[1]Structural Information'!$AE$18*'[1]Structural Information'!$W$24)/1000</f>
        <v>0.23414400000000002</v>
      </c>
      <c r="AR17" s="522">
        <f>AP17*'[1]Structural Information'!$AE$24/AO17</f>
        <v>9.5976000000000013E-3</v>
      </c>
      <c r="AS17" s="17">
        <v>44.9</v>
      </c>
      <c r="AT17" s="381">
        <f t="shared" si="1"/>
        <v>0.43093224000000002</v>
      </c>
      <c r="AU17" s="524">
        <f>AQ17*G79</f>
        <v>2.2899283200000002E-2</v>
      </c>
      <c r="AV17" s="17">
        <v>48.4</v>
      </c>
      <c r="AW17" s="25">
        <f t="shared" si="2"/>
        <v>1.1083253068800001</v>
      </c>
      <c r="AX17" s="526">
        <f>AQ17*I79</f>
        <v>4.6196611200000001E-2</v>
      </c>
      <c r="AY17" s="17">
        <v>38.700000000000003</v>
      </c>
      <c r="AZ17" s="25">
        <f t="shared" si="3"/>
        <v>1.7878088534400001</v>
      </c>
      <c r="BA17" s="532">
        <f>AQ17*K79</f>
        <v>0.12772555200000002</v>
      </c>
      <c r="BB17" s="496">
        <v>4.8</v>
      </c>
      <c r="BC17" s="176">
        <f t="shared" si="4"/>
        <v>0.61308264960000003</v>
      </c>
      <c r="BE17" s="46" t="s">
        <v>347</v>
      </c>
      <c r="BF17" s="70">
        <f>(AG5+AG6)/$BK7</f>
        <v>154.19999999999999</v>
      </c>
      <c r="BG17" s="70">
        <f>(AG16+AG17)/$BK7</f>
        <v>166.1</v>
      </c>
      <c r="BH17" s="70">
        <f>(AG27+AG28)/$BK7</f>
        <v>132.83333333333334</v>
      </c>
      <c r="BI17" s="70">
        <f>(AG38+AG39)/$BK7</f>
        <v>16.600000000000001</v>
      </c>
      <c r="BJ17" s="70">
        <f t="shared" ref="BJ17:BJ19" si="8">BI17</f>
        <v>16.600000000000001</v>
      </c>
      <c r="BK17" s="227">
        <v>67.033560210219122</v>
      </c>
      <c r="BL17" s="46" t="s">
        <v>317</v>
      </c>
      <c r="BM17" s="70">
        <f t="shared" si="5"/>
        <v>5989.1391000100084</v>
      </c>
      <c r="BN17" s="70">
        <f t="shared" si="6"/>
        <v>328.0599185750545</v>
      </c>
      <c r="BO17" s="70">
        <f t="shared" si="6"/>
        <v>-690.13120344250422</v>
      </c>
      <c r="BP17" s="70">
        <f t="shared" si="6"/>
        <v>-689.35790324959214</v>
      </c>
      <c r="BQ17" s="70">
        <v>0</v>
      </c>
      <c r="BR17" s="227">
        <f t="shared" si="7"/>
        <v>5989.1391000100084</v>
      </c>
      <c r="BS17" s="46" t="s">
        <v>353</v>
      </c>
      <c r="BT17" s="61">
        <f>(SUM(AT17:AT20)+SUM(AT21:AT24))/(SUM(AS17:AS20)+SUM(AS21:AS24))</f>
        <v>8.5822017391304368E-3</v>
      </c>
      <c r="BU17" s="61">
        <f>(SUM(AW17:AW20)+SUM(AW21:AW24))/(SUM(AV17:AV20)+SUM(AV21:AV24))</f>
        <v>2.0673488854899086E-2</v>
      </c>
      <c r="BV17" s="61">
        <f>(SUM(AZ17:AZ20)+SUM(AZ21:AZ24))/(SUM(AY17:AY20)+SUM(AY21:AY24))</f>
        <v>3.6741287026573428E-2</v>
      </c>
      <c r="BW17" s="61">
        <f>(SUM(BC17:BC20)+SUM(BC21:BC24))/(SUM(BB17:BB20)+SUM(BB21:BB24))</f>
        <v>9.2944957517338014E-2</v>
      </c>
      <c r="BX17" s="25">
        <v>0.1</v>
      </c>
      <c r="BY17" s="485">
        <v>3.7308400584711251E-3</v>
      </c>
    </row>
    <row r="18" spans="2:77" x14ac:dyDescent="0.25">
      <c r="B18" s="695"/>
      <c r="C18" s="84">
        <v>5312</v>
      </c>
      <c r="D18" s="84" t="s">
        <v>12</v>
      </c>
      <c r="E18" s="85">
        <v>61.6</v>
      </c>
      <c r="F18" s="86">
        <v>120</v>
      </c>
      <c r="G18" s="85">
        <v>66.3</v>
      </c>
      <c r="H18" s="86">
        <v>129.19999999999999</v>
      </c>
      <c r="I18" s="87">
        <v>53.1</v>
      </c>
      <c r="J18" s="88">
        <v>103.4</v>
      </c>
      <c r="K18" s="87">
        <v>6.6</v>
      </c>
      <c r="L18" s="88">
        <v>12.9</v>
      </c>
      <c r="M18" s="89"/>
      <c r="N18" s="89"/>
      <c r="O18" s="90"/>
      <c r="Q18" s="686" t="s">
        <v>73</v>
      </c>
      <c r="R18" s="687"/>
      <c r="S18" s="688"/>
      <c r="T18" s="688"/>
      <c r="U18" s="688"/>
      <c r="V18" s="688"/>
      <c r="W18" s="687"/>
      <c r="X18" s="688"/>
      <c r="Y18" s="688"/>
      <c r="Z18" s="688"/>
      <c r="AA18" s="688"/>
      <c r="AB18" s="687"/>
      <c r="AC18" s="688"/>
      <c r="AD18" s="688"/>
      <c r="AE18" s="688"/>
      <c r="AF18" s="688"/>
      <c r="AG18" s="689"/>
      <c r="AI18" s="673"/>
      <c r="AJ18" s="701"/>
      <c r="AK18" s="701"/>
      <c r="AL18" s="84">
        <v>1213</v>
      </c>
      <c r="AM18" s="84">
        <v>7214</v>
      </c>
      <c r="AN18" s="17">
        <f>'[1]Structural Information'!U9</f>
        <v>3</v>
      </c>
      <c r="AO18" s="17">
        <f>'[1]Structural Information'!T28/1000</f>
        <v>0.3</v>
      </c>
      <c r="AP18" s="45">
        <f t="shared" si="0"/>
        <v>1.29</v>
      </c>
      <c r="AQ18" s="25">
        <f>(0.08*AP18*1000+0.022*'[1]Structural Information'!$AE$18*'[1]Structural Information'!$W$24)/1000</f>
        <v>0.23414400000000002</v>
      </c>
      <c r="AR18" s="526">
        <f>AP18*'[1]Structural Information'!$AE$24/AO18</f>
        <v>7.9980000000000016E-3</v>
      </c>
      <c r="AS18" s="17">
        <v>77.8</v>
      </c>
      <c r="AT18" s="381">
        <f t="shared" si="1"/>
        <v>0.62224440000000014</v>
      </c>
      <c r="AU18" s="527">
        <f>AQ18*G85</f>
        <v>1.8637862400000003E-2</v>
      </c>
      <c r="AV18" s="17">
        <v>83.8</v>
      </c>
      <c r="AW18" s="25">
        <f t="shared" si="2"/>
        <v>1.5618528691200002</v>
      </c>
      <c r="AX18" s="526">
        <f>AQ18*I85</f>
        <v>3.3014304000000001E-2</v>
      </c>
      <c r="AY18" s="17">
        <v>67</v>
      </c>
      <c r="AZ18" s="25">
        <f t="shared" si="3"/>
        <v>2.2119583679999999</v>
      </c>
      <c r="BA18" s="533">
        <f>AQ18*K85</f>
        <v>8.3355263999999998E-2</v>
      </c>
      <c r="BB18" s="359">
        <v>8.4</v>
      </c>
      <c r="BC18" s="20">
        <f t="shared" si="4"/>
        <v>0.70018421760000005</v>
      </c>
      <c r="BE18" s="46" t="s">
        <v>348</v>
      </c>
      <c r="BF18" s="70">
        <f>(AB5+AB6)/$BK8</f>
        <v>162.6</v>
      </c>
      <c r="BG18" s="70">
        <f>(AB16+AB17)/$BK8</f>
        <v>175.10000000000002</v>
      </c>
      <c r="BH18" s="70">
        <f>(AB27+AB28)/$BK8</f>
        <v>140.16666666666669</v>
      </c>
      <c r="BI18" s="70">
        <f>(AB38+AB39)/$BK8</f>
        <v>17.466666666666669</v>
      </c>
      <c r="BJ18" s="70">
        <f t="shared" si="8"/>
        <v>17.466666666666669</v>
      </c>
      <c r="BK18" s="227">
        <v>0</v>
      </c>
      <c r="BL18" s="46" t="s">
        <v>318</v>
      </c>
      <c r="BM18" s="70">
        <f t="shared" si="5"/>
        <v>8026.8620750711962</v>
      </c>
      <c r="BN18" s="70">
        <f t="shared" si="6"/>
        <v>337.7953141424918</v>
      </c>
      <c r="BO18" s="70">
        <f t="shared" si="6"/>
        <v>-819.91315526110657</v>
      </c>
      <c r="BP18" s="70">
        <f t="shared" si="6"/>
        <v>-815.42836940679661</v>
      </c>
      <c r="BQ18" s="70">
        <v>0</v>
      </c>
      <c r="BR18" s="227">
        <f t="shared" si="7"/>
        <v>8026.8620750711962</v>
      </c>
      <c r="BS18" s="46" t="s">
        <v>354</v>
      </c>
      <c r="BT18" s="61">
        <f>(SUM(AT21:AT24)+SUM(AT25:AT28))/(SUM(AS21:AS24)+SUM(AS25:AS28))</f>
        <v>6.7523273096129852E-3</v>
      </c>
      <c r="BU18" s="61">
        <f>(SUM(AW21:AW24)+SUM(AW25:AW28))/(SUM(AV21:AV24)+SUM(AV25:AV28))</f>
        <v>1.9087213236742975E-2</v>
      </c>
      <c r="BV18" s="61">
        <f>(SUM(AZ21:AZ24)+SUM(AZ25:AZ28))/(SUM(AY21:AY24)+SUM(AY25:AY28))</f>
        <v>3.3289259355561741E-2</v>
      </c>
      <c r="BW18" s="61">
        <f>(SUM(BC21:BC24)+SUM(BC25:BC28))/(SUM(BB21:BB24)+SUM(BB25:BB28))</f>
        <v>8.3446945222873076E-2</v>
      </c>
      <c r="BX18" s="25">
        <v>0.1</v>
      </c>
      <c r="BY18" s="485">
        <v>0</v>
      </c>
    </row>
    <row r="19" spans="2:77" ht="16.5" thickBot="1" x14ac:dyDescent="0.3">
      <c r="B19" s="695"/>
      <c r="C19" s="84">
        <v>5313</v>
      </c>
      <c r="D19" s="84" t="s">
        <v>12</v>
      </c>
      <c r="E19" s="85">
        <v>61.6</v>
      </c>
      <c r="F19" s="86">
        <v>120</v>
      </c>
      <c r="G19" s="85">
        <v>66.3</v>
      </c>
      <c r="H19" s="86">
        <v>129.19999999999999</v>
      </c>
      <c r="I19" s="87">
        <v>53.1</v>
      </c>
      <c r="J19" s="88">
        <v>103.4</v>
      </c>
      <c r="K19" s="87">
        <v>6.6</v>
      </c>
      <c r="L19" s="88">
        <v>12.9</v>
      </c>
      <c r="M19" s="89"/>
      <c r="N19" s="89"/>
      <c r="O19" s="90"/>
      <c r="Q19" s="673" t="s">
        <v>9</v>
      </c>
      <c r="R19" s="580"/>
      <c r="S19" s="580">
        <v>4</v>
      </c>
      <c r="T19" s="580"/>
      <c r="U19" s="580"/>
      <c r="V19" s="580"/>
      <c r="W19" s="580"/>
      <c r="X19" s="580">
        <v>5</v>
      </c>
      <c r="Y19" s="580"/>
      <c r="Z19" s="580"/>
      <c r="AA19" s="580"/>
      <c r="AB19" s="580"/>
      <c r="AC19" s="580">
        <v>6</v>
      </c>
      <c r="AD19" s="580"/>
      <c r="AE19" s="580"/>
      <c r="AF19" s="580"/>
      <c r="AG19" s="674"/>
      <c r="AI19" s="673"/>
      <c r="AJ19" s="701"/>
      <c r="AK19" s="701"/>
      <c r="AL19" s="84">
        <v>1313</v>
      </c>
      <c r="AM19" s="84">
        <v>7314</v>
      </c>
      <c r="AN19" s="17">
        <f>'[1]Structural Information'!U9</f>
        <v>3</v>
      </c>
      <c r="AO19" s="17">
        <f>'[1]Structural Information'!T28/1000</f>
        <v>0.3</v>
      </c>
      <c r="AP19" s="45">
        <f t="shared" si="0"/>
        <v>1.29</v>
      </c>
      <c r="AQ19" s="25">
        <f>(0.08*AP19*1000+0.022*'[1]Structural Information'!$AE$18*'[1]Structural Information'!$W$24)/1000</f>
        <v>0.23414400000000002</v>
      </c>
      <c r="AR19" s="526">
        <f>AP19*'[1]Structural Information'!$AE$24/AO19</f>
        <v>7.9980000000000016E-3</v>
      </c>
      <c r="AS19" s="17">
        <v>77.8</v>
      </c>
      <c r="AT19" s="381">
        <f t="shared" si="1"/>
        <v>0.62224440000000014</v>
      </c>
      <c r="AU19" s="527">
        <f>AQ19*G91</f>
        <v>1.8637862400000003E-2</v>
      </c>
      <c r="AV19" s="17">
        <v>83.8</v>
      </c>
      <c r="AW19" s="25">
        <f t="shared" si="2"/>
        <v>1.5618528691200002</v>
      </c>
      <c r="AX19" s="526">
        <f>AQ19*I91</f>
        <v>3.3014304000000001E-2</v>
      </c>
      <c r="AY19" s="17">
        <v>67</v>
      </c>
      <c r="AZ19" s="25">
        <f t="shared" si="3"/>
        <v>2.2119583679999999</v>
      </c>
      <c r="BA19" s="533">
        <f>AQ19*K91</f>
        <v>8.3355263999999998E-2</v>
      </c>
      <c r="BB19" s="359">
        <v>8.4</v>
      </c>
      <c r="BC19" s="20">
        <f t="shared" si="4"/>
        <v>0.70018421760000005</v>
      </c>
      <c r="BE19" s="51" t="s">
        <v>349</v>
      </c>
      <c r="BF19" s="474">
        <f>(W5+W6)/$BK9</f>
        <v>247.23636363636362</v>
      </c>
      <c r="BG19" s="474">
        <f>(W16+W17)/$BK9</f>
        <v>261.8</v>
      </c>
      <c r="BH19" s="474">
        <f>(W27+W28)/$BK9</f>
        <v>213</v>
      </c>
      <c r="BI19" s="474">
        <f>(W38+W39)/$BK9</f>
        <v>26.618181818181821</v>
      </c>
      <c r="BJ19" s="474">
        <f t="shared" si="8"/>
        <v>26.618181818181821</v>
      </c>
      <c r="BK19" s="286">
        <v>200.38802480659299</v>
      </c>
      <c r="BL19" s="51" t="s">
        <v>319</v>
      </c>
      <c r="BM19" s="474">
        <f t="shared" si="5"/>
        <v>16924.446918589209</v>
      </c>
      <c r="BN19" s="474">
        <f t="shared" si="6"/>
        <v>391.91925552013436</v>
      </c>
      <c r="BO19" s="474">
        <f t="shared" si="6"/>
        <v>-1199.6746779497421</v>
      </c>
      <c r="BP19" s="510">
        <f t="shared" si="6"/>
        <v>-1296.3591250437671</v>
      </c>
      <c r="BQ19" s="474">
        <v>0</v>
      </c>
      <c r="BR19" s="286">
        <f t="shared" si="7"/>
        <v>16924.446918589209</v>
      </c>
      <c r="BS19" s="51" t="s">
        <v>355</v>
      </c>
      <c r="BT19" s="75">
        <f>(SUM(AT25:AT28)+SUM(AT29:AT32))/(SUM(AS25:AS28)+SUM(AS29:AS32))</f>
        <v>5.3120868684138484E-3</v>
      </c>
      <c r="BU19" s="75">
        <f>(SUM(AW25:AW28)+SUM(AW29:AW32))/(SUM(AV25:AV28)+SUM(AV29:AV32))</f>
        <v>1.8824736971728262E-2</v>
      </c>
      <c r="BV19" s="75">
        <f>(SUM(AZ25:AZ28)+SUM(AZ29:AZ32))/(SUM(AY25:AY28)+SUM(AY29:AY32))</f>
        <v>3.3616625865958934E-2</v>
      </c>
      <c r="BW19" s="75">
        <f>(SUM(BC25:BC28)+SUM(BC29:BC32))/(SUM(BB25:BB28)+SUM(BB29:BB32))</f>
        <v>8.5897822721253209E-2</v>
      </c>
      <c r="BX19" s="36">
        <v>0.1</v>
      </c>
      <c r="BY19" s="420">
        <v>4.3055098348240197E-3</v>
      </c>
    </row>
    <row r="20" spans="2:77" ht="16.5" thickBot="1" x14ac:dyDescent="0.3">
      <c r="B20" s="695"/>
      <c r="C20" s="84">
        <v>5314</v>
      </c>
      <c r="D20" s="84" t="s">
        <v>12</v>
      </c>
      <c r="E20" s="85">
        <v>61.6</v>
      </c>
      <c r="F20" s="86">
        <v>120</v>
      </c>
      <c r="G20" s="85">
        <v>66.3</v>
      </c>
      <c r="H20" s="86">
        <v>129.19999999999999</v>
      </c>
      <c r="I20" s="87">
        <v>53.1</v>
      </c>
      <c r="J20" s="88">
        <v>103.4</v>
      </c>
      <c r="K20" s="87">
        <v>6.6</v>
      </c>
      <c r="L20" s="88">
        <v>12.9</v>
      </c>
      <c r="M20" s="89"/>
      <c r="N20" s="89"/>
      <c r="O20" s="90"/>
      <c r="Q20" s="673" t="s">
        <v>42</v>
      </c>
      <c r="R20" s="580"/>
      <c r="S20" s="77" t="s">
        <v>55</v>
      </c>
      <c r="T20" s="77" t="s">
        <v>56</v>
      </c>
      <c r="U20" s="77" t="s">
        <v>57</v>
      </c>
      <c r="V20" s="77" t="s">
        <v>58</v>
      </c>
      <c r="W20" s="78" t="s">
        <v>62</v>
      </c>
      <c r="X20" s="77" t="s">
        <v>65</v>
      </c>
      <c r="Y20" s="77" t="s">
        <v>66</v>
      </c>
      <c r="Z20" s="77" t="s">
        <v>67</v>
      </c>
      <c r="AA20" s="77" t="s">
        <v>68</v>
      </c>
      <c r="AB20" s="78" t="s">
        <v>62</v>
      </c>
      <c r="AC20" s="77" t="s">
        <v>69</v>
      </c>
      <c r="AD20" s="77" t="s">
        <v>70</v>
      </c>
      <c r="AE20" s="77" t="s">
        <v>71</v>
      </c>
      <c r="AF20" s="77" t="s">
        <v>72</v>
      </c>
      <c r="AG20" s="79" t="s">
        <v>62</v>
      </c>
      <c r="AI20" s="673"/>
      <c r="AJ20" s="701"/>
      <c r="AK20" s="701"/>
      <c r="AL20" s="84">
        <v>1413</v>
      </c>
      <c r="AM20" s="84">
        <v>7414</v>
      </c>
      <c r="AN20" s="17">
        <f>'[1]Structural Information'!U9</f>
        <v>3</v>
      </c>
      <c r="AO20" s="17">
        <f>'[1]Structural Information'!T23/1000</f>
        <v>0.25</v>
      </c>
      <c r="AP20" s="101">
        <f t="shared" si="0"/>
        <v>1.29</v>
      </c>
      <c r="AQ20" s="102">
        <f>(0.08*AP20*1000+0.022*'[1]Structural Information'!$AE$18*'[1]Structural Information'!$W$24)/1000</f>
        <v>0.23414400000000002</v>
      </c>
      <c r="AR20" s="529">
        <f>AP20*'[1]Structural Information'!$AE$24/AO20</f>
        <v>9.5976000000000013E-3</v>
      </c>
      <c r="AS20" s="17">
        <v>44.9</v>
      </c>
      <c r="AT20" s="381">
        <f t="shared" si="1"/>
        <v>0.43093224000000002</v>
      </c>
      <c r="AU20" s="527">
        <f>AQ20*G97</f>
        <v>2.2899283200000002E-2</v>
      </c>
      <c r="AV20" s="17">
        <v>48.4</v>
      </c>
      <c r="AW20" s="25">
        <f t="shared" si="2"/>
        <v>1.1083253068800001</v>
      </c>
      <c r="AX20" s="526">
        <f>AQ20*I97</f>
        <v>4.6196611200000001E-2</v>
      </c>
      <c r="AY20" s="17">
        <v>38.700000000000003</v>
      </c>
      <c r="AZ20" s="25">
        <f t="shared" si="3"/>
        <v>1.7878088534400001</v>
      </c>
      <c r="BA20" s="534">
        <f>AQ20*K97</f>
        <v>0.12772555200000002</v>
      </c>
      <c r="BB20" s="516">
        <v>4.8</v>
      </c>
      <c r="BC20" s="143">
        <f t="shared" si="4"/>
        <v>0.61308264960000003</v>
      </c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</row>
    <row r="21" spans="2:77" ht="15.75" customHeight="1" thickBot="1" x14ac:dyDescent="0.3">
      <c r="B21" s="695"/>
      <c r="C21" s="84">
        <v>5315</v>
      </c>
      <c r="D21" s="84" t="s">
        <v>12</v>
      </c>
      <c r="E21" s="85">
        <v>61.6</v>
      </c>
      <c r="F21" s="86">
        <v>120</v>
      </c>
      <c r="G21" s="85">
        <v>66.3</v>
      </c>
      <c r="H21" s="86">
        <v>129.19999999999999</v>
      </c>
      <c r="I21" s="87">
        <v>53.1</v>
      </c>
      <c r="J21" s="88">
        <v>103.4</v>
      </c>
      <c r="K21" s="87">
        <v>6.6</v>
      </c>
      <c r="L21" s="88">
        <v>12.9</v>
      </c>
      <c r="M21" s="89"/>
      <c r="N21" s="89"/>
      <c r="O21" s="90"/>
      <c r="Q21" s="673" t="s">
        <v>61</v>
      </c>
      <c r="R21" s="591"/>
      <c r="S21" s="206">
        <v>33.15</v>
      </c>
      <c r="T21" s="94">
        <v>53.4</v>
      </c>
      <c r="U21" s="94">
        <v>53.4</v>
      </c>
      <c r="V21" s="205">
        <v>44.7</v>
      </c>
      <c r="W21" s="91">
        <f>S21+T21+U21+V21</f>
        <v>184.64999999999998</v>
      </c>
      <c r="X21" s="206">
        <v>33.15</v>
      </c>
      <c r="Y21" s="94">
        <v>48.1</v>
      </c>
      <c r="Z21" s="94">
        <v>48.1</v>
      </c>
      <c r="AA21" s="205">
        <v>39.200000000000003</v>
      </c>
      <c r="AB21" s="91">
        <f>X21+Y21+Z21+AA21</f>
        <v>168.55</v>
      </c>
      <c r="AC21" s="206">
        <v>33.1</v>
      </c>
      <c r="AD21" s="94">
        <v>38.799999999999997</v>
      </c>
      <c r="AE21" s="94">
        <v>38.799999999999997</v>
      </c>
      <c r="AF21" s="205">
        <v>33.1</v>
      </c>
      <c r="AG21" s="92">
        <f>AC21+AD21+AE21+AF21</f>
        <v>143.80000000000001</v>
      </c>
      <c r="AI21" s="673">
        <v>2</v>
      </c>
      <c r="AJ21" s="701" t="s">
        <v>42</v>
      </c>
      <c r="AK21" s="701"/>
      <c r="AL21" s="93">
        <v>1112</v>
      </c>
      <c r="AM21" s="93">
        <v>7113</v>
      </c>
      <c r="AN21" s="94">
        <f>'[1]Structural Information'!U10</f>
        <v>3</v>
      </c>
      <c r="AO21" s="94">
        <f>'[1]Structural Information'!T23/1000</f>
        <v>0.25</v>
      </c>
      <c r="AP21" s="95">
        <f t="shared" si="0"/>
        <v>1.29</v>
      </c>
      <c r="AQ21" s="96">
        <f>(0.08*AP21*1000+0.022*'[1]Structural Information'!$AE$18*'[1]Structural Information'!$W$24)/1000</f>
        <v>0.23414400000000002</v>
      </c>
      <c r="AR21" s="522">
        <f>AP21*'[1]Structural Information'!$AE$24/AO21</f>
        <v>9.5976000000000013E-3</v>
      </c>
      <c r="AS21" s="94">
        <v>47.5</v>
      </c>
      <c r="AT21" s="96">
        <f t="shared" si="1"/>
        <v>0.45588600000000007</v>
      </c>
      <c r="AU21" s="522">
        <f>AQ21*G78</f>
        <v>2.0674915200000001E-2</v>
      </c>
      <c r="AV21" s="94">
        <v>51.1</v>
      </c>
      <c r="AW21" s="96">
        <f t="shared" si="2"/>
        <v>1.0564881667200001</v>
      </c>
      <c r="AX21" s="522">
        <f>AQ21*I78</f>
        <v>3.9640579200000005E-2</v>
      </c>
      <c r="AY21" s="94">
        <v>51.7</v>
      </c>
      <c r="AZ21" s="523">
        <f t="shared" si="3"/>
        <v>2.0494179446400005</v>
      </c>
      <c r="BA21" s="528">
        <f>AQ21*K78</f>
        <v>0.10599698880000001</v>
      </c>
      <c r="BB21" s="359">
        <v>6.45</v>
      </c>
      <c r="BC21" s="20">
        <f t="shared" si="4"/>
        <v>0.68368057776000013</v>
      </c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629" t="s">
        <v>330</v>
      </c>
      <c r="BT21" s="630"/>
      <c r="BU21" s="630"/>
      <c r="BV21" s="630"/>
      <c r="BW21" s="630"/>
      <c r="BX21" s="631"/>
      <c r="BY21" s="483"/>
    </row>
    <row r="22" spans="2:77" ht="16.5" thickBot="1" x14ac:dyDescent="0.3">
      <c r="B22" s="696"/>
      <c r="C22" s="121">
        <v>5316</v>
      </c>
      <c r="D22" s="121" t="s">
        <v>12</v>
      </c>
      <c r="E22" s="122">
        <v>61.6</v>
      </c>
      <c r="F22" s="123">
        <v>120</v>
      </c>
      <c r="G22" s="122">
        <v>66.3</v>
      </c>
      <c r="H22" s="123">
        <v>129.19999999999999</v>
      </c>
      <c r="I22" s="124">
        <v>53.1</v>
      </c>
      <c r="J22" s="125">
        <v>103.4</v>
      </c>
      <c r="K22" s="124">
        <v>6.6</v>
      </c>
      <c r="L22" s="125">
        <v>12.9</v>
      </c>
      <c r="M22" s="126"/>
      <c r="N22" s="126"/>
      <c r="O22" s="127"/>
      <c r="Q22" s="675" t="s">
        <v>60</v>
      </c>
      <c r="R22" s="676"/>
      <c r="S22" s="31">
        <f>AC16</f>
        <v>33.15</v>
      </c>
      <c r="T22" s="30">
        <v>53.4</v>
      </c>
      <c r="U22" s="30">
        <v>53.4</v>
      </c>
      <c r="V22" s="280">
        <v>44.7</v>
      </c>
      <c r="W22" s="119">
        <f>S22+T22+U22+V22</f>
        <v>184.64999999999998</v>
      </c>
      <c r="X22" s="31">
        <f>S21</f>
        <v>33.15</v>
      </c>
      <c r="Y22" s="30">
        <v>48.1</v>
      </c>
      <c r="Z22" s="30">
        <v>48.1</v>
      </c>
      <c r="AA22" s="280">
        <v>39.200000000000003</v>
      </c>
      <c r="AB22" s="119">
        <f>X22+Y22+Z22+AA22</f>
        <v>168.55</v>
      </c>
      <c r="AC22" s="31">
        <v>33.1</v>
      </c>
      <c r="AD22" s="30">
        <v>38.799999999999997</v>
      </c>
      <c r="AE22" s="30">
        <v>38.799999999999997</v>
      </c>
      <c r="AF22" s="280">
        <v>33.1</v>
      </c>
      <c r="AG22" s="120">
        <f>AC22+AD22+AE22+AF22</f>
        <v>143.80000000000001</v>
      </c>
      <c r="AI22" s="673"/>
      <c r="AJ22" s="701"/>
      <c r="AK22" s="701"/>
      <c r="AL22" s="84">
        <v>1212</v>
      </c>
      <c r="AM22" s="84">
        <v>7213</v>
      </c>
      <c r="AN22" s="17">
        <f>'[1]Structural Information'!U10</f>
        <v>3</v>
      </c>
      <c r="AO22" s="17">
        <f>'[1]Structural Information'!T28/1000</f>
        <v>0.3</v>
      </c>
      <c r="AP22" s="45">
        <f t="shared" si="0"/>
        <v>1.29</v>
      </c>
      <c r="AQ22" s="25">
        <f>(0.08*AP22*1000+0.022*'[1]Structural Information'!$AE$18*'[1]Structural Information'!$W$24)/1000</f>
        <v>0.23414400000000002</v>
      </c>
      <c r="AR22" s="526">
        <f>AP22*'[1]Structural Information'!$AE$24/AO22</f>
        <v>7.9980000000000016E-3</v>
      </c>
      <c r="AS22" s="17">
        <v>82.8</v>
      </c>
      <c r="AT22" s="25">
        <f t="shared" si="1"/>
        <v>0.66223440000000011</v>
      </c>
      <c r="AU22" s="526">
        <f>AQ22*G84</f>
        <v>2.1377347200000004E-2</v>
      </c>
      <c r="AV22" s="17">
        <v>89.2</v>
      </c>
      <c r="AW22" s="25">
        <f t="shared" si="2"/>
        <v>1.9068593702400005</v>
      </c>
      <c r="AX22" s="526">
        <f>AQ22*I84</f>
        <v>3.3014304000000001E-2</v>
      </c>
      <c r="AY22" s="17">
        <v>71.400000000000006</v>
      </c>
      <c r="AZ22" s="381">
        <f t="shared" si="3"/>
        <v>2.3572213056000004</v>
      </c>
      <c r="BA22" s="528">
        <f>AQ22*K84</f>
        <v>7.3778774400000011E-2</v>
      </c>
      <c r="BB22" s="359">
        <v>8.9</v>
      </c>
      <c r="BC22" s="20">
        <f t="shared" si="4"/>
        <v>0.65663109216000015</v>
      </c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654" t="s">
        <v>329</v>
      </c>
      <c r="BT22" s="634" t="s">
        <v>212</v>
      </c>
      <c r="BU22" s="636" t="s">
        <v>213</v>
      </c>
      <c r="BV22" s="636" t="s">
        <v>214</v>
      </c>
      <c r="BW22" s="636" t="s">
        <v>215</v>
      </c>
      <c r="BX22" s="632" t="s">
        <v>436</v>
      </c>
      <c r="BY22" s="484"/>
    </row>
    <row r="23" spans="2:77" ht="16.5" thickBot="1" x14ac:dyDescent="0.3">
      <c r="B23" s="84"/>
      <c r="C23" s="84"/>
      <c r="D23" s="84"/>
      <c r="E23" s="84"/>
      <c r="F23" s="84"/>
      <c r="G23" s="84"/>
      <c r="H23" s="84"/>
      <c r="AI23" s="673"/>
      <c r="AJ23" s="701"/>
      <c r="AK23" s="701"/>
      <c r="AL23" s="84">
        <v>1312</v>
      </c>
      <c r="AM23" s="84">
        <v>7313</v>
      </c>
      <c r="AN23" s="17">
        <f>'[1]Structural Information'!U10</f>
        <v>3</v>
      </c>
      <c r="AO23" s="17">
        <f>'[1]Structural Information'!T28/1000</f>
        <v>0.3</v>
      </c>
      <c r="AP23" s="45">
        <f t="shared" si="0"/>
        <v>1.29</v>
      </c>
      <c r="AQ23" s="25">
        <f>(0.08*AP23*1000+0.022*'[1]Structural Information'!$AE$18*'[1]Structural Information'!$W$24)/1000</f>
        <v>0.23414400000000002</v>
      </c>
      <c r="AR23" s="526">
        <f>AP23*'[1]Structural Information'!$AE$24/AO23</f>
        <v>7.9980000000000016E-3</v>
      </c>
      <c r="AS23" s="17">
        <v>82.8</v>
      </c>
      <c r="AT23" s="25">
        <f t="shared" si="1"/>
        <v>0.66223440000000011</v>
      </c>
      <c r="AU23" s="526">
        <f>AQ23*G90</f>
        <v>2.1377347200000004E-2</v>
      </c>
      <c r="AV23" s="17">
        <v>89.2</v>
      </c>
      <c r="AW23" s="25">
        <f t="shared" si="2"/>
        <v>1.9068593702400005</v>
      </c>
      <c r="AX23" s="526">
        <f>AQ23*I90</f>
        <v>3.3014304000000001E-2</v>
      </c>
      <c r="AY23" s="17">
        <v>71.400000000000006</v>
      </c>
      <c r="AZ23" s="381">
        <f t="shared" si="3"/>
        <v>2.3572213056000004</v>
      </c>
      <c r="BA23" s="528">
        <f>AQ23*K90</f>
        <v>7.3778774400000011E-2</v>
      </c>
      <c r="BB23" s="359">
        <v>8.9</v>
      </c>
      <c r="BC23" s="20">
        <f t="shared" si="4"/>
        <v>0.65663109216000015</v>
      </c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655"/>
      <c r="BT23" s="635"/>
      <c r="BU23" s="578"/>
      <c r="BV23" s="578"/>
      <c r="BW23" s="578"/>
      <c r="BX23" s="633"/>
      <c r="BY23" s="484"/>
    </row>
    <row r="24" spans="2:77" ht="16.5" thickBot="1" x14ac:dyDescent="0.3">
      <c r="B24" s="735" t="s">
        <v>302</v>
      </c>
      <c r="C24" s="736"/>
      <c r="D24" s="736"/>
      <c r="E24" s="736"/>
      <c r="F24" s="736"/>
      <c r="G24" s="736"/>
      <c r="H24" s="736"/>
      <c r="I24" s="736"/>
      <c r="J24" s="736"/>
      <c r="K24" s="736"/>
      <c r="L24" s="736"/>
      <c r="M24" s="736"/>
      <c r="N24" s="736"/>
      <c r="O24" s="737"/>
      <c r="Q24" s="677" t="s">
        <v>229</v>
      </c>
      <c r="R24" s="678"/>
      <c r="S24" s="678"/>
      <c r="T24" s="678"/>
      <c r="U24" s="678"/>
      <c r="V24" s="678"/>
      <c r="W24" s="678"/>
      <c r="X24" s="678"/>
      <c r="Y24" s="678"/>
      <c r="Z24" s="678"/>
      <c r="AA24" s="678"/>
      <c r="AB24" s="678"/>
      <c r="AC24" s="678"/>
      <c r="AD24" s="678"/>
      <c r="AE24" s="678"/>
      <c r="AF24" s="678"/>
      <c r="AG24" s="679"/>
      <c r="AI24" s="673"/>
      <c r="AJ24" s="701"/>
      <c r="AK24" s="701"/>
      <c r="AL24" s="99">
        <v>1412</v>
      </c>
      <c r="AM24" s="99">
        <v>7413</v>
      </c>
      <c r="AN24" s="100">
        <f>'[1]Structural Information'!U10</f>
        <v>3</v>
      </c>
      <c r="AO24" s="100">
        <f>'[1]Structural Information'!T23/1000</f>
        <v>0.25</v>
      </c>
      <c r="AP24" s="101">
        <f t="shared" si="0"/>
        <v>1.29</v>
      </c>
      <c r="AQ24" s="102">
        <f>(0.08*AP24*1000+0.022*'[1]Structural Information'!$AE$18*'[1]Structural Information'!$W$24)/1000</f>
        <v>0.23414400000000002</v>
      </c>
      <c r="AR24" s="526">
        <f>AP24*'[1]Structural Information'!$AE$24/AO24</f>
        <v>9.5976000000000013E-3</v>
      </c>
      <c r="AS24" s="17">
        <v>47.5</v>
      </c>
      <c r="AT24" s="25">
        <f t="shared" si="1"/>
        <v>0.45588600000000007</v>
      </c>
      <c r="AU24" s="529">
        <f>AQ24*G96</f>
        <v>2.0674915200000001E-2</v>
      </c>
      <c r="AV24" s="100">
        <v>51.1</v>
      </c>
      <c r="AW24" s="102">
        <f t="shared" si="2"/>
        <v>1.0564881667200001</v>
      </c>
      <c r="AX24" s="529">
        <f>AQ24*I96</f>
        <v>3.9640579200000005E-2</v>
      </c>
      <c r="AY24" s="100">
        <v>51.7</v>
      </c>
      <c r="AZ24" s="530">
        <f t="shared" si="3"/>
        <v>2.0494179446400005</v>
      </c>
      <c r="BA24" s="528">
        <f>AQ24*K96</f>
        <v>0.10599698880000001</v>
      </c>
      <c r="BB24" s="359">
        <v>6.45</v>
      </c>
      <c r="BC24" s="20">
        <f t="shared" si="4"/>
        <v>0.68368057776000013</v>
      </c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46" t="s">
        <v>430</v>
      </c>
      <c r="BT24" s="60">
        <f>BT14/$BT14</f>
        <v>1</v>
      </c>
      <c r="BU24" s="60">
        <f t="shared" ref="BU24" si="9">BU14/$BT14</f>
        <v>2.6524694104486803</v>
      </c>
      <c r="BV24" s="60">
        <f>BV14/$BT14</f>
        <v>7.1851413157583117</v>
      </c>
      <c r="BW24" s="60">
        <f>BW14/$BT14</f>
        <v>23.053324696091835</v>
      </c>
      <c r="BX24" s="128">
        <f>BX14/$BT14</f>
        <v>24.061845091565807</v>
      </c>
      <c r="BY24" s="60"/>
    </row>
    <row r="25" spans="2:77" x14ac:dyDescent="0.25">
      <c r="B25" s="707" t="s">
        <v>63</v>
      </c>
      <c r="C25" s="743" t="s">
        <v>32</v>
      </c>
      <c r="D25" s="743" t="s">
        <v>30</v>
      </c>
      <c r="E25" s="744" t="s">
        <v>406</v>
      </c>
      <c r="F25" s="745" t="s">
        <v>405</v>
      </c>
      <c r="G25" s="744" t="s">
        <v>404</v>
      </c>
      <c r="H25" s="745" t="s">
        <v>403</v>
      </c>
      <c r="I25" s="744" t="s">
        <v>402</v>
      </c>
      <c r="J25" s="745" t="s">
        <v>401</v>
      </c>
      <c r="K25" s="744" t="s">
        <v>400</v>
      </c>
      <c r="L25" s="745" t="s">
        <v>399</v>
      </c>
      <c r="M25" s="650" t="s">
        <v>328</v>
      </c>
      <c r="N25" s="652" t="s">
        <v>398</v>
      </c>
      <c r="O25" s="746" t="s">
        <v>397</v>
      </c>
      <c r="Q25" s="673" t="s">
        <v>9</v>
      </c>
      <c r="R25" s="580"/>
      <c r="S25" s="580">
        <v>1</v>
      </c>
      <c r="T25" s="580"/>
      <c r="U25" s="580"/>
      <c r="V25" s="580"/>
      <c r="W25" s="580"/>
      <c r="X25" s="580">
        <v>2</v>
      </c>
      <c r="Y25" s="580"/>
      <c r="Z25" s="580"/>
      <c r="AA25" s="580"/>
      <c r="AB25" s="580"/>
      <c r="AC25" s="580">
        <v>3</v>
      </c>
      <c r="AD25" s="580"/>
      <c r="AE25" s="580"/>
      <c r="AF25" s="580"/>
      <c r="AG25" s="674"/>
      <c r="AI25" s="641">
        <v>1</v>
      </c>
      <c r="AJ25" s="644" t="s">
        <v>42</v>
      </c>
      <c r="AK25" s="645"/>
      <c r="AL25" s="506">
        <v>1111</v>
      </c>
      <c r="AM25" s="93">
        <v>7112</v>
      </c>
      <c r="AN25" s="94">
        <f>'[1]Structural Information'!U11</f>
        <v>2.75</v>
      </c>
      <c r="AO25" s="94">
        <f>'[1]Structural Information'!T28/1000</f>
        <v>0.3</v>
      </c>
      <c r="AP25" s="95">
        <f t="shared" si="0"/>
        <v>1.1824999999999999</v>
      </c>
      <c r="AQ25" s="96">
        <f>(0.08*AP25*1000+0.022*'[1]Structural Information'!$AE$18*'[1]Structural Information'!$W$29)/1000</f>
        <v>0.22554399999999999</v>
      </c>
      <c r="AR25" s="522">
        <f>AP25*'[1]Structural Information'!$AE$24/AO25</f>
        <v>7.3315000000000003E-3</v>
      </c>
      <c r="AS25" s="94">
        <v>71.3</v>
      </c>
      <c r="AT25" s="96">
        <f t="shared" si="1"/>
        <v>0.52273594999999995</v>
      </c>
      <c r="AU25" s="522">
        <f>AQ25*G77</f>
        <v>1.7750312800000001E-2</v>
      </c>
      <c r="AV25" s="94">
        <v>76.8</v>
      </c>
      <c r="AW25" s="96">
        <f t="shared" si="2"/>
        <v>1.3632240230400001</v>
      </c>
      <c r="AX25" s="526">
        <f>AQ25*I77</f>
        <v>3.5681060799999997E-2</v>
      </c>
      <c r="AY25" s="17">
        <v>26.55</v>
      </c>
      <c r="AZ25" s="25">
        <f t="shared" si="3"/>
        <v>0.94733216424</v>
      </c>
      <c r="BA25" s="532">
        <f>AQ25*K77</f>
        <v>9.8472510399999991E-2</v>
      </c>
      <c r="BB25" s="496">
        <v>7.7</v>
      </c>
      <c r="BC25" s="176">
        <f t="shared" si="4"/>
        <v>0.75823833007999997</v>
      </c>
      <c r="BE25" s="56"/>
      <c r="BF25" s="56"/>
      <c r="BG25" s="56"/>
      <c r="BH25" s="56"/>
      <c r="BI25" s="56"/>
      <c r="BJ25" s="56"/>
      <c r="BK25" s="56"/>
      <c r="BL25" s="56"/>
      <c r="BM25" s="56"/>
      <c r="BN25" s="56"/>
      <c r="BO25" s="56"/>
      <c r="BP25" s="56"/>
      <c r="BQ25" s="56"/>
      <c r="BR25" s="56"/>
      <c r="BS25" s="46" t="s">
        <v>431</v>
      </c>
      <c r="BT25" s="60">
        <f t="shared" ref="BT25:BX29" si="10">BT15/$BT15</f>
        <v>1</v>
      </c>
      <c r="BU25" s="60">
        <f t="shared" si="10"/>
        <v>2.4521106004656499</v>
      </c>
      <c r="BV25" s="60">
        <f t="shared" si="10"/>
        <v>5.2788897608758205</v>
      </c>
      <c r="BW25" s="60">
        <f t="shared" si="10"/>
        <v>15.180334153808715</v>
      </c>
      <c r="BX25" s="128">
        <f t="shared" si="10"/>
        <v>15.628907226806696</v>
      </c>
      <c r="BY25" s="60"/>
    </row>
    <row r="26" spans="2:77" ht="16.5" thickBot="1" x14ac:dyDescent="0.3">
      <c r="B26" s="696"/>
      <c r="C26" s="683"/>
      <c r="D26" s="683"/>
      <c r="E26" s="698"/>
      <c r="F26" s="681"/>
      <c r="G26" s="698"/>
      <c r="H26" s="681"/>
      <c r="I26" s="698"/>
      <c r="J26" s="681"/>
      <c r="K26" s="698"/>
      <c r="L26" s="681"/>
      <c r="M26" s="651"/>
      <c r="N26" s="653"/>
      <c r="O26" s="739"/>
      <c r="Q26" s="673" t="s">
        <v>42</v>
      </c>
      <c r="R26" s="580"/>
      <c r="S26" s="77" t="s">
        <v>43</v>
      </c>
      <c r="T26" s="77" t="s">
        <v>44</v>
      </c>
      <c r="U26" s="77" t="s">
        <v>45</v>
      </c>
      <c r="V26" s="77" t="s">
        <v>46</v>
      </c>
      <c r="W26" s="78" t="s">
        <v>62</v>
      </c>
      <c r="X26" s="77" t="s">
        <v>47</v>
      </c>
      <c r="Y26" s="77" t="s">
        <v>48</v>
      </c>
      <c r="Z26" s="77" t="s">
        <v>49</v>
      </c>
      <c r="AA26" s="77" t="s">
        <v>50</v>
      </c>
      <c r="AB26" s="78" t="s">
        <v>62</v>
      </c>
      <c r="AC26" s="77" t="s">
        <v>51</v>
      </c>
      <c r="AD26" s="77" t="s">
        <v>52</v>
      </c>
      <c r="AE26" s="77" t="s">
        <v>53</v>
      </c>
      <c r="AF26" s="77" t="s">
        <v>54</v>
      </c>
      <c r="AG26" s="79" t="s">
        <v>62</v>
      </c>
      <c r="AI26" s="642"/>
      <c r="AJ26" s="646"/>
      <c r="AK26" s="647"/>
      <c r="AL26" s="507">
        <v>1211</v>
      </c>
      <c r="AM26" s="84">
        <v>7212</v>
      </c>
      <c r="AN26" s="17">
        <f>'[1]Structural Information'!U11</f>
        <v>2.75</v>
      </c>
      <c r="AO26" s="17">
        <f>'[1]Structural Information'!T33/1000</f>
        <v>0.5</v>
      </c>
      <c r="AP26" s="45">
        <f t="shared" si="0"/>
        <v>1.1824999999999999</v>
      </c>
      <c r="AQ26" s="25">
        <f>(0.08*AP26*1000+0.022*'[1]Structural Information'!$AE$18*'[1]Structural Information'!$W$34)/1000</f>
        <v>0.24191199999999999</v>
      </c>
      <c r="AR26" s="526">
        <f>AP26*'[1]Structural Information'!$AE$24/AO26</f>
        <v>4.3988999999999999E-3</v>
      </c>
      <c r="AS26" s="17">
        <v>118.8</v>
      </c>
      <c r="AT26" s="25">
        <f t="shared" si="1"/>
        <v>0.52258932000000002</v>
      </c>
      <c r="AU26" s="526">
        <f>AQ26*G83</f>
        <v>1.7659576E-2</v>
      </c>
      <c r="AV26" s="17">
        <v>128</v>
      </c>
      <c r="AW26" s="25">
        <f t="shared" si="2"/>
        <v>2.260425728</v>
      </c>
      <c r="AX26" s="526">
        <f>AQ26*I83</f>
        <v>2.9247160799999998E-2</v>
      </c>
      <c r="AY26" s="17">
        <v>102.4</v>
      </c>
      <c r="AZ26" s="25">
        <f t="shared" si="3"/>
        <v>2.9949092659200001</v>
      </c>
      <c r="BA26" s="533">
        <f>AQ26*K83</f>
        <v>6.9767420799999993E-2</v>
      </c>
      <c r="BB26" s="359">
        <v>12.8</v>
      </c>
      <c r="BC26" s="20">
        <f t="shared" si="4"/>
        <v>0.89302298623999998</v>
      </c>
      <c r="BE26" s="56"/>
      <c r="BF26" s="56"/>
      <c r="BG26" s="56"/>
      <c r="BH26" s="56"/>
      <c r="BI26" s="56"/>
      <c r="BJ26" s="56"/>
      <c r="BK26" s="56"/>
      <c r="BL26" s="56"/>
      <c r="BM26" s="56"/>
      <c r="BN26" s="56"/>
      <c r="BO26" s="56"/>
      <c r="BP26" s="56"/>
      <c r="BQ26" s="56"/>
      <c r="BR26" s="56"/>
      <c r="BS26" s="46" t="s">
        <v>432</v>
      </c>
      <c r="BT26" s="60">
        <f t="shared" si="10"/>
        <v>1</v>
      </c>
      <c r="BU26" s="60">
        <f t="shared" si="10"/>
        <v>2.4359749274562685</v>
      </c>
      <c r="BV26" s="60">
        <f t="shared" si="10"/>
        <v>4.6251014248327387</v>
      </c>
      <c r="BW26" s="60">
        <f t="shared" si="10"/>
        <v>12.289669961439845</v>
      </c>
      <c r="BX26" s="128">
        <f t="shared" si="10"/>
        <v>16.637976921616293</v>
      </c>
      <c r="BY26" s="60"/>
    </row>
    <row r="27" spans="2:77" x14ac:dyDescent="0.25">
      <c r="B27" s="695">
        <v>1</v>
      </c>
      <c r="C27" s="84">
        <v>5111</v>
      </c>
      <c r="D27" s="84" t="s">
        <v>12</v>
      </c>
      <c r="E27" s="129">
        <v>7.7999999999999996E-3</v>
      </c>
      <c r="F27" s="130">
        <v>7.7999999999999996E-3</v>
      </c>
      <c r="G27" s="129">
        <v>4.53E-2</v>
      </c>
      <c r="H27" s="130">
        <v>4.53E-2</v>
      </c>
      <c r="I27" s="131">
        <v>0.14019999999999999</v>
      </c>
      <c r="J27" s="132">
        <v>0.14019999999999999</v>
      </c>
      <c r="K27" s="131">
        <v>0.47220000000000001</v>
      </c>
      <c r="L27" s="132">
        <v>0.47220000000000001</v>
      </c>
      <c r="M27" s="133">
        <v>0</v>
      </c>
      <c r="N27" s="25">
        <f>G27/E27</f>
        <v>5.8076923076923084</v>
      </c>
      <c r="O27" s="20">
        <f>I27/E27</f>
        <v>17.974358974358974</v>
      </c>
      <c r="Q27" s="673" t="s">
        <v>61</v>
      </c>
      <c r="R27" s="591"/>
      <c r="S27" s="206">
        <v>26.55</v>
      </c>
      <c r="T27" s="94">
        <v>85.1</v>
      </c>
      <c r="U27" s="94">
        <v>85.1</v>
      </c>
      <c r="V27" s="205">
        <v>61.4</v>
      </c>
      <c r="W27" s="91">
        <f>S27+T27+U27+V27</f>
        <v>258.14999999999998</v>
      </c>
      <c r="X27" s="206">
        <v>26.55</v>
      </c>
      <c r="Y27" s="94">
        <v>71.400000000000006</v>
      </c>
      <c r="Z27" s="94">
        <v>71.400000000000006</v>
      </c>
      <c r="AA27" s="205">
        <v>40.9</v>
      </c>
      <c r="AB27" s="91">
        <f>X27+Y27+Z27+AA27</f>
        <v>210.25000000000003</v>
      </c>
      <c r="AC27" s="206">
        <v>26.55</v>
      </c>
      <c r="AD27" s="94">
        <v>67</v>
      </c>
      <c r="AE27" s="94">
        <v>67</v>
      </c>
      <c r="AF27" s="205">
        <v>38.700000000000003</v>
      </c>
      <c r="AG27" s="92">
        <f>AC27+AD27+AE27+AF27</f>
        <v>199.25</v>
      </c>
      <c r="AI27" s="642"/>
      <c r="AJ27" s="646"/>
      <c r="AK27" s="647"/>
      <c r="AL27" s="507">
        <v>1311</v>
      </c>
      <c r="AM27" s="84">
        <v>7312</v>
      </c>
      <c r="AN27" s="17">
        <f>'[1]Structural Information'!U11</f>
        <v>2.75</v>
      </c>
      <c r="AO27" s="17">
        <f>'[1]Structural Information'!T33/1000</f>
        <v>0.5</v>
      </c>
      <c r="AP27" s="45">
        <f t="shared" si="0"/>
        <v>1.1824999999999999</v>
      </c>
      <c r="AQ27" s="25">
        <f>(0.08*AP27*1000+0.022*'[1]Structural Information'!$AE$18*'[1]Structural Information'!$W$34)/1000</f>
        <v>0.24191199999999999</v>
      </c>
      <c r="AR27" s="526">
        <f>AP27*'[1]Structural Information'!$AE$24/AO27</f>
        <v>4.3988999999999999E-3</v>
      </c>
      <c r="AS27" s="17">
        <v>118.8</v>
      </c>
      <c r="AT27" s="25">
        <f t="shared" si="1"/>
        <v>0.52258932000000002</v>
      </c>
      <c r="AU27" s="526">
        <f>AQ27*G89</f>
        <v>1.7659576E-2</v>
      </c>
      <c r="AV27" s="17">
        <v>128</v>
      </c>
      <c r="AW27" s="25">
        <f t="shared" si="2"/>
        <v>2.260425728</v>
      </c>
      <c r="AX27" s="526">
        <f>AQ27*I89</f>
        <v>2.9247160799999998E-2</v>
      </c>
      <c r="AY27" s="17">
        <v>102.4</v>
      </c>
      <c r="AZ27" s="25">
        <f t="shared" si="3"/>
        <v>2.9949092659200001</v>
      </c>
      <c r="BA27" s="533">
        <f>AQ27*K89</f>
        <v>6.9767420799999993E-2</v>
      </c>
      <c r="BB27" s="359">
        <v>12.8</v>
      </c>
      <c r="BC27" s="20">
        <f t="shared" si="4"/>
        <v>0.89302298623999998</v>
      </c>
      <c r="BE27" s="56"/>
      <c r="BF27" s="56"/>
      <c r="BG27" s="56"/>
      <c r="BH27" s="56"/>
      <c r="BI27" s="56"/>
      <c r="BJ27" s="56"/>
      <c r="BK27" s="56"/>
      <c r="BL27" s="56"/>
      <c r="BM27" s="56"/>
      <c r="BN27" s="56"/>
      <c r="BO27" s="56"/>
      <c r="BP27" s="56"/>
      <c r="BQ27" s="56"/>
      <c r="BR27" s="56"/>
      <c r="BS27" s="46" t="s">
        <v>433</v>
      </c>
      <c r="BT27" s="60">
        <f t="shared" si="10"/>
        <v>1</v>
      </c>
      <c r="BU27" s="60">
        <f t="shared" si="10"/>
        <v>2.4088793858851609</v>
      </c>
      <c r="BV27" s="60">
        <f t="shared" si="10"/>
        <v>4.2811026987459417</v>
      </c>
      <c r="BW27" s="60">
        <f t="shared" si="10"/>
        <v>10.829966521709306</v>
      </c>
      <c r="BX27" s="128">
        <f t="shared" si="10"/>
        <v>11.652021595350213</v>
      </c>
      <c r="BY27" s="60"/>
    </row>
    <row r="28" spans="2:77" x14ac:dyDescent="0.25">
      <c r="B28" s="695"/>
      <c r="C28" s="84">
        <v>5112</v>
      </c>
      <c r="D28" s="84" t="s">
        <v>12</v>
      </c>
      <c r="E28" s="129">
        <v>7.7999999999999996E-3</v>
      </c>
      <c r="F28" s="130">
        <v>7.7999999999999996E-3</v>
      </c>
      <c r="G28" s="129">
        <v>4.53E-2</v>
      </c>
      <c r="H28" s="130">
        <v>4.53E-2</v>
      </c>
      <c r="I28" s="131">
        <v>0.14019999999999999</v>
      </c>
      <c r="J28" s="132">
        <v>0.14019999999999999</v>
      </c>
      <c r="K28" s="131">
        <v>0.47220000000000001</v>
      </c>
      <c r="L28" s="132">
        <v>0.47220000000000001</v>
      </c>
      <c r="M28" s="133">
        <v>0</v>
      </c>
      <c r="N28" s="25">
        <f>G28/E28</f>
        <v>5.8076923076923084</v>
      </c>
      <c r="O28" s="20">
        <f>I28/E28</f>
        <v>17.974358974358974</v>
      </c>
      <c r="Q28" s="673" t="s">
        <v>60</v>
      </c>
      <c r="R28" s="591"/>
      <c r="S28" s="237">
        <v>61.4</v>
      </c>
      <c r="T28" s="100">
        <v>102.4</v>
      </c>
      <c r="U28" s="100">
        <v>102.4</v>
      </c>
      <c r="V28" s="236">
        <v>61.4</v>
      </c>
      <c r="W28" s="91">
        <f>S28+T28+U28+V28</f>
        <v>327.60000000000002</v>
      </c>
      <c r="X28" s="237">
        <v>26.55</v>
      </c>
      <c r="Y28" s="100">
        <v>71.400000000000006</v>
      </c>
      <c r="Z28" s="100">
        <v>71.400000000000006</v>
      </c>
      <c r="AA28" s="236">
        <v>40.9</v>
      </c>
      <c r="AB28" s="91">
        <f>X28+Y28+Z28+AA28</f>
        <v>210.25000000000003</v>
      </c>
      <c r="AC28" s="237">
        <v>26.55</v>
      </c>
      <c r="AD28" s="100">
        <v>67</v>
      </c>
      <c r="AE28" s="100">
        <v>67</v>
      </c>
      <c r="AF28" s="236">
        <v>38.700000000000003</v>
      </c>
      <c r="AG28" s="92">
        <f>AC28+AD28+AE28+AF28</f>
        <v>199.25</v>
      </c>
      <c r="AI28" s="643"/>
      <c r="AJ28" s="648"/>
      <c r="AK28" s="649"/>
      <c r="AL28" s="508">
        <v>1411</v>
      </c>
      <c r="AM28" s="99">
        <v>7412</v>
      </c>
      <c r="AN28" s="100">
        <f>'[1]Structural Information'!U11</f>
        <v>2.75</v>
      </c>
      <c r="AO28" s="134">
        <f>'[1]Structural Information'!T28/1000</f>
        <v>0.3</v>
      </c>
      <c r="AP28" s="101">
        <f t="shared" si="0"/>
        <v>1.1824999999999999</v>
      </c>
      <c r="AQ28" s="102">
        <f>(0.08*AP28*1000+0.022*'[1]Structural Information'!$AE$18*'[1]Structural Information'!$W$29)/1000</f>
        <v>0.22554399999999999</v>
      </c>
      <c r="AR28" s="529">
        <f>AP28*'[1]Structural Information'!$AE$24/AO28</f>
        <v>7.3315000000000003E-3</v>
      </c>
      <c r="AS28" s="100">
        <v>71.3</v>
      </c>
      <c r="AT28" s="102">
        <f t="shared" si="1"/>
        <v>0.52273594999999995</v>
      </c>
      <c r="AU28" s="529">
        <f>AQ28*G95</f>
        <v>1.7750312800000001E-2</v>
      </c>
      <c r="AV28" s="100">
        <v>76.8</v>
      </c>
      <c r="AW28" s="102">
        <f t="shared" si="2"/>
        <v>1.3632240230400001</v>
      </c>
      <c r="AX28" s="526">
        <f>AQ28*I95</f>
        <v>3.5681060799999997E-2</v>
      </c>
      <c r="AY28" s="17">
        <v>61.4</v>
      </c>
      <c r="AZ28" s="25">
        <f t="shared" si="3"/>
        <v>2.1908171331199999</v>
      </c>
      <c r="BA28" s="534">
        <f>AQ28*K95</f>
        <v>9.8472510399999991E-2</v>
      </c>
      <c r="BB28" s="516">
        <v>7.7</v>
      </c>
      <c r="BC28" s="143">
        <f t="shared" si="4"/>
        <v>0.75823833007999997</v>
      </c>
      <c r="BE28" s="56"/>
      <c r="BF28" s="56"/>
      <c r="BG28" s="56"/>
      <c r="BH28" s="56"/>
      <c r="BI28" s="56"/>
      <c r="BJ28" s="56"/>
      <c r="BK28" s="56"/>
      <c r="BL28" s="56"/>
      <c r="BM28" s="56"/>
      <c r="BN28" s="56"/>
      <c r="BO28" s="56"/>
      <c r="BP28" s="56"/>
      <c r="BQ28" s="56"/>
      <c r="BR28" s="56"/>
      <c r="BS28" s="46" t="s">
        <v>434</v>
      </c>
      <c r="BT28" s="60">
        <f t="shared" si="10"/>
        <v>1</v>
      </c>
      <c r="BU28" s="60">
        <f t="shared" si="10"/>
        <v>2.8267606651071797</v>
      </c>
      <c r="BV28" s="60">
        <f t="shared" si="10"/>
        <v>4.9300423141765233</v>
      </c>
      <c r="BW28" s="60">
        <f t="shared" si="10"/>
        <v>12.358249444465377</v>
      </c>
      <c r="BX28" s="128">
        <f t="shared" si="10"/>
        <v>14.809708625592615</v>
      </c>
      <c r="BY28" s="60"/>
    </row>
    <row r="29" spans="2:77" ht="16.5" thickBot="1" x14ac:dyDescent="0.3">
      <c r="B29" s="695"/>
      <c r="C29" s="84">
        <v>5113</v>
      </c>
      <c r="D29" s="84" t="s">
        <v>12</v>
      </c>
      <c r="E29" s="129">
        <v>7.7999999999999996E-3</v>
      </c>
      <c r="F29" s="130">
        <v>7.7999999999999996E-3</v>
      </c>
      <c r="G29" s="129">
        <v>4.53E-2</v>
      </c>
      <c r="H29" s="130">
        <v>4.53E-2</v>
      </c>
      <c r="I29" s="131">
        <v>0.14019999999999999</v>
      </c>
      <c r="J29" s="132">
        <v>0.14019999999999999</v>
      </c>
      <c r="K29" s="131">
        <v>0.47220000000000001</v>
      </c>
      <c r="L29" s="132">
        <v>0.47220000000000001</v>
      </c>
      <c r="M29" s="133">
        <v>0</v>
      </c>
      <c r="N29" s="25">
        <f t="shared" ref="N29:N31" si="11">G29/E29</f>
        <v>5.8076923076923084</v>
      </c>
      <c r="O29" s="20">
        <f t="shared" ref="O29:O31" si="12">I29/E29</f>
        <v>17.974358974358974</v>
      </c>
      <c r="Q29" s="690" t="s">
        <v>73</v>
      </c>
      <c r="R29" s="691"/>
      <c r="S29" s="692"/>
      <c r="T29" s="692"/>
      <c r="U29" s="692"/>
      <c r="V29" s="692"/>
      <c r="W29" s="691"/>
      <c r="X29" s="692"/>
      <c r="Y29" s="692"/>
      <c r="Z29" s="692"/>
      <c r="AA29" s="692"/>
      <c r="AB29" s="691"/>
      <c r="AC29" s="692"/>
      <c r="AD29" s="692"/>
      <c r="AE29" s="692"/>
      <c r="AF29" s="692"/>
      <c r="AG29" s="693"/>
      <c r="AI29" s="673">
        <v>0</v>
      </c>
      <c r="AJ29" s="701" t="s">
        <v>42</v>
      </c>
      <c r="AK29" s="701"/>
      <c r="AL29" s="93">
        <v>1110</v>
      </c>
      <c r="AM29" s="93">
        <v>7111</v>
      </c>
      <c r="AN29" s="94">
        <f>'[1]Structural Information'!U11</f>
        <v>2.75</v>
      </c>
      <c r="AO29" s="94">
        <f>'[1]Structural Information'!T28/1000</f>
        <v>0.3</v>
      </c>
      <c r="AP29" s="135">
        <f>'[1]Structural Information'!$T$11/((S5/S6)+1)</f>
        <v>1.9204211557296766</v>
      </c>
      <c r="AQ29" s="96">
        <f>(0.08*AP29*1000+0.022*'[1]Structural Information'!$AE$18*'[1]Structural Information'!$W$29)/1000</f>
        <v>0.28457769245837417</v>
      </c>
      <c r="AR29" s="526">
        <f>0.7*'[1]Structural Information'!$AE$34*AP29/AO29</f>
        <v>8.3346278158667984E-3</v>
      </c>
      <c r="AS29" s="17">
        <v>71.3</v>
      </c>
      <c r="AT29" s="381">
        <f t="shared" si="1"/>
        <v>0.59425896327130268</v>
      </c>
      <c r="AU29" s="527">
        <f>AQ29*G77</f>
        <v>2.2396264396474047E-2</v>
      </c>
      <c r="AV29" s="17">
        <v>76.8</v>
      </c>
      <c r="AW29" s="25">
        <f t="shared" si="2"/>
        <v>1.7200331056492069</v>
      </c>
      <c r="AX29" s="522">
        <f>AQ29*I77</f>
        <v>4.5020190946914798E-2</v>
      </c>
      <c r="AY29" s="94">
        <v>61.4</v>
      </c>
      <c r="AZ29" s="523">
        <f t="shared" si="3"/>
        <v>2.7642397241405687</v>
      </c>
      <c r="BA29" s="528">
        <f>AQ29*K77</f>
        <v>0.12424662052732616</v>
      </c>
      <c r="BB29" s="359">
        <v>7.7</v>
      </c>
      <c r="BC29" s="20">
        <f t="shared" si="4"/>
        <v>0.95669897806041138</v>
      </c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1" t="s">
        <v>435</v>
      </c>
      <c r="BT29" s="30">
        <f t="shared" si="10"/>
        <v>1</v>
      </c>
      <c r="BU29" s="30">
        <f t="shared" si="10"/>
        <v>3.5437554840569079</v>
      </c>
      <c r="BV29" s="30">
        <f t="shared" si="10"/>
        <v>6.3283275855006149</v>
      </c>
      <c r="BW29" s="30">
        <f t="shared" si="10"/>
        <v>16.170259419515421</v>
      </c>
      <c r="BX29" s="136">
        <f t="shared" si="10"/>
        <v>18.824993355174424</v>
      </c>
      <c r="BY29" s="60"/>
    </row>
    <row r="30" spans="2:77" x14ac:dyDescent="0.25">
      <c r="B30" s="695"/>
      <c r="C30" s="84">
        <v>5114</v>
      </c>
      <c r="D30" s="84" t="s">
        <v>12</v>
      </c>
      <c r="E30" s="129">
        <v>7.7999999999999996E-3</v>
      </c>
      <c r="F30" s="130">
        <v>7.7999999999999996E-3</v>
      </c>
      <c r="G30" s="129">
        <v>4.53E-2</v>
      </c>
      <c r="H30" s="130">
        <v>4.53E-2</v>
      </c>
      <c r="I30" s="131">
        <v>0.14019999999999999</v>
      </c>
      <c r="J30" s="132">
        <v>0.14019999999999999</v>
      </c>
      <c r="K30" s="131">
        <v>0.47220000000000001</v>
      </c>
      <c r="L30" s="132">
        <v>0.47220000000000001</v>
      </c>
      <c r="M30" s="133">
        <v>0</v>
      </c>
      <c r="N30" s="25">
        <f t="shared" si="11"/>
        <v>5.8076923076923084</v>
      </c>
      <c r="O30" s="20">
        <f t="shared" si="12"/>
        <v>17.974358974358974</v>
      </c>
      <c r="Q30" s="673" t="s">
        <v>9</v>
      </c>
      <c r="R30" s="580"/>
      <c r="S30" s="580">
        <v>4</v>
      </c>
      <c r="T30" s="580"/>
      <c r="U30" s="580"/>
      <c r="V30" s="580"/>
      <c r="W30" s="580"/>
      <c r="X30" s="580">
        <v>5</v>
      </c>
      <c r="Y30" s="580"/>
      <c r="Z30" s="580"/>
      <c r="AA30" s="580"/>
      <c r="AB30" s="580"/>
      <c r="AC30" s="580">
        <v>6</v>
      </c>
      <c r="AD30" s="580"/>
      <c r="AE30" s="580"/>
      <c r="AF30" s="580"/>
      <c r="AG30" s="674"/>
      <c r="AI30" s="673"/>
      <c r="AJ30" s="701"/>
      <c r="AK30" s="701"/>
      <c r="AL30" s="84">
        <v>1210</v>
      </c>
      <c r="AM30" s="84">
        <v>7211</v>
      </c>
      <c r="AN30" s="17">
        <f>'[1]Structural Information'!U11</f>
        <v>2.75</v>
      </c>
      <c r="AO30" s="17">
        <f>'[1]Structural Information'!T33/1000</f>
        <v>0.5</v>
      </c>
      <c r="AP30" s="24">
        <f>'[1]Structural Information'!$T$11/((T5/T6)+1)</f>
        <v>1.5013786764705881</v>
      </c>
      <c r="AQ30" s="25">
        <f>(0.08*AP30*1000+0.022*'[1]Structural Information'!$AE$18*'[1]Structural Information'!$W$34)/1000</f>
        <v>0.26742229411764701</v>
      </c>
      <c r="AR30" s="526">
        <f>0.7*'[1]Structural Information'!$AE$34*AP30/AO30</f>
        <v>3.909590073529411E-3</v>
      </c>
      <c r="AS30" s="17">
        <v>118.8</v>
      </c>
      <c r="AT30" s="381">
        <f t="shared" si="1"/>
        <v>0.46445930073529401</v>
      </c>
      <c r="AU30" s="527">
        <f>AQ30*G83</f>
        <v>1.952182747058823E-2</v>
      </c>
      <c r="AV30" s="17">
        <v>128</v>
      </c>
      <c r="AW30" s="25">
        <f t="shared" si="2"/>
        <v>2.4987939162352935</v>
      </c>
      <c r="AX30" s="526">
        <f>AQ30*I83</f>
        <v>3.2331355358823519E-2</v>
      </c>
      <c r="AY30" s="17">
        <v>102.4</v>
      </c>
      <c r="AZ30" s="381">
        <f t="shared" si="3"/>
        <v>3.3107307887435287</v>
      </c>
      <c r="BA30" s="528">
        <f>AQ30*K83</f>
        <v>7.7124589623529388E-2</v>
      </c>
      <c r="BB30" s="359">
        <v>12.8</v>
      </c>
      <c r="BC30" s="20">
        <f t="shared" si="4"/>
        <v>0.98719474718117617</v>
      </c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</row>
    <row r="31" spans="2:77" x14ac:dyDescent="0.25">
      <c r="B31" s="695"/>
      <c r="C31" s="84">
        <v>5115</v>
      </c>
      <c r="D31" s="84" t="s">
        <v>12</v>
      </c>
      <c r="E31" s="129">
        <v>7.7999999999999996E-3</v>
      </c>
      <c r="F31" s="130">
        <v>7.7999999999999996E-3</v>
      </c>
      <c r="G31" s="129">
        <v>4.53E-2</v>
      </c>
      <c r="H31" s="130">
        <v>4.53E-2</v>
      </c>
      <c r="I31" s="131">
        <v>0.14019999999999999</v>
      </c>
      <c r="J31" s="132">
        <v>0.14019999999999999</v>
      </c>
      <c r="K31" s="131">
        <v>0.47220000000000001</v>
      </c>
      <c r="L31" s="132">
        <v>0.47220000000000001</v>
      </c>
      <c r="M31" s="133">
        <v>0</v>
      </c>
      <c r="N31" s="25">
        <f t="shared" si="11"/>
        <v>5.8076923076923084</v>
      </c>
      <c r="O31" s="20">
        <f t="shared" si="12"/>
        <v>17.974358974358974</v>
      </c>
      <c r="Q31" s="673" t="s">
        <v>42</v>
      </c>
      <c r="R31" s="580"/>
      <c r="S31" s="77" t="s">
        <v>55</v>
      </c>
      <c r="T31" s="77" t="s">
        <v>56</v>
      </c>
      <c r="U31" s="77" t="s">
        <v>57</v>
      </c>
      <c r="V31" s="77" t="s">
        <v>58</v>
      </c>
      <c r="W31" s="78" t="s">
        <v>62</v>
      </c>
      <c r="X31" s="77" t="s">
        <v>65</v>
      </c>
      <c r="Y31" s="77" t="s">
        <v>66</v>
      </c>
      <c r="Z31" s="77" t="s">
        <v>67</v>
      </c>
      <c r="AA31" s="77" t="s">
        <v>68</v>
      </c>
      <c r="AB31" s="78" t="s">
        <v>62</v>
      </c>
      <c r="AC31" s="77" t="s">
        <v>69</v>
      </c>
      <c r="AD31" s="77" t="s">
        <v>70</v>
      </c>
      <c r="AE31" s="77" t="s">
        <v>71</v>
      </c>
      <c r="AF31" s="77" t="s">
        <v>72</v>
      </c>
      <c r="AG31" s="79" t="s">
        <v>62</v>
      </c>
      <c r="AI31" s="673"/>
      <c r="AJ31" s="701"/>
      <c r="AK31" s="701"/>
      <c r="AL31" s="84">
        <v>1310</v>
      </c>
      <c r="AM31" s="84">
        <v>7311</v>
      </c>
      <c r="AN31" s="17">
        <f>'[1]Structural Information'!U11</f>
        <v>2.75</v>
      </c>
      <c r="AO31" s="17">
        <f>'[1]Structural Information'!T33/1000</f>
        <v>0.5</v>
      </c>
      <c r="AP31" s="24">
        <f>'[1]Structural Information'!$T$11/((U5/U6)+1)</f>
        <v>1.5013786764705881</v>
      </c>
      <c r="AQ31" s="25">
        <f>(0.08*AP31*1000+0.022*'[1]Structural Information'!$AE$18*'[1]Structural Information'!$W$34)/1000</f>
        <v>0.26742229411764701</v>
      </c>
      <c r="AR31" s="526">
        <f>0.7*'[1]Structural Information'!$AE$34*AP31/AO31</f>
        <v>3.909590073529411E-3</v>
      </c>
      <c r="AS31" s="17">
        <v>118.8</v>
      </c>
      <c r="AT31" s="381">
        <f t="shared" si="1"/>
        <v>0.46445930073529401</v>
      </c>
      <c r="AU31" s="527">
        <f>AQ31*G89</f>
        <v>1.952182747058823E-2</v>
      </c>
      <c r="AV31" s="17">
        <v>128</v>
      </c>
      <c r="AW31" s="25">
        <f t="shared" si="2"/>
        <v>2.4987939162352935</v>
      </c>
      <c r="AX31" s="526">
        <f>AQ31*I89</f>
        <v>3.2331355358823519E-2</v>
      </c>
      <c r="AY31" s="17">
        <v>102.4</v>
      </c>
      <c r="AZ31" s="381">
        <f t="shared" si="3"/>
        <v>3.3107307887435287</v>
      </c>
      <c r="BA31" s="528">
        <f>AQ31*K89</f>
        <v>7.7124589623529388E-2</v>
      </c>
      <c r="BB31" s="359">
        <v>12.8</v>
      </c>
      <c r="BC31" s="20">
        <f t="shared" si="4"/>
        <v>0.98719474718117617</v>
      </c>
    </row>
    <row r="32" spans="2:77" ht="16.5" thickBot="1" x14ac:dyDescent="0.3">
      <c r="B32" s="703"/>
      <c r="C32" s="99">
        <v>5116</v>
      </c>
      <c r="D32" s="99" t="s">
        <v>12</v>
      </c>
      <c r="E32" s="138">
        <v>7.7999999999999996E-3</v>
      </c>
      <c r="F32" s="139">
        <v>7.7999999999999996E-3</v>
      </c>
      <c r="G32" s="138">
        <v>4.53E-2</v>
      </c>
      <c r="H32" s="139">
        <v>4.53E-2</v>
      </c>
      <c r="I32" s="140">
        <v>0.14019999999999999</v>
      </c>
      <c r="J32" s="141">
        <v>0.14019999999999999</v>
      </c>
      <c r="K32" s="140">
        <v>0.47220000000000001</v>
      </c>
      <c r="L32" s="141">
        <v>0.47220000000000001</v>
      </c>
      <c r="M32" s="142">
        <v>0</v>
      </c>
      <c r="N32" s="102">
        <f t="shared" ref="N32" si="13">G32/E32</f>
        <v>5.8076923076923084</v>
      </c>
      <c r="O32" s="143">
        <f t="shared" ref="O32" si="14">I32/E32</f>
        <v>17.974358974358974</v>
      </c>
      <c r="Q32" s="673" t="s">
        <v>61</v>
      </c>
      <c r="R32" s="591"/>
      <c r="S32" s="206">
        <v>26.55</v>
      </c>
      <c r="T32" s="94">
        <v>42.7</v>
      </c>
      <c r="U32" s="94">
        <v>42.7</v>
      </c>
      <c r="V32" s="205">
        <v>35.799999999999997</v>
      </c>
      <c r="W32" s="91">
        <f>S32+T32+U32+V32</f>
        <v>147.75</v>
      </c>
      <c r="X32" s="206">
        <v>26.55</v>
      </c>
      <c r="Y32" s="94">
        <v>38.5</v>
      </c>
      <c r="Z32" s="94">
        <v>38.5</v>
      </c>
      <c r="AA32" s="205">
        <v>31.3</v>
      </c>
      <c r="AB32" s="91">
        <f>X32+Y32+Z32+AA32</f>
        <v>134.85</v>
      </c>
      <c r="AC32" s="206">
        <v>26.5</v>
      </c>
      <c r="AD32" s="94">
        <v>31</v>
      </c>
      <c r="AE32" s="94">
        <v>31</v>
      </c>
      <c r="AF32" s="205">
        <v>26.5</v>
      </c>
      <c r="AG32" s="92">
        <f>AC32+AD32+AE32+AF32</f>
        <v>115</v>
      </c>
      <c r="AI32" s="675"/>
      <c r="AJ32" s="702"/>
      <c r="AK32" s="702"/>
      <c r="AL32" s="121">
        <v>1410</v>
      </c>
      <c r="AM32" s="121">
        <v>7411</v>
      </c>
      <c r="AN32" s="30">
        <f>'[1]Structural Information'!U11</f>
        <v>2.75</v>
      </c>
      <c r="AO32" s="30">
        <f>'[1]Structural Information'!T28/1000</f>
        <v>0.3</v>
      </c>
      <c r="AP32" s="35">
        <f>'[1]Structural Information'!$T$11/((V5/V6)+1)</f>
        <v>1.375</v>
      </c>
      <c r="AQ32" s="36">
        <f>(0.08*AP32*1000+0.022*'[1]Structural Information'!$AE$18*'[1]Structural Information'!$W$29)/1000</f>
        <v>0.24094399999999999</v>
      </c>
      <c r="AR32" s="535">
        <f>0.7*'[1]Structural Information'!$AE$34*AP32/AO32</f>
        <v>5.9674999999999997E-3</v>
      </c>
      <c r="AS32" s="30">
        <v>71.3</v>
      </c>
      <c r="AT32" s="536">
        <f t="shared" si="1"/>
        <v>0.42548274999999997</v>
      </c>
      <c r="AU32" s="537">
        <f>AQ32*G95</f>
        <v>1.8962292800000002E-2</v>
      </c>
      <c r="AV32" s="30">
        <v>76.8</v>
      </c>
      <c r="AW32" s="36">
        <f t="shared" si="2"/>
        <v>1.4563040870400001</v>
      </c>
      <c r="AX32" s="535">
        <f>AQ32*I95</f>
        <v>3.8117340800000003E-2</v>
      </c>
      <c r="AY32" s="30">
        <v>61.4</v>
      </c>
      <c r="AZ32" s="536">
        <f t="shared" si="3"/>
        <v>2.34040472512</v>
      </c>
      <c r="BA32" s="538">
        <f>AQ32*K95</f>
        <v>0.10519615039999999</v>
      </c>
      <c r="BB32" s="519">
        <v>7.7</v>
      </c>
      <c r="BC32" s="33">
        <f t="shared" si="4"/>
        <v>0.81001035807999999</v>
      </c>
    </row>
    <row r="33" spans="2:33" ht="16.5" thickBot="1" x14ac:dyDescent="0.3">
      <c r="B33" s="694">
        <v>2</v>
      </c>
      <c r="C33" s="93">
        <v>5211</v>
      </c>
      <c r="D33" s="93" t="s">
        <v>12</v>
      </c>
      <c r="E33" s="144">
        <v>7.7999999999999996E-3</v>
      </c>
      <c r="F33" s="145">
        <v>7.7999999999999996E-3</v>
      </c>
      <c r="G33" s="144">
        <v>4.53E-2</v>
      </c>
      <c r="H33" s="145">
        <v>4.53E-2</v>
      </c>
      <c r="I33" s="146">
        <v>0.14019999999999999</v>
      </c>
      <c r="J33" s="147">
        <v>0.14019999999999999</v>
      </c>
      <c r="K33" s="146">
        <v>0.47220000000000001</v>
      </c>
      <c r="L33" s="147">
        <v>0.47220000000000001</v>
      </c>
      <c r="M33" s="25">
        <v>0</v>
      </c>
      <c r="N33" s="25">
        <f>G33/E33</f>
        <v>5.8076923076923084</v>
      </c>
      <c r="O33" s="20">
        <f>I33/E33</f>
        <v>17.974358974358974</v>
      </c>
      <c r="Q33" s="675" t="s">
        <v>60</v>
      </c>
      <c r="R33" s="676"/>
      <c r="S33" s="31">
        <v>26.55</v>
      </c>
      <c r="T33" s="30">
        <v>42.7</v>
      </c>
      <c r="U33" s="30">
        <v>42.7</v>
      </c>
      <c r="V33" s="280">
        <v>35.799999999999997</v>
      </c>
      <c r="W33" s="119">
        <f>S33+T33+U33+V33</f>
        <v>147.75</v>
      </c>
      <c r="X33" s="31">
        <v>26.55</v>
      </c>
      <c r="Y33" s="30">
        <v>38.5</v>
      </c>
      <c r="Z33" s="30">
        <v>38.5</v>
      </c>
      <c r="AA33" s="280">
        <v>31.3</v>
      </c>
      <c r="AB33" s="119">
        <f>X33+Y33+Z33+AA33</f>
        <v>134.85</v>
      </c>
      <c r="AC33" s="31">
        <v>26.5</v>
      </c>
      <c r="AD33" s="30">
        <v>31</v>
      </c>
      <c r="AE33" s="30">
        <v>31</v>
      </c>
      <c r="AF33" s="280">
        <v>26.5</v>
      </c>
      <c r="AG33" s="120">
        <f>AC33+AD33+AE33+AF33</f>
        <v>115</v>
      </c>
    </row>
    <row r="34" spans="2:33" ht="16.5" thickBot="1" x14ac:dyDescent="0.3">
      <c r="B34" s="695"/>
      <c r="C34" s="84">
        <v>5212</v>
      </c>
      <c r="D34" s="84" t="s">
        <v>12</v>
      </c>
      <c r="E34" s="129">
        <v>7.7999999999999996E-3</v>
      </c>
      <c r="F34" s="130">
        <v>7.7999999999999996E-3</v>
      </c>
      <c r="G34" s="129">
        <v>4.53E-2</v>
      </c>
      <c r="H34" s="130">
        <v>4.53E-2</v>
      </c>
      <c r="I34" s="131">
        <v>0.14019999999999999</v>
      </c>
      <c r="J34" s="132">
        <v>0.14019999999999999</v>
      </c>
      <c r="K34" s="131">
        <v>0.47220000000000001</v>
      </c>
      <c r="L34" s="132">
        <v>0.47220000000000001</v>
      </c>
      <c r="M34" s="25">
        <v>0</v>
      </c>
      <c r="N34" s="25">
        <f>G34/E34</f>
        <v>5.8076923076923084</v>
      </c>
      <c r="O34" s="20">
        <f>I34/E34</f>
        <v>17.974358974358974</v>
      </c>
    </row>
    <row r="35" spans="2:33" ht="16.5" thickBot="1" x14ac:dyDescent="0.3">
      <c r="B35" s="695"/>
      <c r="C35" s="84">
        <v>5213</v>
      </c>
      <c r="D35" s="84" t="s">
        <v>12</v>
      </c>
      <c r="E35" s="129">
        <v>7.7999999999999996E-3</v>
      </c>
      <c r="F35" s="130">
        <v>7.7999999999999996E-3</v>
      </c>
      <c r="G35" s="129">
        <v>4.53E-2</v>
      </c>
      <c r="H35" s="130">
        <v>4.53E-2</v>
      </c>
      <c r="I35" s="131">
        <v>0.14019999999999999</v>
      </c>
      <c r="J35" s="132">
        <v>0.14019999999999999</v>
      </c>
      <c r="K35" s="131">
        <v>0.47220000000000001</v>
      </c>
      <c r="L35" s="132">
        <v>0.47220000000000001</v>
      </c>
      <c r="M35" s="25">
        <v>0</v>
      </c>
      <c r="N35" s="25">
        <f t="shared" ref="N35:N38" si="15">G35/E35</f>
        <v>5.8076923076923084</v>
      </c>
      <c r="O35" s="20">
        <f t="shared" ref="O35:O38" si="16">I35/E35</f>
        <v>17.974358974358974</v>
      </c>
      <c r="Q35" s="670" t="s">
        <v>310</v>
      </c>
      <c r="R35" s="671"/>
      <c r="S35" s="671"/>
      <c r="T35" s="671"/>
      <c r="U35" s="671"/>
      <c r="V35" s="671"/>
      <c r="W35" s="671"/>
      <c r="X35" s="671"/>
      <c r="Y35" s="671"/>
      <c r="Z35" s="671"/>
      <c r="AA35" s="671"/>
      <c r="AB35" s="671"/>
      <c r="AC35" s="671"/>
      <c r="AD35" s="671"/>
      <c r="AE35" s="671"/>
      <c r="AF35" s="671"/>
      <c r="AG35" s="672"/>
    </row>
    <row r="36" spans="2:33" x14ac:dyDescent="0.25">
      <c r="B36" s="695"/>
      <c r="C36" s="84">
        <v>5214</v>
      </c>
      <c r="D36" s="84" t="s">
        <v>12</v>
      </c>
      <c r="E36" s="129">
        <v>7.7999999999999996E-3</v>
      </c>
      <c r="F36" s="130">
        <v>7.7999999999999996E-3</v>
      </c>
      <c r="G36" s="129">
        <v>4.53E-2</v>
      </c>
      <c r="H36" s="130">
        <v>4.53E-2</v>
      </c>
      <c r="I36" s="131">
        <v>0.14019999999999999</v>
      </c>
      <c r="J36" s="132">
        <v>0.14019999999999999</v>
      </c>
      <c r="K36" s="131">
        <v>0.47220000000000001</v>
      </c>
      <c r="L36" s="132">
        <v>0.47220000000000001</v>
      </c>
      <c r="M36" s="25">
        <v>0</v>
      </c>
      <c r="N36" s="25">
        <f t="shared" si="15"/>
        <v>5.8076923076923084</v>
      </c>
      <c r="O36" s="20">
        <f t="shared" si="16"/>
        <v>17.974358974358974</v>
      </c>
      <c r="Q36" s="747" t="s">
        <v>9</v>
      </c>
      <c r="R36" s="748"/>
      <c r="S36" s="748">
        <v>1</v>
      </c>
      <c r="T36" s="748"/>
      <c r="U36" s="748"/>
      <c r="V36" s="748"/>
      <c r="W36" s="748"/>
      <c r="X36" s="748">
        <v>2</v>
      </c>
      <c r="Y36" s="748"/>
      <c r="Z36" s="748"/>
      <c r="AA36" s="748"/>
      <c r="AB36" s="748"/>
      <c r="AC36" s="748">
        <v>3</v>
      </c>
      <c r="AD36" s="748"/>
      <c r="AE36" s="748"/>
      <c r="AF36" s="748"/>
      <c r="AG36" s="749"/>
    </row>
    <row r="37" spans="2:33" x14ac:dyDescent="0.25">
      <c r="B37" s="695"/>
      <c r="C37" s="84">
        <v>5215</v>
      </c>
      <c r="D37" s="84" t="s">
        <v>12</v>
      </c>
      <c r="E37" s="129">
        <v>7.7999999999999996E-3</v>
      </c>
      <c r="F37" s="130">
        <v>7.7999999999999996E-3</v>
      </c>
      <c r="G37" s="129">
        <v>4.53E-2</v>
      </c>
      <c r="H37" s="130">
        <v>4.53E-2</v>
      </c>
      <c r="I37" s="131">
        <v>0.14019999999999999</v>
      </c>
      <c r="J37" s="132">
        <v>0.14019999999999999</v>
      </c>
      <c r="K37" s="131">
        <v>0.47220000000000001</v>
      </c>
      <c r="L37" s="132">
        <v>0.47220000000000001</v>
      </c>
      <c r="M37" s="25">
        <v>0</v>
      </c>
      <c r="N37" s="25">
        <f t="shared" si="15"/>
        <v>5.8076923076923084</v>
      </c>
      <c r="O37" s="20">
        <f t="shared" si="16"/>
        <v>17.974358974358974</v>
      </c>
      <c r="Q37" s="673" t="s">
        <v>42</v>
      </c>
      <c r="R37" s="580"/>
      <c r="S37" s="77" t="s">
        <v>43</v>
      </c>
      <c r="T37" s="77" t="s">
        <v>44</v>
      </c>
      <c r="U37" s="77" t="s">
        <v>45</v>
      </c>
      <c r="V37" s="77" t="s">
        <v>46</v>
      </c>
      <c r="W37" s="78" t="s">
        <v>62</v>
      </c>
      <c r="X37" s="77" t="s">
        <v>47</v>
      </c>
      <c r="Y37" s="77" t="s">
        <v>48</v>
      </c>
      <c r="Z37" s="77" t="s">
        <v>49</v>
      </c>
      <c r="AA37" s="77" t="s">
        <v>50</v>
      </c>
      <c r="AB37" s="78" t="s">
        <v>62</v>
      </c>
      <c r="AC37" s="77" t="s">
        <v>51</v>
      </c>
      <c r="AD37" s="77" t="s">
        <v>52</v>
      </c>
      <c r="AE37" s="77" t="s">
        <v>53</v>
      </c>
      <c r="AF37" s="77" t="s">
        <v>54</v>
      </c>
      <c r="AG37" s="79" t="s">
        <v>62</v>
      </c>
    </row>
    <row r="38" spans="2:33" x14ac:dyDescent="0.25">
      <c r="B38" s="703"/>
      <c r="C38" s="99">
        <v>5216</v>
      </c>
      <c r="D38" s="99" t="s">
        <v>12</v>
      </c>
      <c r="E38" s="138">
        <v>7.7999999999999996E-3</v>
      </c>
      <c r="F38" s="139">
        <v>7.7999999999999996E-3</v>
      </c>
      <c r="G38" s="138">
        <v>4.53E-2</v>
      </c>
      <c r="H38" s="139">
        <v>4.53E-2</v>
      </c>
      <c r="I38" s="140">
        <v>0.14019999999999999</v>
      </c>
      <c r="J38" s="141">
        <v>0.14019999999999999</v>
      </c>
      <c r="K38" s="140">
        <v>0.47220000000000001</v>
      </c>
      <c r="L38" s="141">
        <v>0.47220000000000001</v>
      </c>
      <c r="M38" s="25">
        <v>0</v>
      </c>
      <c r="N38" s="102">
        <f t="shared" si="15"/>
        <v>5.8076923076923084</v>
      </c>
      <c r="O38" s="143">
        <f t="shared" si="16"/>
        <v>17.974358974358974</v>
      </c>
      <c r="Q38" s="673" t="s">
        <v>61</v>
      </c>
      <c r="R38" s="591"/>
      <c r="S38" s="512">
        <v>3.3</v>
      </c>
      <c r="T38" s="496">
        <v>10.6</v>
      </c>
      <c r="U38" s="496">
        <v>10.6</v>
      </c>
      <c r="V38" s="513">
        <v>7.7</v>
      </c>
      <c r="W38" s="514">
        <f>S38+T38+U38+V38</f>
        <v>32.200000000000003</v>
      </c>
      <c r="X38" s="512">
        <v>3.3</v>
      </c>
      <c r="Y38" s="496">
        <v>8.9</v>
      </c>
      <c r="Z38" s="496">
        <v>8.9</v>
      </c>
      <c r="AA38" s="513">
        <v>5.0999999999999996</v>
      </c>
      <c r="AB38" s="514">
        <f>X38+Y38+Z38+AA38</f>
        <v>26.200000000000003</v>
      </c>
      <c r="AC38" s="512">
        <v>3.3</v>
      </c>
      <c r="AD38" s="496">
        <v>8.4</v>
      </c>
      <c r="AE38" s="496">
        <v>8.4</v>
      </c>
      <c r="AF38" s="513">
        <v>4.8</v>
      </c>
      <c r="AG38" s="92">
        <f>AC38+AD38+AE38+AF38</f>
        <v>24.900000000000002</v>
      </c>
    </row>
    <row r="39" spans="2:33" x14ac:dyDescent="0.25">
      <c r="B39" s="694">
        <v>3</v>
      </c>
      <c r="C39" s="93">
        <v>5311</v>
      </c>
      <c r="D39" s="93" t="s">
        <v>12</v>
      </c>
      <c r="E39" s="144">
        <v>7.7999999999999996E-3</v>
      </c>
      <c r="F39" s="145">
        <v>7.7999999999999996E-3</v>
      </c>
      <c r="G39" s="144">
        <v>4.53E-2</v>
      </c>
      <c r="H39" s="145">
        <v>4.53E-2</v>
      </c>
      <c r="I39" s="146">
        <v>0.14019999999999999</v>
      </c>
      <c r="J39" s="147">
        <v>0.14019999999999999</v>
      </c>
      <c r="K39" s="146">
        <v>0.47220000000000001</v>
      </c>
      <c r="L39" s="147">
        <v>0.47220000000000001</v>
      </c>
      <c r="M39" s="148">
        <v>0</v>
      </c>
      <c r="N39" s="25">
        <f>G39/E39</f>
        <v>5.8076923076923084</v>
      </c>
      <c r="O39" s="20">
        <f>I39/E39</f>
        <v>17.974358974358974</v>
      </c>
      <c r="Q39" s="673" t="s">
        <v>60</v>
      </c>
      <c r="R39" s="591"/>
      <c r="S39" s="515">
        <v>7.7</v>
      </c>
      <c r="T39" s="516">
        <v>12.8</v>
      </c>
      <c r="U39" s="516">
        <v>12.8</v>
      </c>
      <c r="V39" s="517">
        <v>7.7</v>
      </c>
      <c r="W39" s="514">
        <f>S39+T39+U39+V39</f>
        <v>41</v>
      </c>
      <c r="X39" s="515">
        <v>3.3</v>
      </c>
      <c r="Y39" s="516">
        <v>8.9</v>
      </c>
      <c r="Z39" s="516">
        <v>8.9</v>
      </c>
      <c r="AA39" s="517">
        <v>5.0999999999999996</v>
      </c>
      <c r="AB39" s="514">
        <f>X39+Y39+Z39+AA39</f>
        <v>26.200000000000003</v>
      </c>
      <c r="AC39" s="515">
        <v>3.3</v>
      </c>
      <c r="AD39" s="516">
        <v>8.4</v>
      </c>
      <c r="AE39" s="516">
        <v>8.4</v>
      </c>
      <c r="AF39" s="517">
        <v>4.8</v>
      </c>
      <c r="AG39" s="92">
        <f>AC39+AD39+AE39+AF39</f>
        <v>24.900000000000002</v>
      </c>
    </row>
    <row r="40" spans="2:33" x14ac:dyDescent="0.25">
      <c r="B40" s="695"/>
      <c r="C40" s="84">
        <v>5312</v>
      </c>
      <c r="D40" s="84" t="s">
        <v>12</v>
      </c>
      <c r="E40" s="129">
        <v>7.7999999999999996E-3</v>
      </c>
      <c r="F40" s="130">
        <v>7.7999999999999996E-3</v>
      </c>
      <c r="G40" s="129">
        <v>4.53E-2</v>
      </c>
      <c r="H40" s="130">
        <v>4.53E-2</v>
      </c>
      <c r="I40" s="131">
        <v>0.14019999999999999</v>
      </c>
      <c r="J40" s="132">
        <v>0.14019999999999999</v>
      </c>
      <c r="K40" s="131">
        <v>0.47220000000000001</v>
      </c>
      <c r="L40" s="132">
        <v>0.47220000000000001</v>
      </c>
      <c r="M40" s="133">
        <v>0</v>
      </c>
      <c r="N40" s="25">
        <f>G40/E40</f>
        <v>5.8076923076923084</v>
      </c>
      <c r="O40" s="20">
        <f>I40/E40</f>
        <v>17.974358974358974</v>
      </c>
      <c r="Q40" s="750" t="s">
        <v>73</v>
      </c>
      <c r="R40" s="751"/>
      <c r="S40" s="752"/>
      <c r="T40" s="752"/>
      <c r="U40" s="752"/>
      <c r="V40" s="752"/>
      <c r="W40" s="751"/>
      <c r="X40" s="752"/>
      <c r="Y40" s="752"/>
      <c r="Z40" s="752"/>
      <c r="AA40" s="752"/>
      <c r="AB40" s="751"/>
      <c r="AC40" s="752"/>
      <c r="AD40" s="752"/>
      <c r="AE40" s="752"/>
      <c r="AF40" s="752"/>
      <c r="AG40" s="753"/>
    </row>
    <row r="41" spans="2:33" x14ac:dyDescent="0.25">
      <c r="B41" s="695"/>
      <c r="C41" s="84">
        <v>5313</v>
      </c>
      <c r="D41" s="84" t="s">
        <v>12</v>
      </c>
      <c r="E41" s="129">
        <v>7.7999999999999996E-3</v>
      </c>
      <c r="F41" s="130">
        <v>7.7999999999999996E-3</v>
      </c>
      <c r="G41" s="129">
        <v>4.53E-2</v>
      </c>
      <c r="H41" s="130">
        <v>4.53E-2</v>
      </c>
      <c r="I41" s="131">
        <v>0.14019999999999999</v>
      </c>
      <c r="J41" s="132">
        <v>0.14019999999999999</v>
      </c>
      <c r="K41" s="131">
        <v>0.47220000000000001</v>
      </c>
      <c r="L41" s="132">
        <v>0.47220000000000001</v>
      </c>
      <c r="M41" s="133">
        <v>0</v>
      </c>
      <c r="N41" s="25">
        <f t="shared" ref="N41:N44" si="17">G41/E41</f>
        <v>5.8076923076923084</v>
      </c>
      <c r="O41" s="20">
        <f t="shared" ref="O41:O44" si="18">I41/E41</f>
        <v>17.974358974358974</v>
      </c>
      <c r="Q41" s="673" t="s">
        <v>9</v>
      </c>
      <c r="R41" s="580"/>
      <c r="S41" s="580">
        <v>4</v>
      </c>
      <c r="T41" s="580"/>
      <c r="U41" s="580"/>
      <c r="V41" s="580"/>
      <c r="W41" s="580"/>
      <c r="X41" s="580">
        <v>5</v>
      </c>
      <c r="Y41" s="580"/>
      <c r="Z41" s="580"/>
      <c r="AA41" s="580"/>
      <c r="AB41" s="580"/>
      <c r="AC41" s="580">
        <v>6</v>
      </c>
      <c r="AD41" s="580"/>
      <c r="AE41" s="580"/>
      <c r="AF41" s="580"/>
      <c r="AG41" s="674"/>
    </row>
    <row r="42" spans="2:33" x14ac:dyDescent="0.25">
      <c r="B42" s="695"/>
      <c r="C42" s="84">
        <v>5314</v>
      </c>
      <c r="D42" s="84" t="s">
        <v>12</v>
      </c>
      <c r="E42" s="129">
        <v>7.7999999999999996E-3</v>
      </c>
      <c r="F42" s="130">
        <v>7.7999999999999996E-3</v>
      </c>
      <c r="G42" s="129">
        <v>4.53E-2</v>
      </c>
      <c r="H42" s="130">
        <v>4.53E-2</v>
      </c>
      <c r="I42" s="131">
        <v>0.14019999999999999</v>
      </c>
      <c r="J42" s="132">
        <v>0.14019999999999999</v>
      </c>
      <c r="K42" s="131">
        <v>0.47220000000000001</v>
      </c>
      <c r="L42" s="132">
        <v>0.47220000000000001</v>
      </c>
      <c r="M42" s="133">
        <v>0</v>
      </c>
      <c r="N42" s="25">
        <f t="shared" si="17"/>
        <v>5.8076923076923084</v>
      </c>
      <c r="O42" s="20">
        <f t="shared" si="18"/>
        <v>17.974358974358974</v>
      </c>
      <c r="Q42" s="673" t="s">
        <v>42</v>
      </c>
      <c r="R42" s="580"/>
      <c r="S42" s="77" t="s">
        <v>55</v>
      </c>
      <c r="T42" s="77" t="s">
        <v>56</v>
      </c>
      <c r="U42" s="77" t="s">
        <v>57</v>
      </c>
      <c r="V42" s="77" t="s">
        <v>58</v>
      </c>
      <c r="W42" s="78" t="s">
        <v>62</v>
      </c>
      <c r="X42" s="77" t="s">
        <v>65</v>
      </c>
      <c r="Y42" s="77" t="s">
        <v>66</v>
      </c>
      <c r="Z42" s="77" t="s">
        <v>67</v>
      </c>
      <c r="AA42" s="77" t="s">
        <v>68</v>
      </c>
      <c r="AB42" s="78" t="s">
        <v>62</v>
      </c>
      <c r="AC42" s="77" t="s">
        <v>69</v>
      </c>
      <c r="AD42" s="77" t="s">
        <v>70</v>
      </c>
      <c r="AE42" s="77" t="s">
        <v>71</v>
      </c>
      <c r="AF42" s="77" t="s">
        <v>72</v>
      </c>
      <c r="AG42" s="79" t="s">
        <v>62</v>
      </c>
    </row>
    <row r="43" spans="2:33" x14ac:dyDescent="0.25">
      <c r="B43" s="695"/>
      <c r="C43" s="84">
        <v>5315</v>
      </c>
      <c r="D43" s="84" t="s">
        <v>12</v>
      </c>
      <c r="E43" s="129">
        <v>7.7999999999999996E-3</v>
      </c>
      <c r="F43" s="130">
        <v>7.7999999999999996E-3</v>
      </c>
      <c r="G43" s="129">
        <v>4.53E-2</v>
      </c>
      <c r="H43" s="130">
        <v>4.53E-2</v>
      </c>
      <c r="I43" s="131">
        <v>0.14019999999999999</v>
      </c>
      <c r="J43" s="132">
        <v>0.14019999999999999</v>
      </c>
      <c r="K43" s="131">
        <v>0.47220000000000001</v>
      </c>
      <c r="L43" s="132">
        <v>0.47220000000000001</v>
      </c>
      <c r="M43" s="133">
        <v>0</v>
      </c>
      <c r="N43" s="25">
        <f t="shared" si="17"/>
        <v>5.8076923076923084</v>
      </c>
      <c r="O43" s="20">
        <f t="shared" si="18"/>
        <v>17.974358974358974</v>
      </c>
      <c r="Q43" s="673" t="s">
        <v>61</v>
      </c>
      <c r="R43" s="591"/>
      <c r="S43" s="512">
        <v>3.3</v>
      </c>
      <c r="T43" s="496">
        <v>5.3</v>
      </c>
      <c r="U43" s="496">
        <v>5.3</v>
      </c>
      <c r="V43" s="513">
        <v>4.5</v>
      </c>
      <c r="W43" s="514">
        <f>S43+T43+U43+V43</f>
        <v>18.399999999999999</v>
      </c>
      <c r="X43" s="512">
        <v>3.3</v>
      </c>
      <c r="Y43" s="496">
        <v>4.8</v>
      </c>
      <c r="Z43" s="496">
        <v>4.8</v>
      </c>
      <c r="AA43" s="513">
        <v>3.9</v>
      </c>
      <c r="AB43" s="514">
        <f>X43+Y43+Z43+AA43</f>
        <v>16.799999999999997</v>
      </c>
      <c r="AC43" s="512">
        <v>3.3</v>
      </c>
      <c r="AD43" s="496">
        <v>3.9</v>
      </c>
      <c r="AE43" s="496">
        <v>3.9</v>
      </c>
      <c r="AF43" s="513">
        <v>3.3</v>
      </c>
      <c r="AG43" s="92">
        <f>AC43+AD43+AE43+AF43</f>
        <v>14.399999999999999</v>
      </c>
    </row>
    <row r="44" spans="2:33" ht="16.5" thickBot="1" x14ac:dyDescent="0.3">
      <c r="B44" s="696"/>
      <c r="C44" s="121">
        <v>5316</v>
      </c>
      <c r="D44" s="121" t="s">
        <v>12</v>
      </c>
      <c r="E44" s="149">
        <v>7.7999999999999996E-3</v>
      </c>
      <c r="F44" s="150">
        <v>7.7999999999999996E-3</v>
      </c>
      <c r="G44" s="149">
        <v>4.53E-2</v>
      </c>
      <c r="H44" s="150">
        <v>4.53E-2</v>
      </c>
      <c r="I44" s="151">
        <v>0.14019999999999999</v>
      </c>
      <c r="J44" s="152">
        <v>0.14019999999999999</v>
      </c>
      <c r="K44" s="151">
        <v>0.47220000000000001</v>
      </c>
      <c r="L44" s="152">
        <v>0.47220000000000001</v>
      </c>
      <c r="M44" s="153">
        <v>0</v>
      </c>
      <c r="N44" s="36">
        <f t="shared" si="17"/>
        <v>5.8076923076923084</v>
      </c>
      <c r="O44" s="33">
        <f t="shared" si="18"/>
        <v>17.974358974358974</v>
      </c>
      <c r="Q44" s="675" t="s">
        <v>60</v>
      </c>
      <c r="R44" s="676"/>
      <c r="S44" s="518">
        <v>3.3</v>
      </c>
      <c r="T44" s="519">
        <v>5.3</v>
      </c>
      <c r="U44" s="519">
        <v>5.3</v>
      </c>
      <c r="V44" s="520">
        <v>4.5</v>
      </c>
      <c r="W44" s="521">
        <f>S44+T44+U44+V44</f>
        <v>18.399999999999999</v>
      </c>
      <c r="X44" s="518">
        <v>3.3</v>
      </c>
      <c r="Y44" s="519">
        <v>4.8</v>
      </c>
      <c r="Z44" s="519">
        <v>4.8</v>
      </c>
      <c r="AA44" s="520">
        <v>3.9</v>
      </c>
      <c r="AB44" s="521">
        <f>X44+Y44+Z44+AA44</f>
        <v>16.799999999999997</v>
      </c>
      <c r="AC44" s="518">
        <v>3.3</v>
      </c>
      <c r="AD44" s="519">
        <v>3.9</v>
      </c>
      <c r="AE44" s="519">
        <v>3.9</v>
      </c>
      <c r="AF44" s="520">
        <v>3.3</v>
      </c>
      <c r="AG44" s="120">
        <f>AC44+AD44+AE44+AF44</f>
        <v>14.399999999999999</v>
      </c>
    </row>
    <row r="45" spans="2:33" ht="16.5" thickBot="1" x14ac:dyDescent="0.3"/>
    <row r="46" spans="2:33" ht="16.5" thickBot="1" x14ac:dyDescent="0.3">
      <c r="B46" s="740" t="s">
        <v>300</v>
      </c>
      <c r="C46" s="741"/>
      <c r="D46" s="741"/>
      <c r="E46" s="741"/>
      <c r="F46" s="741"/>
      <c r="G46" s="741"/>
      <c r="H46" s="741"/>
      <c r="I46" s="741"/>
      <c r="J46" s="741"/>
      <c r="K46" s="741"/>
      <c r="L46" s="741"/>
      <c r="M46" s="741"/>
      <c r="N46" s="741"/>
      <c r="O46" s="742"/>
    </row>
    <row r="47" spans="2:33" ht="15" customHeight="1" x14ac:dyDescent="0.25">
      <c r="B47" s="684" t="s">
        <v>64</v>
      </c>
      <c r="C47" s="682" t="s">
        <v>32</v>
      </c>
      <c r="D47" s="682" t="s">
        <v>30</v>
      </c>
      <c r="E47" s="697" t="s">
        <v>221</v>
      </c>
      <c r="F47" s="680" t="s">
        <v>222</v>
      </c>
      <c r="G47" s="682" t="s">
        <v>225</v>
      </c>
      <c r="H47" s="682" t="s">
        <v>226</v>
      </c>
      <c r="I47" s="697" t="s">
        <v>223</v>
      </c>
      <c r="J47" s="680" t="s">
        <v>224</v>
      </c>
      <c r="K47" s="697" t="s">
        <v>304</v>
      </c>
      <c r="L47" s="680" t="s">
        <v>305</v>
      </c>
      <c r="M47" s="650"/>
      <c r="N47" s="652"/>
      <c r="O47" s="738"/>
      <c r="R47" s="154"/>
      <c r="S47" s="155"/>
      <c r="T47" s="155"/>
      <c r="U47" s="155"/>
      <c r="V47" s="155"/>
      <c r="W47" s="155"/>
      <c r="X47" s="155"/>
      <c r="Y47" s="155"/>
      <c r="Z47" s="155"/>
      <c r="AA47" s="155"/>
      <c r="AB47" s="155"/>
      <c r="AC47" s="155"/>
      <c r="AD47" s="156"/>
    </row>
    <row r="48" spans="2:33" ht="16.5" thickBot="1" x14ac:dyDescent="0.3">
      <c r="B48" s="685"/>
      <c r="C48" s="683"/>
      <c r="D48" s="683"/>
      <c r="E48" s="698"/>
      <c r="F48" s="681"/>
      <c r="G48" s="683"/>
      <c r="H48" s="683"/>
      <c r="I48" s="698"/>
      <c r="J48" s="681"/>
      <c r="K48" s="698"/>
      <c r="L48" s="681"/>
      <c r="M48" s="651"/>
      <c r="N48" s="653"/>
      <c r="O48" s="739"/>
      <c r="R48" s="5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6"/>
    </row>
    <row r="49" spans="2:30" x14ac:dyDescent="0.25">
      <c r="B49" s="707">
        <v>1</v>
      </c>
      <c r="C49" s="84">
        <v>7111</v>
      </c>
      <c r="D49" s="84" t="s">
        <v>28</v>
      </c>
      <c r="E49" s="85">
        <v>71.3</v>
      </c>
      <c r="F49" s="86">
        <v>71.3</v>
      </c>
      <c r="G49" s="157">
        <v>76.8</v>
      </c>
      <c r="H49" s="157">
        <v>76.8</v>
      </c>
      <c r="I49" s="85">
        <v>61.4</v>
      </c>
      <c r="J49" s="86">
        <v>61.4</v>
      </c>
      <c r="K49" s="85">
        <v>7.7</v>
      </c>
      <c r="L49" s="86">
        <v>7.7</v>
      </c>
      <c r="M49" s="158"/>
      <c r="N49" s="158"/>
      <c r="O49" s="159"/>
      <c r="R49" s="5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6"/>
    </row>
    <row r="50" spans="2:30" x14ac:dyDescent="0.25">
      <c r="B50" s="695"/>
      <c r="C50" s="84">
        <v>7112</v>
      </c>
      <c r="D50" s="84" t="s">
        <v>27</v>
      </c>
      <c r="E50" s="85">
        <v>47.5</v>
      </c>
      <c r="F50" s="86">
        <v>47.5</v>
      </c>
      <c r="G50" s="157">
        <v>51.1</v>
      </c>
      <c r="H50" s="157">
        <v>51.1</v>
      </c>
      <c r="I50" s="85">
        <v>40.9</v>
      </c>
      <c r="J50" s="86">
        <v>40.9</v>
      </c>
      <c r="K50" s="85">
        <v>5.0999999999999996</v>
      </c>
      <c r="L50" s="86">
        <v>5.0999999999999996</v>
      </c>
      <c r="M50" s="158"/>
      <c r="N50" s="158"/>
      <c r="O50" s="159"/>
      <c r="R50" s="5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6"/>
    </row>
    <row r="51" spans="2:30" x14ac:dyDescent="0.25">
      <c r="B51" s="695"/>
      <c r="C51" s="84">
        <v>7113</v>
      </c>
      <c r="D51" s="84" t="s">
        <v>27</v>
      </c>
      <c r="E51" s="85">
        <v>44.9</v>
      </c>
      <c r="F51" s="86">
        <v>44.9</v>
      </c>
      <c r="G51" s="157">
        <v>48.4</v>
      </c>
      <c r="H51" s="157">
        <v>48.4</v>
      </c>
      <c r="I51" s="85">
        <v>38.700000000000003</v>
      </c>
      <c r="J51" s="86">
        <v>38.700000000000003</v>
      </c>
      <c r="K51" s="85">
        <v>4.8</v>
      </c>
      <c r="L51" s="86">
        <v>4.8</v>
      </c>
      <c r="M51" s="158"/>
      <c r="N51" s="158"/>
      <c r="O51" s="159"/>
      <c r="R51" s="5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6"/>
    </row>
    <row r="52" spans="2:30" x14ac:dyDescent="0.25">
      <c r="B52" s="695"/>
      <c r="C52" s="84">
        <v>7114</v>
      </c>
      <c r="D52" s="84" t="s">
        <v>27</v>
      </c>
      <c r="E52" s="85">
        <v>41.5</v>
      </c>
      <c r="F52" s="86">
        <v>41.5</v>
      </c>
      <c r="G52" s="157">
        <v>44.7</v>
      </c>
      <c r="H52" s="157">
        <v>44.7</v>
      </c>
      <c r="I52" s="85">
        <v>35.799999999999997</v>
      </c>
      <c r="J52" s="86">
        <v>35.799999999999997</v>
      </c>
      <c r="K52" s="85">
        <v>4.5</v>
      </c>
      <c r="L52" s="86">
        <v>4.5</v>
      </c>
      <c r="M52" s="158"/>
      <c r="N52" s="158"/>
      <c r="O52" s="159"/>
      <c r="R52" s="5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6"/>
    </row>
    <row r="53" spans="2:30" x14ac:dyDescent="0.25">
      <c r="B53" s="695"/>
      <c r="C53" s="84">
        <v>7115</v>
      </c>
      <c r="D53" s="84" t="s">
        <v>27</v>
      </c>
      <c r="E53" s="85">
        <v>36.4</v>
      </c>
      <c r="F53" s="86">
        <v>36.4</v>
      </c>
      <c r="G53" s="157">
        <v>39.200000000000003</v>
      </c>
      <c r="H53" s="157">
        <v>39.200000000000003</v>
      </c>
      <c r="I53" s="85">
        <v>31.3</v>
      </c>
      <c r="J53" s="86">
        <v>31.3</v>
      </c>
      <c r="K53" s="85">
        <v>3.9</v>
      </c>
      <c r="L53" s="86">
        <v>3.9</v>
      </c>
      <c r="M53" s="158"/>
      <c r="N53" s="158"/>
      <c r="O53" s="159"/>
      <c r="R53" s="5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6"/>
    </row>
    <row r="54" spans="2:30" x14ac:dyDescent="0.25">
      <c r="B54" s="703"/>
      <c r="C54" s="99">
        <v>7116</v>
      </c>
      <c r="D54" s="99" t="s">
        <v>27</v>
      </c>
      <c r="E54" s="107">
        <v>30.8</v>
      </c>
      <c r="F54" s="108">
        <v>30.8</v>
      </c>
      <c r="G54" s="160">
        <v>33.1</v>
      </c>
      <c r="H54" s="160">
        <v>33.1</v>
      </c>
      <c r="I54" s="107">
        <v>26.5</v>
      </c>
      <c r="J54" s="108">
        <v>26.5</v>
      </c>
      <c r="K54" s="107">
        <v>3.3</v>
      </c>
      <c r="L54" s="108">
        <v>3.3</v>
      </c>
      <c r="M54" s="161"/>
      <c r="N54" s="161"/>
      <c r="O54" s="162"/>
      <c r="R54" s="5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6"/>
    </row>
    <row r="55" spans="2:30" x14ac:dyDescent="0.25">
      <c r="B55" s="694">
        <v>2</v>
      </c>
      <c r="C55" s="93">
        <v>7211</v>
      </c>
      <c r="D55" s="93" t="s">
        <v>29</v>
      </c>
      <c r="E55" s="113">
        <v>118.8</v>
      </c>
      <c r="F55" s="114">
        <v>118.8</v>
      </c>
      <c r="G55" s="163">
        <v>128</v>
      </c>
      <c r="H55" s="163">
        <v>128</v>
      </c>
      <c r="I55" s="113">
        <v>102.4</v>
      </c>
      <c r="J55" s="114">
        <v>102.4</v>
      </c>
      <c r="K55" s="113">
        <v>12.8</v>
      </c>
      <c r="L55" s="114">
        <v>12.8</v>
      </c>
      <c r="M55" s="164"/>
      <c r="N55" s="164"/>
      <c r="O55" s="165"/>
      <c r="R55" s="5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6"/>
    </row>
    <row r="56" spans="2:30" x14ac:dyDescent="0.25">
      <c r="B56" s="695"/>
      <c r="C56" s="84">
        <v>7212</v>
      </c>
      <c r="D56" s="84" t="s">
        <v>28</v>
      </c>
      <c r="E56" s="85">
        <v>82.8</v>
      </c>
      <c r="F56" s="86">
        <v>82.8</v>
      </c>
      <c r="G56" s="157">
        <v>89.2</v>
      </c>
      <c r="H56" s="157">
        <v>89.2</v>
      </c>
      <c r="I56" s="85">
        <v>71.400000000000006</v>
      </c>
      <c r="J56" s="86">
        <v>71.400000000000006</v>
      </c>
      <c r="K56" s="85">
        <v>8.9</v>
      </c>
      <c r="L56" s="86">
        <v>8.9</v>
      </c>
      <c r="M56" s="158"/>
      <c r="N56" s="158"/>
      <c r="O56" s="159"/>
      <c r="R56" s="5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6"/>
    </row>
    <row r="57" spans="2:30" x14ac:dyDescent="0.25">
      <c r="B57" s="695"/>
      <c r="C57" s="84">
        <v>7213</v>
      </c>
      <c r="D57" s="84" t="s">
        <v>28</v>
      </c>
      <c r="E57" s="85">
        <v>77.8</v>
      </c>
      <c r="F57" s="86">
        <v>77.8</v>
      </c>
      <c r="G57" s="157">
        <v>83.8</v>
      </c>
      <c r="H57" s="157">
        <v>83.8</v>
      </c>
      <c r="I57" s="85">
        <v>67</v>
      </c>
      <c r="J57" s="86">
        <v>67</v>
      </c>
      <c r="K57" s="85">
        <v>8.4</v>
      </c>
      <c r="L57" s="86">
        <v>8.4</v>
      </c>
      <c r="M57" s="158"/>
      <c r="N57" s="158"/>
      <c r="O57" s="159"/>
      <c r="R57" s="5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6"/>
    </row>
    <row r="58" spans="2:30" x14ac:dyDescent="0.25">
      <c r="B58" s="695"/>
      <c r="C58" s="84">
        <v>7214</v>
      </c>
      <c r="D58" s="84" t="s">
        <v>27</v>
      </c>
      <c r="E58" s="85">
        <v>49.6</v>
      </c>
      <c r="F58" s="86">
        <v>49.6</v>
      </c>
      <c r="G58" s="157">
        <v>53.4</v>
      </c>
      <c r="H58" s="157">
        <v>53.4</v>
      </c>
      <c r="I58" s="85">
        <v>42.7</v>
      </c>
      <c r="J58" s="86">
        <v>42.7</v>
      </c>
      <c r="K58" s="85">
        <v>5.3</v>
      </c>
      <c r="L58" s="86">
        <v>5.3</v>
      </c>
      <c r="M58" s="158"/>
      <c r="N58" s="158"/>
      <c r="O58" s="159"/>
      <c r="R58" s="5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6"/>
    </row>
    <row r="59" spans="2:30" x14ac:dyDescent="0.25">
      <c r="B59" s="695"/>
      <c r="C59" s="84">
        <v>7215</v>
      </c>
      <c r="D59" s="84" t="s">
        <v>27</v>
      </c>
      <c r="E59" s="85">
        <v>44.7</v>
      </c>
      <c r="F59" s="86">
        <v>44.7</v>
      </c>
      <c r="G59" s="157">
        <v>48.1</v>
      </c>
      <c r="H59" s="157">
        <v>48.1</v>
      </c>
      <c r="I59" s="85">
        <v>38.5</v>
      </c>
      <c r="J59" s="86">
        <v>38.5</v>
      </c>
      <c r="K59" s="85">
        <v>4.8</v>
      </c>
      <c r="L59" s="86">
        <v>4.8</v>
      </c>
      <c r="M59" s="158"/>
      <c r="N59" s="158"/>
      <c r="O59" s="159"/>
      <c r="R59" s="5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6"/>
    </row>
    <row r="60" spans="2:30" x14ac:dyDescent="0.25">
      <c r="B60" s="703"/>
      <c r="C60" s="99">
        <v>7216</v>
      </c>
      <c r="D60" s="99" t="s">
        <v>27</v>
      </c>
      <c r="E60" s="107">
        <v>36</v>
      </c>
      <c r="F60" s="108">
        <v>36</v>
      </c>
      <c r="G60" s="160">
        <v>38.799999999999997</v>
      </c>
      <c r="H60" s="160">
        <v>38.799999999999997</v>
      </c>
      <c r="I60" s="107">
        <v>31</v>
      </c>
      <c r="J60" s="108">
        <v>31</v>
      </c>
      <c r="K60" s="107">
        <v>3.9</v>
      </c>
      <c r="L60" s="108">
        <v>3.9</v>
      </c>
      <c r="M60" s="161"/>
      <c r="N60" s="161"/>
      <c r="O60" s="162"/>
      <c r="R60" s="5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6"/>
    </row>
    <row r="61" spans="2:30" x14ac:dyDescent="0.25">
      <c r="B61" s="694">
        <v>3</v>
      </c>
      <c r="C61" s="93">
        <v>7311</v>
      </c>
      <c r="D61" s="93" t="s">
        <v>29</v>
      </c>
      <c r="E61" s="113">
        <v>118.8</v>
      </c>
      <c r="F61" s="114">
        <v>118.8</v>
      </c>
      <c r="G61" s="163">
        <v>128</v>
      </c>
      <c r="H61" s="163">
        <v>128</v>
      </c>
      <c r="I61" s="113">
        <v>102.4</v>
      </c>
      <c r="J61" s="114">
        <v>102.4</v>
      </c>
      <c r="K61" s="113">
        <v>12.8</v>
      </c>
      <c r="L61" s="114">
        <v>12.8</v>
      </c>
      <c r="M61" s="164"/>
      <c r="N61" s="164"/>
      <c r="O61" s="165"/>
      <c r="R61" s="5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6"/>
    </row>
    <row r="62" spans="2:30" x14ac:dyDescent="0.25">
      <c r="B62" s="695"/>
      <c r="C62" s="84">
        <v>7312</v>
      </c>
      <c r="D62" s="84" t="s">
        <v>28</v>
      </c>
      <c r="E62" s="85">
        <v>82.8</v>
      </c>
      <c r="F62" s="86">
        <v>82.8</v>
      </c>
      <c r="G62" s="157">
        <v>89.2</v>
      </c>
      <c r="H62" s="157">
        <v>89.2</v>
      </c>
      <c r="I62" s="85">
        <v>71.400000000000006</v>
      </c>
      <c r="J62" s="86">
        <v>71.400000000000006</v>
      </c>
      <c r="K62" s="85">
        <v>8.9</v>
      </c>
      <c r="L62" s="86">
        <v>8.9</v>
      </c>
      <c r="M62" s="158"/>
      <c r="N62" s="158"/>
      <c r="O62" s="159"/>
      <c r="R62" s="5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6"/>
    </row>
    <row r="63" spans="2:30" x14ac:dyDescent="0.25">
      <c r="B63" s="695"/>
      <c r="C63" s="84">
        <v>7313</v>
      </c>
      <c r="D63" s="84" t="s">
        <v>28</v>
      </c>
      <c r="E63" s="85">
        <v>77.8</v>
      </c>
      <c r="F63" s="86">
        <v>77.8</v>
      </c>
      <c r="G63" s="157">
        <v>83.8</v>
      </c>
      <c r="H63" s="157">
        <v>83.8</v>
      </c>
      <c r="I63" s="85">
        <v>67</v>
      </c>
      <c r="J63" s="86">
        <v>67</v>
      </c>
      <c r="K63" s="85">
        <v>8.4</v>
      </c>
      <c r="L63" s="86">
        <v>8.4</v>
      </c>
      <c r="M63" s="158"/>
      <c r="N63" s="158"/>
      <c r="O63" s="159"/>
      <c r="R63" s="5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6"/>
    </row>
    <row r="64" spans="2:30" x14ac:dyDescent="0.25">
      <c r="B64" s="695"/>
      <c r="C64" s="84">
        <v>7314</v>
      </c>
      <c r="D64" s="84" t="s">
        <v>27</v>
      </c>
      <c r="E64" s="85">
        <v>49.6</v>
      </c>
      <c r="F64" s="86">
        <v>49.6</v>
      </c>
      <c r="G64" s="157">
        <v>53.4</v>
      </c>
      <c r="H64" s="157">
        <v>53.4</v>
      </c>
      <c r="I64" s="85">
        <v>42.7</v>
      </c>
      <c r="J64" s="86">
        <v>42.7</v>
      </c>
      <c r="K64" s="85">
        <v>5.3</v>
      </c>
      <c r="L64" s="86">
        <v>5.3</v>
      </c>
      <c r="M64" s="158"/>
      <c r="N64" s="158"/>
      <c r="O64" s="159"/>
      <c r="R64" s="5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6"/>
    </row>
    <row r="65" spans="2:30" x14ac:dyDescent="0.25">
      <c r="B65" s="695"/>
      <c r="C65" s="84">
        <v>7315</v>
      </c>
      <c r="D65" s="84" t="s">
        <v>27</v>
      </c>
      <c r="E65" s="85">
        <v>44.7</v>
      </c>
      <c r="F65" s="86">
        <v>44.7</v>
      </c>
      <c r="G65" s="157">
        <v>48.1</v>
      </c>
      <c r="H65" s="157">
        <v>48.1</v>
      </c>
      <c r="I65" s="85">
        <v>38.5</v>
      </c>
      <c r="J65" s="86">
        <v>38.5</v>
      </c>
      <c r="K65" s="85">
        <v>4.8</v>
      </c>
      <c r="L65" s="86">
        <v>4.8</v>
      </c>
      <c r="M65" s="158"/>
      <c r="N65" s="158"/>
      <c r="O65" s="159"/>
      <c r="R65" s="5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6"/>
    </row>
    <row r="66" spans="2:30" x14ac:dyDescent="0.25">
      <c r="B66" s="703"/>
      <c r="C66" s="99">
        <v>7316</v>
      </c>
      <c r="D66" s="99" t="s">
        <v>27</v>
      </c>
      <c r="E66" s="107">
        <v>36</v>
      </c>
      <c r="F66" s="108">
        <v>36</v>
      </c>
      <c r="G66" s="160">
        <v>38.799999999999997</v>
      </c>
      <c r="H66" s="160">
        <v>38.799999999999997</v>
      </c>
      <c r="I66" s="107">
        <v>31</v>
      </c>
      <c r="J66" s="108">
        <v>31</v>
      </c>
      <c r="K66" s="107">
        <v>3.9</v>
      </c>
      <c r="L66" s="108">
        <v>3.9</v>
      </c>
      <c r="M66" s="161"/>
      <c r="N66" s="161"/>
      <c r="O66" s="162"/>
      <c r="R66" s="5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6"/>
    </row>
    <row r="67" spans="2:30" x14ac:dyDescent="0.25">
      <c r="B67" s="694">
        <v>4</v>
      </c>
      <c r="C67" s="93">
        <v>7411</v>
      </c>
      <c r="D67" s="93" t="s">
        <v>28</v>
      </c>
      <c r="E67" s="113">
        <v>71.3</v>
      </c>
      <c r="F67" s="114">
        <v>71.3</v>
      </c>
      <c r="G67" s="163">
        <v>76.8</v>
      </c>
      <c r="H67" s="163">
        <v>76.8</v>
      </c>
      <c r="I67" s="113">
        <v>61.4</v>
      </c>
      <c r="J67" s="114">
        <v>61.4</v>
      </c>
      <c r="K67" s="113">
        <v>7.7</v>
      </c>
      <c r="L67" s="114">
        <v>7.7</v>
      </c>
      <c r="M67" s="164"/>
      <c r="N67" s="164"/>
      <c r="O67" s="165"/>
      <c r="R67" s="5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6"/>
    </row>
    <row r="68" spans="2:30" x14ac:dyDescent="0.25">
      <c r="B68" s="695"/>
      <c r="C68" s="84">
        <v>7412</v>
      </c>
      <c r="D68" s="84" t="s">
        <v>27</v>
      </c>
      <c r="E68" s="85">
        <v>47.5</v>
      </c>
      <c r="F68" s="86">
        <v>47.5</v>
      </c>
      <c r="G68" s="157">
        <v>51.1</v>
      </c>
      <c r="H68" s="157">
        <v>51.1</v>
      </c>
      <c r="I68" s="85">
        <v>40.9</v>
      </c>
      <c r="J68" s="86">
        <v>40.9</v>
      </c>
      <c r="K68" s="85">
        <v>5.0999999999999996</v>
      </c>
      <c r="L68" s="86">
        <v>5.0999999999999996</v>
      </c>
      <c r="M68" s="158"/>
      <c r="N68" s="158"/>
      <c r="O68" s="159"/>
      <c r="R68" s="5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6"/>
    </row>
    <row r="69" spans="2:30" x14ac:dyDescent="0.25">
      <c r="B69" s="695"/>
      <c r="C69" s="84">
        <v>7413</v>
      </c>
      <c r="D69" s="84" t="s">
        <v>27</v>
      </c>
      <c r="E69" s="85">
        <v>44.9</v>
      </c>
      <c r="F69" s="86">
        <v>44.9</v>
      </c>
      <c r="G69" s="157">
        <v>48.4</v>
      </c>
      <c r="H69" s="157">
        <v>48.4</v>
      </c>
      <c r="I69" s="85">
        <v>38.700000000000003</v>
      </c>
      <c r="J69" s="86">
        <v>38.700000000000003</v>
      </c>
      <c r="K69" s="85">
        <v>4.8</v>
      </c>
      <c r="L69" s="86">
        <v>4.8</v>
      </c>
      <c r="M69" s="158"/>
      <c r="N69" s="158"/>
      <c r="O69" s="159"/>
      <c r="R69" s="5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6"/>
    </row>
    <row r="70" spans="2:30" x14ac:dyDescent="0.25">
      <c r="B70" s="695"/>
      <c r="C70" s="84">
        <v>7414</v>
      </c>
      <c r="D70" s="84" t="s">
        <v>27</v>
      </c>
      <c r="E70" s="85">
        <v>41.5</v>
      </c>
      <c r="F70" s="86">
        <v>41.5</v>
      </c>
      <c r="G70" s="157">
        <v>44.7</v>
      </c>
      <c r="H70" s="157">
        <v>44.7</v>
      </c>
      <c r="I70" s="85">
        <v>35.799999999999997</v>
      </c>
      <c r="J70" s="86">
        <v>35.799999999999997</v>
      </c>
      <c r="K70" s="85">
        <v>4.5</v>
      </c>
      <c r="L70" s="86">
        <v>4.5</v>
      </c>
      <c r="M70" s="158"/>
      <c r="N70" s="158"/>
      <c r="O70" s="159"/>
      <c r="R70" s="5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6"/>
    </row>
    <row r="71" spans="2:30" x14ac:dyDescent="0.25">
      <c r="B71" s="695"/>
      <c r="C71" s="84">
        <v>7415</v>
      </c>
      <c r="D71" s="84" t="s">
        <v>27</v>
      </c>
      <c r="E71" s="85">
        <v>36.4</v>
      </c>
      <c r="F71" s="86">
        <v>36.4</v>
      </c>
      <c r="G71" s="157">
        <v>39.200000000000003</v>
      </c>
      <c r="H71" s="157">
        <v>39.200000000000003</v>
      </c>
      <c r="I71" s="85">
        <v>31.3</v>
      </c>
      <c r="J71" s="86">
        <v>31.3</v>
      </c>
      <c r="K71" s="85">
        <v>3.9</v>
      </c>
      <c r="L71" s="86">
        <v>3.9</v>
      </c>
      <c r="M71" s="158"/>
      <c r="N71" s="158"/>
      <c r="O71" s="159"/>
      <c r="R71" s="5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6"/>
    </row>
    <row r="72" spans="2:30" ht="16.5" thickBot="1" x14ac:dyDescent="0.3">
      <c r="B72" s="696"/>
      <c r="C72" s="121">
        <v>7416</v>
      </c>
      <c r="D72" s="121" t="s">
        <v>27</v>
      </c>
      <c r="E72" s="122">
        <v>30.8</v>
      </c>
      <c r="F72" s="123">
        <v>30.8</v>
      </c>
      <c r="G72" s="166">
        <v>33.1</v>
      </c>
      <c r="H72" s="166">
        <v>33.1</v>
      </c>
      <c r="I72" s="122">
        <v>26.5</v>
      </c>
      <c r="J72" s="123">
        <v>26.5</v>
      </c>
      <c r="K72" s="122">
        <v>3.3</v>
      </c>
      <c r="L72" s="123">
        <v>3.3</v>
      </c>
      <c r="M72" s="167"/>
      <c r="N72" s="167"/>
      <c r="O72" s="168"/>
      <c r="R72" s="39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1"/>
    </row>
    <row r="73" spans="2:30" ht="16.5" thickBot="1" x14ac:dyDescent="0.3"/>
    <row r="74" spans="2:30" ht="16.5" thickBot="1" x14ac:dyDescent="0.3">
      <c r="B74" s="740" t="s">
        <v>303</v>
      </c>
      <c r="C74" s="741"/>
      <c r="D74" s="741"/>
      <c r="E74" s="741"/>
      <c r="F74" s="741"/>
      <c r="G74" s="741"/>
      <c r="H74" s="741"/>
      <c r="I74" s="741"/>
      <c r="J74" s="741"/>
      <c r="K74" s="741"/>
      <c r="L74" s="741"/>
      <c r="M74" s="741"/>
      <c r="N74" s="741"/>
      <c r="O74" s="742"/>
    </row>
    <row r="75" spans="2:30" ht="15" customHeight="1" x14ac:dyDescent="0.25">
      <c r="B75" s="684" t="s">
        <v>64</v>
      </c>
      <c r="C75" s="682" t="s">
        <v>32</v>
      </c>
      <c r="D75" s="682" t="s">
        <v>30</v>
      </c>
      <c r="E75" s="744" t="s">
        <v>406</v>
      </c>
      <c r="F75" s="745" t="s">
        <v>405</v>
      </c>
      <c r="G75" s="744" t="s">
        <v>404</v>
      </c>
      <c r="H75" s="745" t="s">
        <v>403</v>
      </c>
      <c r="I75" s="744" t="s">
        <v>402</v>
      </c>
      <c r="J75" s="745" t="s">
        <v>401</v>
      </c>
      <c r="K75" s="744" t="s">
        <v>400</v>
      </c>
      <c r="L75" s="745" t="s">
        <v>399</v>
      </c>
      <c r="M75" s="650" t="s">
        <v>328</v>
      </c>
      <c r="N75" s="652" t="s">
        <v>398</v>
      </c>
      <c r="O75" s="746" t="s">
        <v>397</v>
      </c>
    </row>
    <row r="76" spans="2:30" ht="15.75" customHeight="1" thickBot="1" x14ac:dyDescent="0.3">
      <c r="B76" s="685"/>
      <c r="C76" s="683"/>
      <c r="D76" s="683"/>
      <c r="E76" s="698"/>
      <c r="F76" s="681"/>
      <c r="G76" s="698"/>
      <c r="H76" s="681"/>
      <c r="I76" s="698"/>
      <c r="J76" s="681"/>
      <c r="K76" s="698"/>
      <c r="L76" s="681"/>
      <c r="M76" s="651"/>
      <c r="N76" s="653"/>
      <c r="O76" s="739"/>
    </row>
    <row r="77" spans="2:30" x14ac:dyDescent="0.25">
      <c r="B77" s="707">
        <v>1</v>
      </c>
      <c r="C77" s="169">
        <v>7111</v>
      </c>
      <c r="D77" s="169" t="s">
        <v>28</v>
      </c>
      <c r="E77" s="170">
        <v>1.2999999999999999E-2</v>
      </c>
      <c r="F77" s="171">
        <v>1.2999999999999999E-2</v>
      </c>
      <c r="G77" s="172">
        <v>7.8700000000000006E-2</v>
      </c>
      <c r="H77" s="172">
        <v>7.8700000000000006E-2</v>
      </c>
      <c r="I77" s="170">
        <v>0.15820000000000001</v>
      </c>
      <c r="J77" s="171">
        <v>0.15820000000000001</v>
      </c>
      <c r="K77" s="170">
        <v>0.43659999999999999</v>
      </c>
      <c r="L77" s="171">
        <v>0.43659999999999999</v>
      </c>
      <c r="M77" s="173">
        <v>0.222</v>
      </c>
      <c r="N77" s="25">
        <f>G77/E77</f>
        <v>6.0538461538461545</v>
      </c>
      <c r="O77" s="20">
        <f>I77/E77</f>
        <v>12.16923076923077</v>
      </c>
    </row>
    <row r="78" spans="2:30" x14ac:dyDescent="0.25">
      <c r="B78" s="695"/>
      <c r="C78" s="84">
        <v>7112</v>
      </c>
      <c r="D78" s="84" t="s">
        <v>27</v>
      </c>
      <c r="E78" s="129">
        <v>1.5699999999999999E-2</v>
      </c>
      <c r="F78" s="130">
        <v>1.5699999999999999E-2</v>
      </c>
      <c r="G78" s="158">
        <v>8.8300000000000003E-2</v>
      </c>
      <c r="H78" s="158">
        <v>8.8300000000000003E-2</v>
      </c>
      <c r="I78" s="129">
        <v>0.16930000000000001</v>
      </c>
      <c r="J78" s="130">
        <v>0.16930000000000001</v>
      </c>
      <c r="K78" s="129">
        <v>0.45269999999999999</v>
      </c>
      <c r="L78" s="130">
        <v>0.45269999999999999</v>
      </c>
      <c r="M78" s="54">
        <v>0.26600000000000001</v>
      </c>
      <c r="N78" s="25">
        <f>G78/E78</f>
        <v>5.6242038216560513</v>
      </c>
      <c r="O78" s="20">
        <f>I78/E78</f>
        <v>10.783439490445861</v>
      </c>
    </row>
    <row r="79" spans="2:30" x14ac:dyDescent="0.25">
      <c r="B79" s="695"/>
      <c r="C79" s="84">
        <v>7113</v>
      </c>
      <c r="D79" s="84" t="s">
        <v>27</v>
      </c>
      <c r="E79" s="129">
        <v>1.5699999999999999E-2</v>
      </c>
      <c r="F79" s="130">
        <v>1.5699999999999999E-2</v>
      </c>
      <c r="G79" s="158">
        <v>9.7799999999999998E-2</v>
      </c>
      <c r="H79" s="158">
        <v>9.7799999999999998E-2</v>
      </c>
      <c r="I79" s="129">
        <v>0.1973</v>
      </c>
      <c r="J79" s="130">
        <v>0.1973</v>
      </c>
      <c r="K79" s="129">
        <v>0.54549999999999998</v>
      </c>
      <c r="L79" s="130">
        <v>0.54549999999999998</v>
      </c>
      <c r="M79" s="54">
        <v>0.21199999999999999</v>
      </c>
      <c r="N79" s="25">
        <f t="shared" ref="N79:N82" si="19">G79/E79</f>
        <v>6.2292993630573257</v>
      </c>
      <c r="O79" s="20">
        <f t="shared" ref="O79:O81" si="20">I79/E79</f>
        <v>12.566878980891721</v>
      </c>
    </row>
    <row r="80" spans="2:30" x14ac:dyDescent="0.25">
      <c r="B80" s="695"/>
      <c r="C80" s="84">
        <v>7114</v>
      </c>
      <c r="D80" s="84" t="s">
        <v>27</v>
      </c>
      <c r="E80" s="129">
        <v>1.5699999999999999E-2</v>
      </c>
      <c r="F80" s="130">
        <v>1.5699999999999999E-2</v>
      </c>
      <c r="G80" s="158">
        <v>0.10829999999999999</v>
      </c>
      <c r="H80" s="158">
        <v>0.10829999999999999</v>
      </c>
      <c r="I80" s="129">
        <v>0.23719999999999999</v>
      </c>
      <c r="J80" s="130">
        <v>0.23719999999999999</v>
      </c>
      <c r="K80" s="129">
        <v>0.68859999999999999</v>
      </c>
      <c r="L80" s="130">
        <v>0.68859999999999999</v>
      </c>
      <c r="M80" s="54">
        <v>0.158</v>
      </c>
      <c r="N80" s="25">
        <f t="shared" si="19"/>
        <v>6.8980891719745223</v>
      </c>
      <c r="O80" s="20">
        <f t="shared" si="20"/>
        <v>15.108280254777071</v>
      </c>
    </row>
    <row r="81" spans="2:15" x14ac:dyDescent="0.25">
      <c r="B81" s="695"/>
      <c r="C81" s="84">
        <v>7115</v>
      </c>
      <c r="D81" s="84" t="s">
        <v>27</v>
      </c>
      <c r="E81" s="129">
        <v>1.5699999999999999E-2</v>
      </c>
      <c r="F81" s="130">
        <v>1.5699999999999999E-2</v>
      </c>
      <c r="G81" s="158">
        <v>9.3899999999999997E-2</v>
      </c>
      <c r="H81" s="158">
        <v>9.3899999999999997E-2</v>
      </c>
      <c r="I81" s="129">
        <v>0.2772</v>
      </c>
      <c r="J81" s="130">
        <v>0.2772</v>
      </c>
      <c r="K81" s="129">
        <v>0.91839999999999999</v>
      </c>
      <c r="L81" s="130">
        <v>0.91839999999999999</v>
      </c>
      <c r="M81" s="54">
        <v>0.104</v>
      </c>
      <c r="N81" s="25">
        <f t="shared" si="19"/>
        <v>5.9808917197452232</v>
      </c>
      <c r="O81" s="20">
        <f t="shared" si="20"/>
        <v>17.656050955414013</v>
      </c>
    </row>
    <row r="82" spans="2:15" x14ac:dyDescent="0.25">
      <c r="B82" s="703"/>
      <c r="C82" s="99">
        <v>7116</v>
      </c>
      <c r="D82" s="99" t="s">
        <v>27</v>
      </c>
      <c r="E82" s="138">
        <v>1.5699999999999999E-2</v>
      </c>
      <c r="F82" s="139">
        <v>1.5699999999999999E-2</v>
      </c>
      <c r="G82" s="161">
        <v>9.0700000000000003E-2</v>
      </c>
      <c r="H82" s="161">
        <v>9.0700000000000003E-2</v>
      </c>
      <c r="I82" s="138">
        <v>0.28039999999999998</v>
      </c>
      <c r="J82" s="139">
        <v>0.28039999999999998</v>
      </c>
      <c r="K82" s="138">
        <v>0.94440000000000002</v>
      </c>
      <c r="L82" s="139">
        <v>0.94440000000000002</v>
      </c>
      <c r="M82" s="174">
        <v>5.0999999999999997E-2</v>
      </c>
      <c r="N82" s="102">
        <f t="shared" si="19"/>
        <v>5.7770700636942678</v>
      </c>
      <c r="O82" s="143">
        <f>I82/E82</f>
        <v>17.859872611464969</v>
      </c>
    </row>
    <row r="83" spans="2:15" x14ac:dyDescent="0.25">
      <c r="B83" s="694">
        <v>2</v>
      </c>
      <c r="C83" s="93">
        <v>7211</v>
      </c>
      <c r="D83" s="93" t="s">
        <v>29</v>
      </c>
      <c r="E83" s="144">
        <v>1.12E-2</v>
      </c>
      <c r="F83" s="145">
        <v>1.12E-2</v>
      </c>
      <c r="G83" s="164">
        <v>7.2999999999999995E-2</v>
      </c>
      <c r="H83" s="164">
        <v>7.2999999999999995E-2</v>
      </c>
      <c r="I83" s="144">
        <v>0.12089999999999999</v>
      </c>
      <c r="J83" s="145">
        <v>0.12089999999999999</v>
      </c>
      <c r="K83" s="144">
        <v>0.28839999999999999</v>
      </c>
      <c r="L83" s="145">
        <v>0.28839999999999999</v>
      </c>
      <c r="M83" s="175">
        <v>0.32600000000000001</v>
      </c>
      <c r="N83" s="96">
        <f>G83/E83</f>
        <v>6.5178571428571423</v>
      </c>
      <c r="O83" s="176">
        <f>I83/E83</f>
        <v>10.794642857142856</v>
      </c>
    </row>
    <row r="84" spans="2:15" x14ac:dyDescent="0.25">
      <c r="B84" s="695"/>
      <c r="C84" s="84">
        <v>7212</v>
      </c>
      <c r="D84" s="84" t="s">
        <v>28</v>
      </c>
      <c r="E84" s="129">
        <v>1.2999999999999999E-2</v>
      </c>
      <c r="F84" s="130">
        <v>1.2999999999999999E-2</v>
      </c>
      <c r="G84" s="158">
        <v>9.1300000000000006E-2</v>
      </c>
      <c r="H84" s="158">
        <v>9.1300000000000006E-2</v>
      </c>
      <c r="I84" s="129">
        <v>0.14099999999999999</v>
      </c>
      <c r="J84" s="130">
        <v>0.14099999999999999</v>
      </c>
      <c r="K84" s="129">
        <v>0.31509999999999999</v>
      </c>
      <c r="L84" s="130">
        <v>0.31509999999999999</v>
      </c>
      <c r="M84" s="177">
        <v>0.36899999999999999</v>
      </c>
      <c r="N84" s="25">
        <f>G84/E84</f>
        <v>7.0230769230769239</v>
      </c>
      <c r="O84" s="20">
        <f>I84/E84</f>
        <v>10.846153846153845</v>
      </c>
    </row>
    <row r="85" spans="2:15" x14ac:dyDescent="0.25">
      <c r="B85" s="695"/>
      <c r="C85" s="84">
        <v>7213</v>
      </c>
      <c r="D85" s="84" t="s">
        <v>28</v>
      </c>
      <c r="E85" s="129">
        <v>1.2999999999999999E-2</v>
      </c>
      <c r="F85" s="130">
        <v>1.2999999999999999E-2</v>
      </c>
      <c r="G85" s="158">
        <v>7.9600000000000004E-2</v>
      </c>
      <c r="H85" s="158">
        <v>7.9600000000000004E-2</v>
      </c>
      <c r="I85" s="129">
        <v>0.14099999999999999</v>
      </c>
      <c r="J85" s="130">
        <v>0.14099999999999999</v>
      </c>
      <c r="K85" s="129">
        <v>0.35599999999999998</v>
      </c>
      <c r="L85" s="130">
        <v>0.35599999999999998</v>
      </c>
      <c r="M85" s="177">
        <v>0.29499999999999998</v>
      </c>
      <c r="N85" s="25">
        <f t="shared" ref="N85:N88" si="21">G85/E85</f>
        <v>6.1230769230769235</v>
      </c>
      <c r="O85" s="20">
        <f t="shared" ref="O85:O88" si="22">I85/E85</f>
        <v>10.846153846153845</v>
      </c>
    </row>
    <row r="86" spans="2:15" x14ac:dyDescent="0.25">
      <c r="B86" s="695"/>
      <c r="C86" s="84">
        <v>7214</v>
      </c>
      <c r="D86" s="84" t="s">
        <v>27</v>
      </c>
      <c r="E86" s="129">
        <v>1.5699999999999999E-2</v>
      </c>
      <c r="F86" s="130">
        <v>1.5699999999999999E-2</v>
      </c>
      <c r="G86" s="158">
        <v>0.1003</v>
      </c>
      <c r="H86" s="158">
        <v>0.1003</v>
      </c>
      <c r="I86" s="129">
        <v>0.16930000000000001</v>
      </c>
      <c r="J86" s="130">
        <v>0.16930000000000001</v>
      </c>
      <c r="K86" s="129">
        <v>0.41060000000000002</v>
      </c>
      <c r="L86" s="130">
        <v>0.41060000000000002</v>
      </c>
      <c r="M86" s="177">
        <v>0.317</v>
      </c>
      <c r="N86" s="25">
        <f t="shared" si="21"/>
        <v>6.3885350318471339</v>
      </c>
      <c r="O86" s="20">
        <f t="shared" si="22"/>
        <v>10.783439490445861</v>
      </c>
    </row>
    <row r="87" spans="2:15" x14ac:dyDescent="0.25">
      <c r="B87" s="695"/>
      <c r="C87" s="84">
        <v>7215</v>
      </c>
      <c r="D87" s="84" t="s">
        <v>27</v>
      </c>
      <c r="E87" s="129">
        <v>1.5699999999999999E-2</v>
      </c>
      <c r="F87" s="130">
        <v>1.5699999999999999E-2</v>
      </c>
      <c r="G87" s="158">
        <v>9.8900000000000002E-2</v>
      </c>
      <c r="H87" s="158">
        <v>9.8900000000000002E-2</v>
      </c>
      <c r="I87" s="129">
        <v>0.19980000000000001</v>
      </c>
      <c r="J87" s="130">
        <v>0.19980000000000001</v>
      </c>
      <c r="K87" s="129">
        <v>0.55310000000000004</v>
      </c>
      <c r="L87" s="130">
        <v>0.55310000000000004</v>
      </c>
      <c r="M87" s="177">
        <v>0.20899999999999999</v>
      </c>
      <c r="N87" s="25">
        <f t="shared" si="21"/>
        <v>6.2993630573248414</v>
      </c>
      <c r="O87" s="20">
        <f t="shared" si="22"/>
        <v>12.726114649681531</v>
      </c>
    </row>
    <row r="88" spans="2:15" x14ac:dyDescent="0.25">
      <c r="B88" s="703"/>
      <c r="C88" s="99">
        <v>7216</v>
      </c>
      <c r="D88" s="99" t="s">
        <v>27</v>
      </c>
      <c r="E88" s="138">
        <v>1.5699999999999999E-2</v>
      </c>
      <c r="F88" s="139">
        <v>1.5699999999999999E-2</v>
      </c>
      <c r="G88" s="161">
        <v>9.1499999999999998E-2</v>
      </c>
      <c r="H88" s="161">
        <v>9.1499999999999998E-2</v>
      </c>
      <c r="I88" s="138">
        <v>0.2797</v>
      </c>
      <c r="J88" s="139">
        <v>0.2797</v>
      </c>
      <c r="K88" s="138">
        <v>0.93820000000000003</v>
      </c>
      <c r="L88" s="139">
        <v>0.93820000000000003</v>
      </c>
      <c r="M88" s="178">
        <v>0.10100000000000001</v>
      </c>
      <c r="N88" s="102">
        <f t="shared" si="21"/>
        <v>5.8280254777070066</v>
      </c>
      <c r="O88" s="143">
        <f t="shared" si="22"/>
        <v>17.815286624203825</v>
      </c>
    </row>
    <row r="89" spans="2:15" x14ac:dyDescent="0.25">
      <c r="B89" s="694">
        <v>3</v>
      </c>
      <c r="C89" s="93">
        <v>7311</v>
      </c>
      <c r="D89" s="93" t="s">
        <v>29</v>
      </c>
      <c r="E89" s="144">
        <v>1.12E-2</v>
      </c>
      <c r="F89" s="145">
        <v>1.12E-2</v>
      </c>
      <c r="G89" s="164">
        <v>7.2999999999999995E-2</v>
      </c>
      <c r="H89" s="164">
        <v>7.2999999999999995E-2</v>
      </c>
      <c r="I89" s="144">
        <v>0.12089999999999999</v>
      </c>
      <c r="J89" s="145">
        <v>0.12089999999999999</v>
      </c>
      <c r="K89" s="144">
        <v>0.28839999999999999</v>
      </c>
      <c r="L89" s="145">
        <v>0.28839999999999999</v>
      </c>
      <c r="M89" s="54">
        <v>0.32600000000000001</v>
      </c>
      <c r="N89" s="25">
        <f>G89/E89</f>
        <v>6.5178571428571423</v>
      </c>
      <c r="O89" s="20">
        <f>I89/E89</f>
        <v>10.794642857142856</v>
      </c>
    </row>
    <row r="90" spans="2:15" x14ac:dyDescent="0.25">
      <c r="B90" s="695"/>
      <c r="C90" s="84">
        <v>7312</v>
      </c>
      <c r="D90" s="84" t="s">
        <v>28</v>
      </c>
      <c r="E90" s="129">
        <v>1.2999999999999999E-2</v>
      </c>
      <c r="F90" s="130">
        <v>1.2999999999999999E-2</v>
      </c>
      <c r="G90" s="158">
        <v>9.1300000000000006E-2</v>
      </c>
      <c r="H90" s="158">
        <v>9.1300000000000006E-2</v>
      </c>
      <c r="I90" s="129">
        <v>0.14099999999999999</v>
      </c>
      <c r="J90" s="130">
        <v>0.14099999999999999</v>
      </c>
      <c r="K90" s="129">
        <v>0.31509999999999999</v>
      </c>
      <c r="L90" s="130">
        <v>0.31509999999999999</v>
      </c>
      <c r="M90" s="54">
        <v>0.36899999999999999</v>
      </c>
      <c r="N90" s="25">
        <f>G90/E90</f>
        <v>7.0230769230769239</v>
      </c>
      <c r="O90" s="20">
        <f>I90/E90</f>
        <v>10.846153846153845</v>
      </c>
    </row>
    <row r="91" spans="2:15" x14ac:dyDescent="0.25">
      <c r="B91" s="695"/>
      <c r="C91" s="84">
        <v>7313</v>
      </c>
      <c r="D91" s="84" t="s">
        <v>28</v>
      </c>
      <c r="E91" s="129">
        <v>1.2999999999999999E-2</v>
      </c>
      <c r="F91" s="130">
        <v>1.2999999999999999E-2</v>
      </c>
      <c r="G91" s="158">
        <v>7.9600000000000004E-2</v>
      </c>
      <c r="H91" s="158">
        <v>7.9600000000000004E-2</v>
      </c>
      <c r="I91" s="129">
        <v>0.14099999999999999</v>
      </c>
      <c r="J91" s="130">
        <v>0.14099999999999999</v>
      </c>
      <c r="K91" s="129">
        <v>0.35599999999999998</v>
      </c>
      <c r="L91" s="130">
        <v>0.35599999999999998</v>
      </c>
      <c r="M91" s="54">
        <v>0.29499999999999998</v>
      </c>
      <c r="N91" s="25">
        <f t="shared" ref="N91:N94" si="23">G91/E91</f>
        <v>6.1230769230769235</v>
      </c>
      <c r="O91" s="20">
        <f t="shared" ref="O91:O94" si="24">I91/E91</f>
        <v>10.846153846153845</v>
      </c>
    </row>
    <row r="92" spans="2:15" x14ac:dyDescent="0.25">
      <c r="B92" s="695"/>
      <c r="C92" s="84">
        <v>7314</v>
      </c>
      <c r="D92" s="84" t="s">
        <v>27</v>
      </c>
      <c r="E92" s="129">
        <v>1.5699999999999999E-2</v>
      </c>
      <c r="F92" s="130">
        <v>1.5699999999999999E-2</v>
      </c>
      <c r="G92" s="158">
        <v>0.1003</v>
      </c>
      <c r="H92" s="158">
        <v>0.1003</v>
      </c>
      <c r="I92" s="129">
        <v>0.16930000000000001</v>
      </c>
      <c r="J92" s="130">
        <v>0.16930000000000001</v>
      </c>
      <c r="K92" s="129">
        <v>0.41060000000000002</v>
      </c>
      <c r="L92" s="130">
        <v>0.41060000000000002</v>
      </c>
      <c r="M92" s="54">
        <v>0.317</v>
      </c>
      <c r="N92" s="25">
        <f t="shared" si="23"/>
        <v>6.3885350318471339</v>
      </c>
      <c r="O92" s="20">
        <f t="shared" si="24"/>
        <v>10.783439490445861</v>
      </c>
    </row>
    <row r="93" spans="2:15" x14ac:dyDescent="0.25">
      <c r="B93" s="695"/>
      <c r="C93" s="84">
        <v>7315</v>
      </c>
      <c r="D93" s="84" t="s">
        <v>27</v>
      </c>
      <c r="E93" s="129">
        <v>1.5699999999999999E-2</v>
      </c>
      <c r="F93" s="130">
        <v>1.5699999999999999E-2</v>
      </c>
      <c r="G93" s="158">
        <v>9.8900000000000002E-2</v>
      </c>
      <c r="H93" s="158">
        <v>9.8900000000000002E-2</v>
      </c>
      <c r="I93" s="129">
        <v>0.19980000000000001</v>
      </c>
      <c r="J93" s="130">
        <v>0.19980000000000001</v>
      </c>
      <c r="K93" s="129">
        <v>0.55310000000000004</v>
      </c>
      <c r="L93" s="130">
        <v>0.55310000000000004</v>
      </c>
      <c r="M93" s="54">
        <v>0.20899999999999999</v>
      </c>
      <c r="N93" s="25">
        <f t="shared" si="23"/>
        <v>6.2993630573248414</v>
      </c>
      <c r="O93" s="20">
        <f t="shared" si="24"/>
        <v>12.726114649681531</v>
      </c>
    </row>
    <row r="94" spans="2:15" x14ac:dyDescent="0.25">
      <c r="B94" s="703"/>
      <c r="C94" s="99">
        <v>7316</v>
      </c>
      <c r="D94" s="99" t="s">
        <v>27</v>
      </c>
      <c r="E94" s="138">
        <v>1.5699999999999999E-2</v>
      </c>
      <c r="F94" s="139">
        <v>1.5699999999999999E-2</v>
      </c>
      <c r="G94" s="161">
        <v>9.1499999999999998E-2</v>
      </c>
      <c r="H94" s="161">
        <v>9.1499999999999998E-2</v>
      </c>
      <c r="I94" s="138">
        <v>0.2797</v>
      </c>
      <c r="J94" s="139">
        <v>0.2797</v>
      </c>
      <c r="K94" s="138">
        <v>0.93820000000000003</v>
      </c>
      <c r="L94" s="139">
        <v>0.93820000000000003</v>
      </c>
      <c r="M94" s="174">
        <v>0.10100000000000001</v>
      </c>
      <c r="N94" s="25">
        <f t="shared" si="23"/>
        <v>5.8280254777070066</v>
      </c>
      <c r="O94" s="20">
        <f t="shared" si="24"/>
        <v>17.815286624203825</v>
      </c>
    </row>
    <row r="95" spans="2:15" x14ac:dyDescent="0.25">
      <c r="B95" s="694">
        <v>4</v>
      </c>
      <c r="C95" s="93">
        <v>7411</v>
      </c>
      <c r="D95" s="93" t="s">
        <v>28</v>
      </c>
      <c r="E95" s="144">
        <v>1.2999999999999999E-2</v>
      </c>
      <c r="F95" s="145">
        <v>1.2999999999999999E-2</v>
      </c>
      <c r="G95" s="164">
        <v>7.8700000000000006E-2</v>
      </c>
      <c r="H95" s="164">
        <v>7.8700000000000006E-2</v>
      </c>
      <c r="I95" s="144">
        <v>0.15820000000000001</v>
      </c>
      <c r="J95" s="145">
        <v>0.15820000000000001</v>
      </c>
      <c r="K95" s="144">
        <v>0.43659999999999999</v>
      </c>
      <c r="L95" s="145">
        <v>0.43659999999999999</v>
      </c>
      <c r="M95" s="179">
        <v>0.222</v>
      </c>
      <c r="N95" s="96">
        <f>G95/E95</f>
        <v>6.0538461538461545</v>
      </c>
      <c r="O95" s="176">
        <f>I95/E95</f>
        <v>12.16923076923077</v>
      </c>
    </row>
    <row r="96" spans="2:15" x14ac:dyDescent="0.25">
      <c r="B96" s="695"/>
      <c r="C96" s="84">
        <v>7412</v>
      </c>
      <c r="D96" s="84" t="s">
        <v>27</v>
      </c>
      <c r="E96" s="129">
        <v>1.5699999999999999E-2</v>
      </c>
      <c r="F96" s="130">
        <v>1.5699999999999999E-2</v>
      </c>
      <c r="G96" s="158">
        <v>8.8300000000000003E-2</v>
      </c>
      <c r="H96" s="158">
        <v>8.8300000000000003E-2</v>
      </c>
      <c r="I96" s="129">
        <v>0.16930000000000001</v>
      </c>
      <c r="J96" s="130">
        <v>0.16930000000000001</v>
      </c>
      <c r="K96" s="129">
        <v>0.45269999999999999</v>
      </c>
      <c r="L96" s="130">
        <v>0.45269999999999999</v>
      </c>
      <c r="M96" s="54">
        <v>0.26600000000000001</v>
      </c>
      <c r="N96" s="25">
        <f>G96/E96</f>
        <v>5.6242038216560513</v>
      </c>
      <c r="O96" s="20">
        <f>I96/E96</f>
        <v>10.783439490445861</v>
      </c>
    </row>
    <row r="97" spans="2:15" x14ac:dyDescent="0.25">
      <c r="B97" s="695"/>
      <c r="C97" s="84">
        <v>7413</v>
      </c>
      <c r="D97" s="84" t="s">
        <v>27</v>
      </c>
      <c r="E97" s="129">
        <v>1.5699999999999999E-2</v>
      </c>
      <c r="F97" s="130">
        <v>1.5699999999999999E-2</v>
      </c>
      <c r="G97" s="158">
        <v>9.7799999999999998E-2</v>
      </c>
      <c r="H97" s="158">
        <v>9.7799999999999998E-2</v>
      </c>
      <c r="I97" s="129">
        <v>0.1973</v>
      </c>
      <c r="J97" s="130">
        <v>0.1973</v>
      </c>
      <c r="K97" s="129">
        <v>0.54549999999999998</v>
      </c>
      <c r="L97" s="130">
        <v>0.54549999999999998</v>
      </c>
      <c r="M97" s="54">
        <v>0.21199999999999999</v>
      </c>
      <c r="N97" s="25">
        <f t="shared" ref="N97:N100" si="25">G97/E97</f>
        <v>6.2292993630573257</v>
      </c>
      <c r="O97" s="20">
        <f t="shared" ref="O97:O100" si="26">I97/E97</f>
        <v>12.566878980891721</v>
      </c>
    </row>
    <row r="98" spans="2:15" x14ac:dyDescent="0.25">
      <c r="B98" s="695"/>
      <c r="C98" s="84">
        <v>7414</v>
      </c>
      <c r="D98" s="84" t="s">
        <v>27</v>
      </c>
      <c r="E98" s="129">
        <v>1.5699999999999999E-2</v>
      </c>
      <c r="F98" s="130">
        <v>1.5699999999999999E-2</v>
      </c>
      <c r="G98" s="158">
        <v>0.10829999999999999</v>
      </c>
      <c r="H98" s="158">
        <v>0.10829999999999999</v>
      </c>
      <c r="I98" s="129">
        <v>0.23719999999999999</v>
      </c>
      <c r="J98" s="130">
        <v>0.23719999999999999</v>
      </c>
      <c r="K98" s="129">
        <v>0.68859999999999999</v>
      </c>
      <c r="L98" s="130">
        <v>0.68859999999999999</v>
      </c>
      <c r="M98" s="54">
        <v>0.158</v>
      </c>
      <c r="N98" s="25">
        <f t="shared" si="25"/>
        <v>6.8980891719745223</v>
      </c>
      <c r="O98" s="20">
        <f t="shared" si="26"/>
        <v>15.108280254777071</v>
      </c>
    </row>
    <row r="99" spans="2:15" x14ac:dyDescent="0.25">
      <c r="B99" s="695"/>
      <c r="C99" s="84">
        <v>7415</v>
      </c>
      <c r="D99" s="84" t="s">
        <v>27</v>
      </c>
      <c r="E99" s="129">
        <v>1.5699999999999999E-2</v>
      </c>
      <c r="F99" s="130">
        <v>1.5699999999999999E-2</v>
      </c>
      <c r="G99" s="158">
        <v>9.3899999999999997E-2</v>
      </c>
      <c r="H99" s="158">
        <v>9.3899999999999997E-2</v>
      </c>
      <c r="I99" s="129">
        <v>0.2772</v>
      </c>
      <c r="J99" s="130">
        <v>0.2772</v>
      </c>
      <c r="K99" s="129">
        <v>0.91839999999999999</v>
      </c>
      <c r="L99" s="130">
        <v>0.91839999999999999</v>
      </c>
      <c r="M99" s="54">
        <v>0.104</v>
      </c>
      <c r="N99" s="25">
        <f t="shared" si="25"/>
        <v>5.9808917197452232</v>
      </c>
      <c r="O99" s="20">
        <f t="shared" si="26"/>
        <v>17.656050955414013</v>
      </c>
    </row>
    <row r="100" spans="2:15" ht="16.5" thickBot="1" x14ac:dyDescent="0.3">
      <c r="B100" s="696"/>
      <c r="C100" s="121">
        <v>7416</v>
      </c>
      <c r="D100" s="121" t="s">
        <v>27</v>
      </c>
      <c r="E100" s="149">
        <v>1.5699999999999999E-2</v>
      </c>
      <c r="F100" s="150">
        <v>1.5699999999999999E-2</v>
      </c>
      <c r="G100" s="167">
        <v>9.0700000000000003E-2</v>
      </c>
      <c r="H100" s="167">
        <v>9.0700000000000003E-2</v>
      </c>
      <c r="I100" s="149">
        <v>0.28039999999999998</v>
      </c>
      <c r="J100" s="150">
        <v>0.28039999999999998</v>
      </c>
      <c r="K100" s="149">
        <v>0.94440000000000002</v>
      </c>
      <c r="L100" s="150">
        <v>0.94440000000000002</v>
      </c>
      <c r="M100" s="75">
        <v>5.0999999999999997E-2</v>
      </c>
      <c r="N100" s="36">
        <f t="shared" si="25"/>
        <v>5.7770700636942678</v>
      </c>
      <c r="O100" s="33">
        <f t="shared" si="26"/>
        <v>17.859872611464969</v>
      </c>
    </row>
  </sheetData>
  <mergeCells count="212">
    <mergeCell ref="Q9:R9"/>
    <mergeCell ref="AJ9:AK12"/>
    <mergeCell ref="H75:H76"/>
    <mergeCell ref="I75:I76"/>
    <mergeCell ref="J75:J76"/>
    <mergeCell ref="O75:O76"/>
    <mergeCell ref="Q31:R31"/>
    <mergeCell ref="Q32:R32"/>
    <mergeCell ref="Q33:R33"/>
    <mergeCell ref="AU3:AU4"/>
    <mergeCell ref="Q26:R26"/>
    <mergeCell ref="Q27:R27"/>
    <mergeCell ref="Q4:R4"/>
    <mergeCell ref="Q3:R3"/>
    <mergeCell ref="AS3:AS4"/>
    <mergeCell ref="AI3:AI4"/>
    <mergeCell ref="Q36:R36"/>
    <mergeCell ref="S36:W36"/>
    <mergeCell ref="X36:AB36"/>
    <mergeCell ref="AC36:AG36"/>
    <mergeCell ref="Q37:R37"/>
    <mergeCell ref="Q38:R38"/>
    <mergeCell ref="Q39:R39"/>
    <mergeCell ref="Q40:AG40"/>
    <mergeCell ref="X14:AB14"/>
    <mergeCell ref="Q10:R10"/>
    <mergeCell ref="B75:B76"/>
    <mergeCell ref="C75:C76"/>
    <mergeCell ref="B77:B82"/>
    <mergeCell ref="B83:B88"/>
    <mergeCell ref="B89:B94"/>
    <mergeCell ref="D75:D76"/>
    <mergeCell ref="E75:E76"/>
    <mergeCell ref="F75:F76"/>
    <mergeCell ref="G75:G76"/>
    <mergeCell ref="AT3:AT4"/>
    <mergeCell ref="AV3:AV4"/>
    <mergeCell ref="B95:B100"/>
    <mergeCell ref="B24:O24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O25:O26"/>
    <mergeCell ref="B27:B32"/>
    <mergeCell ref="B33:B38"/>
    <mergeCell ref="B39:B44"/>
    <mergeCell ref="K47:K48"/>
    <mergeCell ref="L47:L48"/>
    <mergeCell ref="K25:K26"/>
    <mergeCell ref="L25:L26"/>
    <mergeCell ref="K75:K76"/>
    <mergeCell ref="L75:L76"/>
    <mergeCell ref="B74:O74"/>
    <mergeCell ref="AQ3:AQ4"/>
    <mergeCell ref="BF3:BI3"/>
    <mergeCell ref="BF4:BI4"/>
    <mergeCell ref="BE2:BM2"/>
    <mergeCell ref="BF5:BI5"/>
    <mergeCell ref="BF6:BI6"/>
    <mergeCell ref="B2:O2"/>
    <mergeCell ref="H47:H48"/>
    <mergeCell ref="I47:I48"/>
    <mergeCell ref="J47:J48"/>
    <mergeCell ref="O47:O48"/>
    <mergeCell ref="B46:O46"/>
    <mergeCell ref="B3:B4"/>
    <mergeCell ref="E3:E4"/>
    <mergeCell ref="F3:F4"/>
    <mergeCell ref="O3:O4"/>
    <mergeCell ref="C3:C4"/>
    <mergeCell ref="D3:D4"/>
    <mergeCell ref="G3:G4"/>
    <mergeCell ref="H3:H4"/>
    <mergeCell ref="I3:I4"/>
    <mergeCell ref="J3:J4"/>
    <mergeCell ref="K3:K4"/>
    <mergeCell ref="L3:L4"/>
    <mergeCell ref="Q2:AG2"/>
    <mergeCell ref="Q7:AG7"/>
    <mergeCell ref="AM3:AM4"/>
    <mergeCell ref="AN3:AN4"/>
    <mergeCell ref="AP3:AP4"/>
    <mergeCell ref="AI5:AI8"/>
    <mergeCell ref="AJ5:AK8"/>
    <mergeCell ref="AO3:AO4"/>
    <mergeCell ref="X8:AB8"/>
    <mergeCell ref="AC8:AG8"/>
    <mergeCell ref="X3:AB3"/>
    <mergeCell ref="AC3:AG3"/>
    <mergeCell ref="Q5:R5"/>
    <mergeCell ref="S3:W3"/>
    <mergeCell ref="Q6:R6"/>
    <mergeCell ref="AI2:BC2"/>
    <mergeCell ref="BA3:BA4"/>
    <mergeCell ref="BB3:BB4"/>
    <mergeCell ref="BC3:BC4"/>
    <mergeCell ref="AW3:AW4"/>
    <mergeCell ref="AX3:AX4"/>
    <mergeCell ref="AY3:AY4"/>
    <mergeCell ref="AZ3:AZ4"/>
    <mergeCell ref="AR3:AR4"/>
    <mergeCell ref="B67:B72"/>
    <mergeCell ref="E47:E48"/>
    <mergeCell ref="AL3:AL4"/>
    <mergeCell ref="AJ21:AK24"/>
    <mergeCell ref="AI21:AI24"/>
    <mergeCell ref="AI29:AI32"/>
    <mergeCell ref="AJ29:AK32"/>
    <mergeCell ref="AI13:AI16"/>
    <mergeCell ref="AJ13:AK16"/>
    <mergeCell ref="AI17:AI20"/>
    <mergeCell ref="AJ17:AK20"/>
    <mergeCell ref="AJ3:AK4"/>
    <mergeCell ref="B5:B10"/>
    <mergeCell ref="B11:B16"/>
    <mergeCell ref="B17:B22"/>
    <mergeCell ref="B55:B60"/>
    <mergeCell ref="B61:B66"/>
    <mergeCell ref="Q8:R8"/>
    <mergeCell ref="Q11:R11"/>
    <mergeCell ref="Q13:AG13"/>
    <mergeCell ref="Q14:R14"/>
    <mergeCell ref="S14:W14"/>
    <mergeCell ref="B49:B54"/>
    <mergeCell ref="S8:W8"/>
    <mergeCell ref="F47:F48"/>
    <mergeCell ref="G47:G48"/>
    <mergeCell ref="D47:D48"/>
    <mergeCell ref="C47:C48"/>
    <mergeCell ref="B47:B48"/>
    <mergeCell ref="Q17:R17"/>
    <mergeCell ref="Q18:AG18"/>
    <mergeCell ref="Q19:R19"/>
    <mergeCell ref="S19:W19"/>
    <mergeCell ref="X19:AB19"/>
    <mergeCell ref="AC19:AG19"/>
    <mergeCell ref="Q41:R41"/>
    <mergeCell ref="S41:W41"/>
    <mergeCell ref="X41:AB41"/>
    <mergeCell ref="AC41:AG41"/>
    <mergeCell ref="Q42:R42"/>
    <mergeCell ref="Q43:R43"/>
    <mergeCell ref="Q44:R44"/>
    <mergeCell ref="Q28:R28"/>
    <mergeCell ref="Q29:AG29"/>
    <mergeCell ref="M47:M48"/>
    <mergeCell ref="N47:N48"/>
    <mergeCell ref="Q16:R16"/>
    <mergeCell ref="Q30:R30"/>
    <mergeCell ref="S30:W30"/>
    <mergeCell ref="X30:AB30"/>
    <mergeCell ref="AC30:AG30"/>
    <mergeCell ref="Q20:R20"/>
    <mergeCell ref="Q21:R21"/>
    <mergeCell ref="Q22:R22"/>
    <mergeCell ref="Q24:AG24"/>
    <mergeCell ref="Q25:R25"/>
    <mergeCell ref="S25:W25"/>
    <mergeCell ref="X25:AB25"/>
    <mergeCell ref="AC25:AG25"/>
    <mergeCell ref="AI25:AI28"/>
    <mergeCell ref="AJ25:AK28"/>
    <mergeCell ref="M75:M76"/>
    <mergeCell ref="N75:N76"/>
    <mergeCell ref="M25:M26"/>
    <mergeCell ref="N25:N26"/>
    <mergeCell ref="M3:M4"/>
    <mergeCell ref="N3:N4"/>
    <mergeCell ref="BS22:BS23"/>
    <mergeCell ref="BE12:BE13"/>
    <mergeCell ref="BF12:BF13"/>
    <mergeCell ref="BG12:BG13"/>
    <mergeCell ref="BH12:BH13"/>
    <mergeCell ref="BI12:BI13"/>
    <mergeCell ref="BL12:BL13"/>
    <mergeCell ref="BM12:BM13"/>
    <mergeCell ref="BO12:BO13"/>
    <mergeCell ref="BP12:BP13"/>
    <mergeCell ref="BS12:BS13"/>
    <mergeCell ref="BN12:BN13"/>
    <mergeCell ref="Q35:AG35"/>
    <mergeCell ref="AI9:AI12"/>
    <mergeCell ref="AC14:AG14"/>
    <mergeCell ref="Q15:R15"/>
    <mergeCell ref="BS21:BX21"/>
    <mergeCell ref="BX22:BX23"/>
    <mergeCell ref="BT22:BT23"/>
    <mergeCell ref="BU22:BU23"/>
    <mergeCell ref="BV22:BV23"/>
    <mergeCell ref="BW22:BW23"/>
    <mergeCell ref="BT12:BT13"/>
    <mergeCell ref="BU12:BU13"/>
    <mergeCell ref="BV12:BV13"/>
    <mergeCell ref="BW12:BW13"/>
    <mergeCell ref="BY12:BY13"/>
    <mergeCell ref="BE11:BK11"/>
    <mergeCell ref="BL11:BR11"/>
    <mergeCell ref="BS11:BY11"/>
    <mergeCell ref="BF7:BI7"/>
    <mergeCell ref="BF8:BI8"/>
    <mergeCell ref="BF9:BI9"/>
    <mergeCell ref="BJ12:BJ13"/>
    <mergeCell ref="BQ12:BQ13"/>
    <mergeCell ref="BX12:BX13"/>
    <mergeCell ref="BK12:BK13"/>
    <mergeCell ref="BR12:BR1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B1:DD85"/>
  <sheetViews>
    <sheetView topLeftCell="CC1" zoomScale="80" zoomScaleNormal="80" zoomScaleSheetLayoutView="50" workbookViewId="0">
      <selection activeCell="AR33" sqref="AR33"/>
    </sheetView>
  </sheetViews>
  <sheetFormatPr defaultRowHeight="15.75" x14ac:dyDescent="0.25"/>
  <cols>
    <col min="1" max="1" width="9.140625" style="4"/>
    <col min="2" max="2" width="8.42578125" style="4" customWidth="1"/>
    <col min="3" max="3" width="9.28515625" style="4" customWidth="1"/>
    <col min="4" max="4" width="10.140625" style="4" customWidth="1"/>
    <col min="5" max="6" width="10.28515625" style="4" bestFit="1" customWidth="1"/>
    <col min="7" max="7" width="14" style="4" bestFit="1" customWidth="1"/>
    <col min="8" max="8" width="15.28515625" style="4" bestFit="1" customWidth="1"/>
    <col min="9" max="9" width="6.85546875" style="4" bestFit="1" customWidth="1"/>
    <col min="10" max="12" width="8.85546875" style="4" customWidth="1"/>
    <col min="13" max="13" width="10.28515625" style="4" bestFit="1" customWidth="1"/>
    <col min="14" max="14" width="10.85546875" style="4" bestFit="1" customWidth="1"/>
    <col min="15" max="15" width="12.140625" style="4" bestFit="1" customWidth="1"/>
    <col min="16" max="16" width="13.42578125" style="4" bestFit="1" customWidth="1"/>
    <col min="17" max="17" width="9.85546875" style="4" customWidth="1"/>
    <col min="18" max="18" width="13.42578125" style="4" customWidth="1"/>
    <col min="19" max="22" width="9.28515625" style="4" bestFit="1" customWidth="1"/>
    <col min="23" max="23" width="8.5703125" style="4" customWidth="1"/>
    <col min="24" max="24" width="10.7109375" style="4" bestFit="1" customWidth="1"/>
    <col min="25" max="25" width="13.140625" style="4" bestFit="1" customWidth="1"/>
    <col min="26" max="26" width="14.42578125" style="4" bestFit="1" customWidth="1"/>
    <col min="27" max="27" width="7.5703125" style="4" customWidth="1"/>
    <col min="28" max="28" width="8.140625" style="4" customWidth="1"/>
    <col min="29" max="29" width="7.42578125" style="4" bestFit="1" customWidth="1"/>
    <col min="30" max="33" width="10.7109375" style="4" bestFit="1" customWidth="1"/>
    <col min="34" max="34" width="11.85546875" style="4" bestFit="1" customWidth="1"/>
    <col min="35" max="35" width="10.7109375" style="4" bestFit="1" customWidth="1"/>
    <col min="36" max="36" width="11.85546875" style="4" bestFit="1" customWidth="1"/>
    <col min="37" max="37" width="10.140625" style="4" bestFit="1" customWidth="1"/>
    <col min="38" max="38" width="10.7109375" style="4" bestFit="1" customWidth="1"/>
    <col min="39" max="39" width="7.140625" style="4" bestFit="1" customWidth="1"/>
    <col min="40" max="40" width="4.7109375" style="4" bestFit="1" customWidth="1"/>
    <col min="41" max="41" width="4.5703125" style="4" bestFit="1" customWidth="1"/>
    <col min="42" max="42" width="8.140625" style="4" bestFit="1" customWidth="1"/>
    <col min="43" max="43" width="8.5703125" style="4" bestFit="1" customWidth="1"/>
    <col min="44" max="44" width="7.28515625" style="4" bestFit="1" customWidth="1"/>
    <col min="45" max="45" width="13.42578125" style="4" bestFit="1" customWidth="1"/>
    <col min="46" max="46" width="13.85546875" style="4" customWidth="1"/>
    <col min="47" max="47" width="10.85546875" style="4" bestFit="1" customWidth="1"/>
    <col min="48" max="48" width="7.28515625" style="4" bestFit="1" customWidth="1"/>
    <col min="49" max="49" width="13.7109375" style="4" bestFit="1" customWidth="1"/>
    <col min="50" max="50" width="15.85546875" style="4" bestFit="1" customWidth="1"/>
    <col min="51" max="51" width="17.7109375" style="4" bestFit="1" customWidth="1"/>
    <col min="52" max="52" width="9.28515625" style="4" bestFit="1" customWidth="1"/>
    <col min="53" max="53" width="7.28515625" style="4" bestFit="1" customWidth="1"/>
    <col min="54" max="54" width="13.85546875" style="4" customWidth="1"/>
    <col min="55" max="55" width="15.85546875" style="4" bestFit="1" customWidth="1"/>
    <col min="56" max="56" width="12.7109375" style="4" bestFit="1" customWidth="1"/>
    <col min="57" max="74" width="12.7109375" style="4" customWidth="1"/>
    <col min="75" max="75" width="11.28515625" style="4" bestFit="1" customWidth="1"/>
    <col min="76" max="76" width="11.42578125" style="4" bestFit="1" customWidth="1"/>
    <col min="77" max="77" width="10.28515625" style="4" bestFit="1" customWidth="1"/>
    <col min="78" max="78" width="13.140625" style="4" bestFit="1" customWidth="1"/>
    <col min="79" max="79" width="10.28515625" style="4" bestFit="1" customWidth="1"/>
    <col min="80" max="80" width="11" style="4" bestFit="1" customWidth="1"/>
    <col min="81" max="81" width="11.140625" style="4" bestFit="1" customWidth="1"/>
    <col min="82" max="82" width="9.5703125" style="4" customWidth="1"/>
    <col min="83" max="89" width="12.7109375" style="4" customWidth="1"/>
    <col min="90" max="90" width="13.140625" style="4" bestFit="1" customWidth="1"/>
    <col min="91" max="95" width="10.7109375" style="4" customWidth="1"/>
    <col min="96" max="96" width="14.28515625" style="4" bestFit="1" customWidth="1"/>
    <col min="97" max="98" width="12.7109375" style="4" customWidth="1"/>
    <col min="99" max="99" width="12.5703125" style="4" customWidth="1"/>
    <col min="100" max="101" width="12.7109375" style="4" customWidth="1"/>
    <col min="102" max="102" width="11.42578125" style="4" bestFit="1" customWidth="1"/>
    <col min="103" max="104" width="10.7109375" style="4" customWidth="1"/>
    <col min="105" max="105" width="8.28515625" style="4" bestFit="1" customWidth="1"/>
    <col min="106" max="107" width="10.7109375" style="4" customWidth="1"/>
    <col min="108" max="108" width="8.7109375" style="4" customWidth="1"/>
    <col min="109" max="16384" width="9.140625" style="4"/>
  </cols>
  <sheetData>
    <row r="1" spans="2:108" ht="16.5" thickBot="1" x14ac:dyDescent="0.3">
      <c r="CT1" s="488"/>
    </row>
    <row r="2" spans="2:108" ht="16.5" customHeight="1" thickBot="1" x14ac:dyDescent="0.3">
      <c r="B2" s="791" t="s">
        <v>156</v>
      </c>
      <c r="C2" s="792"/>
      <c r="D2" s="792"/>
      <c r="E2" s="792"/>
      <c r="F2" s="792"/>
      <c r="G2" s="792"/>
      <c r="H2" s="792"/>
      <c r="I2" s="792"/>
      <c r="J2" s="792"/>
      <c r="K2" s="792"/>
      <c r="L2" s="792"/>
      <c r="M2" s="792"/>
      <c r="N2" s="793"/>
      <c r="U2" s="799" t="s">
        <v>468</v>
      </c>
      <c r="V2" s="800"/>
      <c r="W2" s="800"/>
      <c r="X2" s="800"/>
      <c r="Y2" s="800"/>
      <c r="Z2" s="800"/>
      <c r="AA2" s="800"/>
      <c r="AB2" s="800"/>
      <c r="AC2" s="800"/>
      <c r="AD2" s="800"/>
      <c r="AE2" s="800"/>
      <c r="AF2" s="800"/>
      <c r="AG2" s="800"/>
      <c r="AH2" s="800"/>
      <c r="AI2" s="800"/>
      <c r="AJ2" s="800"/>
      <c r="AK2" s="801"/>
      <c r="AM2" s="715" t="s">
        <v>469</v>
      </c>
      <c r="AN2" s="716"/>
      <c r="AO2" s="716"/>
      <c r="AP2" s="716"/>
      <c r="AQ2" s="716"/>
      <c r="AR2" s="716"/>
      <c r="AS2" s="716"/>
      <c r="AT2" s="716"/>
      <c r="AU2" s="716"/>
      <c r="AV2" s="716"/>
      <c r="AW2" s="716"/>
      <c r="AX2" s="716"/>
      <c r="AY2" s="716"/>
      <c r="AZ2" s="716"/>
      <c r="BA2" s="716"/>
      <c r="BB2" s="716"/>
      <c r="BC2" s="717"/>
      <c r="BE2" s="809" t="s">
        <v>407</v>
      </c>
      <c r="BF2" s="810"/>
      <c r="BG2" s="810"/>
      <c r="BH2" s="810"/>
      <c r="BI2" s="810"/>
      <c r="BJ2" s="810"/>
      <c r="BK2" s="811"/>
      <c r="BM2" s="812" t="s">
        <v>410</v>
      </c>
      <c r="BN2" s="813"/>
      <c r="BO2" s="813"/>
      <c r="BP2" s="813"/>
      <c r="BQ2" s="813"/>
      <c r="BR2" s="813"/>
      <c r="BS2" s="813"/>
      <c r="BT2" s="813"/>
      <c r="BU2" s="814"/>
      <c r="BW2" s="776" t="s">
        <v>282</v>
      </c>
      <c r="BX2" s="777"/>
      <c r="BY2" s="777"/>
      <c r="BZ2" s="777"/>
      <c r="CA2" s="777"/>
      <c r="CB2" s="777"/>
      <c r="CC2" s="777"/>
      <c r="CD2" s="778"/>
      <c r="CF2" s="820" t="s">
        <v>439</v>
      </c>
      <c r="CG2" s="821"/>
      <c r="CH2" s="821"/>
      <c r="CI2" s="821"/>
      <c r="CJ2" s="822"/>
      <c r="CL2" s="754" t="s">
        <v>438</v>
      </c>
      <c r="CM2" s="755"/>
      <c r="CN2" s="755"/>
      <c r="CO2" s="755"/>
      <c r="CP2" s="755"/>
      <c r="CQ2" s="755"/>
      <c r="CR2" s="755"/>
      <c r="CS2" s="756"/>
      <c r="CT2" s="181"/>
      <c r="CU2" s="1"/>
      <c r="CV2" s="1"/>
      <c r="CW2" s="1"/>
      <c r="CX2" s="1"/>
    </row>
    <row r="3" spans="2:108" ht="16.5" customHeight="1" thickBot="1" x14ac:dyDescent="0.3">
      <c r="B3" s="51" t="s">
        <v>9</v>
      </c>
      <c r="C3" s="74" t="s">
        <v>63</v>
      </c>
      <c r="D3" s="74" t="s">
        <v>32</v>
      </c>
      <c r="E3" s="74" t="s">
        <v>154</v>
      </c>
      <c r="F3" s="74" t="s">
        <v>155</v>
      </c>
      <c r="G3" s="74" t="s">
        <v>158</v>
      </c>
      <c r="H3" s="74" t="s">
        <v>157</v>
      </c>
      <c r="I3" s="74" t="s">
        <v>159</v>
      </c>
      <c r="J3" s="74" t="s">
        <v>181</v>
      </c>
      <c r="K3" s="74" t="s">
        <v>160</v>
      </c>
      <c r="L3" s="74" t="s">
        <v>161</v>
      </c>
      <c r="M3" s="74" t="s">
        <v>162</v>
      </c>
      <c r="N3" s="184" t="s">
        <v>163</v>
      </c>
      <c r="U3" s="46" t="s">
        <v>9</v>
      </c>
      <c r="V3" s="498" t="s">
        <v>63</v>
      </c>
      <c r="W3" s="498" t="s">
        <v>32</v>
      </c>
      <c r="X3" s="498" t="s">
        <v>171</v>
      </c>
      <c r="Y3" s="498" t="s">
        <v>172</v>
      </c>
      <c r="Z3" s="498" t="s">
        <v>169</v>
      </c>
      <c r="AA3" s="498" t="s">
        <v>164</v>
      </c>
      <c r="AB3" s="498" t="s">
        <v>165</v>
      </c>
      <c r="AC3" s="498" t="s">
        <v>173</v>
      </c>
      <c r="AD3" s="502" t="s">
        <v>190</v>
      </c>
      <c r="AE3" s="498" t="s">
        <v>191</v>
      </c>
      <c r="AF3" s="498" t="s">
        <v>192</v>
      </c>
      <c r="AG3" s="498" t="s">
        <v>193</v>
      </c>
      <c r="AH3" s="503" t="s">
        <v>194</v>
      </c>
      <c r="AI3" s="498" t="s">
        <v>178</v>
      </c>
      <c r="AJ3" s="498" t="s">
        <v>179</v>
      </c>
      <c r="AK3" s="504" t="s">
        <v>180</v>
      </c>
      <c r="AM3" s="467" t="s">
        <v>9</v>
      </c>
      <c r="AN3" s="476" t="s">
        <v>63</v>
      </c>
      <c r="AO3" s="466" t="s">
        <v>32</v>
      </c>
      <c r="AP3" s="466" t="s">
        <v>86</v>
      </c>
      <c r="AQ3" s="185" t="s">
        <v>179</v>
      </c>
      <c r="AR3" s="471" t="s">
        <v>266</v>
      </c>
      <c r="AS3" s="471" t="s">
        <v>244</v>
      </c>
      <c r="AT3" s="185" t="s">
        <v>258</v>
      </c>
      <c r="AU3" s="186" t="s">
        <v>178</v>
      </c>
      <c r="AV3" s="470" t="s">
        <v>267</v>
      </c>
      <c r="AW3" s="186" t="s">
        <v>256</v>
      </c>
      <c r="AX3" s="470" t="s">
        <v>409</v>
      </c>
      <c r="AY3" s="470" t="s">
        <v>408</v>
      </c>
      <c r="AZ3" s="477" t="s">
        <v>180</v>
      </c>
      <c r="BA3" s="481" t="s">
        <v>268</v>
      </c>
      <c r="BB3" s="477" t="s">
        <v>260</v>
      </c>
      <c r="BC3" s="480" t="s">
        <v>259</v>
      </c>
      <c r="BE3" s="187" t="s">
        <v>9</v>
      </c>
      <c r="BF3" s="188" t="s">
        <v>63</v>
      </c>
      <c r="BG3" s="189" t="s">
        <v>32</v>
      </c>
      <c r="BH3" s="190" t="s">
        <v>30</v>
      </c>
      <c r="BI3" s="191" t="s">
        <v>86</v>
      </c>
      <c r="BJ3" s="192" t="s">
        <v>440</v>
      </c>
      <c r="BK3" s="193" t="s">
        <v>441</v>
      </c>
      <c r="BM3" s="643" t="s">
        <v>411</v>
      </c>
      <c r="BN3" s="585"/>
      <c r="BO3" s="9" t="s">
        <v>412</v>
      </c>
      <c r="BP3" s="194">
        <v>6</v>
      </c>
      <c r="BQ3" s="57">
        <v>5</v>
      </c>
      <c r="BR3" s="57">
        <v>4</v>
      </c>
      <c r="BS3" s="57">
        <v>3</v>
      </c>
      <c r="BT3" s="57">
        <v>2</v>
      </c>
      <c r="BU3" s="195">
        <v>1</v>
      </c>
      <c r="BW3" s="7" t="s">
        <v>24</v>
      </c>
      <c r="BX3" s="13" t="s">
        <v>9</v>
      </c>
      <c r="BY3" s="13">
        <v>6</v>
      </c>
      <c r="BZ3" s="9">
        <v>5</v>
      </c>
      <c r="CA3" s="9">
        <v>4</v>
      </c>
      <c r="CB3" s="9">
        <v>3</v>
      </c>
      <c r="CC3" s="9">
        <v>2</v>
      </c>
      <c r="CD3" s="10">
        <v>1</v>
      </c>
      <c r="CF3" s="7" t="s">
        <v>9</v>
      </c>
      <c r="CG3" s="9" t="s">
        <v>63</v>
      </c>
      <c r="CH3" s="196" t="s">
        <v>212</v>
      </c>
      <c r="CI3" s="196" t="s">
        <v>213</v>
      </c>
      <c r="CJ3" s="197" t="s">
        <v>214</v>
      </c>
      <c r="CL3" s="468" t="str">
        <f>'System Capacities'!C18</f>
        <v>Storey</v>
      </c>
      <c r="CM3" s="768" t="str">
        <f>'System Capacities'!D18</f>
        <v>Mode of Failure</v>
      </c>
      <c r="CN3" s="769"/>
      <c r="CO3" s="769"/>
      <c r="CP3" s="198" t="str">
        <f>'System Capacities'!G18</f>
        <v>VR,i [kN]</v>
      </c>
      <c r="CQ3" s="473" t="str">
        <f>'System Capacities'!H18</f>
        <v>hs,i [m]</v>
      </c>
      <c r="CR3" s="198" t="str">
        <f>'System Capacities'!I18</f>
        <v>θsys,i [rad]</v>
      </c>
      <c r="CS3" s="199" t="str">
        <f>'System Capacities'!J18</f>
        <v>ky,i [kN/m]</v>
      </c>
      <c r="CT3" s="482"/>
      <c r="CZ3" s="17"/>
    </row>
    <row r="4" spans="2:108" x14ac:dyDescent="0.25">
      <c r="B4" s="775">
        <v>6</v>
      </c>
      <c r="C4" s="200">
        <v>1</v>
      </c>
      <c r="D4" s="200">
        <v>116</v>
      </c>
      <c r="E4" s="81">
        <f>'Structural Information'!$U$6</f>
        <v>3</v>
      </c>
      <c r="F4" s="81">
        <f>'Structural Information'!$AC$8</f>
        <v>4.5</v>
      </c>
      <c r="G4" s="81">
        <v>0.5</v>
      </c>
      <c r="H4" s="81">
        <v>0.25</v>
      </c>
      <c r="I4" s="81">
        <v>0.25</v>
      </c>
      <c r="J4" s="201">
        <f t="shared" ref="J4:J21" si="0">I4*(H4^3)/12</f>
        <v>3.2552083333333332E-4</v>
      </c>
      <c r="K4" s="81">
        <f>F4-H4</f>
        <v>4.25</v>
      </c>
      <c r="L4" s="81">
        <f t="shared" ref="L4:L21" si="1">E4-G4</f>
        <v>2.5</v>
      </c>
      <c r="M4" s="81">
        <f t="shared" ref="M4:M21" si="2">SQRT(K4^2+L4^2)</f>
        <v>4.9307707308290052</v>
      </c>
      <c r="N4" s="83">
        <f>ATAN(L4/K4)</f>
        <v>0.53172406725880561</v>
      </c>
      <c r="U4" s="774">
        <v>6</v>
      </c>
      <c r="V4" s="93">
        <v>1</v>
      </c>
      <c r="W4" s="93">
        <v>116</v>
      </c>
      <c r="X4" s="94">
        <f>1/((((COS(N4))^4)/'Structural Information'!$AH$29)+(((SIN(N4))^4)/'Structural Information'!$AH$30)+(((SIN(N4))^2)*((COS(N4))^2)*((1/'Structural Information'!$AH$31)-(2*'Structural Information'!$AL$31/'Structural Information'!$AH$30))))</f>
        <v>1492.8812750676027</v>
      </c>
      <c r="Y4" s="94">
        <f>((X4*('Structural Information'!$AL$29/1000)*SIN(2*N4))/(4*'Structural Information'!$AH$32*J4*L4))^(1/4)</f>
        <v>1.5504857878772818</v>
      </c>
      <c r="Z4" s="94">
        <f t="shared" ref="Z4:Z21" si="3">Y4*E4</f>
        <v>4.6514573636318453</v>
      </c>
      <c r="AA4" s="164">
        <f t="shared" ref="AA4:AA21" si="4">IF(Z4&lt;3.14,$Q$8,0)+IF(Z4&gt;3.14,1,0)*IF(Z4&lt;7.85,$R$8,0)+IF(Z4&gt;7.85,$S$8,0)</f>
        <v>0.70699999999999996</v>
      </c>
      <c r="AB4" s="164">
        <f t="shared" ref="AB4:AB21" si="5">IF(Z4&lt;3.14,$Q$9,0)+IF(Z4&gt;3.14,1,0)*IF(Z4&lt;7.85,$R$9,0)+IF(Z4&gt;7.85,$S$9,0)</f>
        <v>0.01</v>
      </c>
      <c r="AC4" s="94">
        <f t="shared" ref="AC4:AC21" si="6">((AA4/Z4)+AB4)*M4</f>
        <v>0.79876204692072605</v>
      </c>
      <c r="AD4" s="206">
        <f>((0.6*'Structural Information'!$AJ$29)+(0.3*'Structural Information'!$AL$30))/(AC4/M4)</f>
        <v>1.3333714113794979</v>
      </c>
      <c r="AE4" s="94">
        <f>(((1.2*SIN(N4)+0.45*COS(N4))*'Structural Information'!$AJ$30)+(0.3*'Structural Information'!$AL$30))/(AC4/M4)</f>
        <v>1.8450425952026535</v>
      </c>
      <c r="AF4" s="94">
        <f>(1.12*'Structural Information'!$AJ$31*COS(N4)*SIN(N4))/((AA4*(Z4^(-0.12)))+(AB4*(Z4^(0.88))))</f>
        <v>2.7418487136841865</v>
      </c>
      <c r="AG4" s="94">
        <f>(1.16*'Structural Information'!$AJ$31*TAN(N4))/((AA4)+(AB4*Z4))</f>
        <v>3.1785169223354388</v>
      </c>
      <c r="AH4" s="205">
        <f t="shared" ref="AH4:AH21" si="7">MIN(AD4:AG4)</f>
        <v>1.3333714113794979</v>
      </c>
      <c r="AI4" s="94">
        <f>AH4*AC4*'Structural Information'!$AL$29</f>
        <v>319.51394335771954</v>
      </c>
      <c r="AJ4" s="94">
        <f t="shared" ref="AJ4:AJ21" si="8">0.8*AI4</f>
        <v>255.61115468617564</v>
      </c>
      <c r="AK4" s="208">
        <f t="shared" ref="AK4:AK21" si="9">0.1*AI4</f>
        <v>31.951394335771955</v>
      </c>
      <c r="AM4" s="774">
        <v>6</v>
      </c>
      <c r="AN4" s="93">
        <v>1</v>
      </c>
      <c r="AO4" s="93">
        <v>116</v>
      </c>
      <c r="AP4" s="205">
        <v>3</v>
      </c>
      <c r="AQ4" s="206">
        <f t="shared" ref="AQ4:AQ21" si="10">AJ4</f>
        <v>255.61115468617564</v>
      </c>
      <c r="AR4" s="179">
        <f>0.08/100</f>
        <v>8.0000000000000004E-4</v>
      </c>
      <c r="AS4" s="94">
        <f>AQ4/(AR4*(SQRT(($F$4^2)+($E$4^2))))</f>
        <v>59078.149025741252</v>
      </c>
      <c r="AT4" s="207">
        <f>AS4*((COS($N$4))^2)</f>
        <v>43890.964186219077</v>
      </c>
      <c r="AU4" s="206">
        <f t="shared" ref="AU4:AU21" si="11">AI4</f>
        <v>319.51394335771954</v>
      </c>
      <c r="AV4" s="179">
        <f>0.22/100</f>
        <v>2.2000000000000001E-3</v>
      </c>
      <c r="AW4" s="94">
        <f>AU4/(AV4*(SQRT(($F$4^2)+($E$4^2))))</f>
        <v>26853.704102609659</v>
      </c>
      <c r="AX4" s="135">
        <f>(AU4-AQ4)/((AV4-AR4)*(SQRT(($F$4^2)+($E$4^2))))</f>
        <v>8439.7355751058913</v>
      </c>
      <c r="AY4" s="207">
        <f>AX4*((COS($N$4))^2)</f>
        <v>6270.1377408884373</v>
      </c>
      <c r="AZ4" s="206">
        <f t="shared" ref="AZ4:AZ21" si="12">AK4</f>
        <v>31.951394335771955</v>
      </c>
      <c r="BA4" s="179">
        <f>0.89/100</f>
        <v>8.8999999999999999E-3</v>
      </c>
      <c r="BB4" s="94">
        <f>((AZ4*COS($N$4))-(AU4*COS($N$4)))/((BA4-AV4)*AP4)</f>
        <v>-12331.343283582089</v>
      </c>
      <c r="BC4" s="208">
        <f>BB4*((COS($N$4))^2)</f>
        <v>-9161.3321566972318</v>
      </c>
      <c r="BE4" s="816">
        <v>6</v>
      </c>
      <c r="BF4" s="93">
        <v>1</v>
      </c>
      <c r="BG4" s="93">
        <v>7116</v>
      </c>
      <c r="BH4" s="93" t="s">
        <v>27</v>
      </c>
      <c r="BI4" s="209">
        <f>'Structural Information'!$U$6</f>
        <v>3</v>
      </c>
      <c r="BJ4" s="210">
        <f>('Structural Information'!$X$24)*(200)/$BI4</f>
        <v>53616.514621265807</v>
      </c>
      <c r="BK4" s="211">
        <f>'Structural Information'!$T$23*'Structural Information'!$T$24*(4700*SQRT('Structural Information'!$AC$18))/(BI4*1000)</f>
        <v>433495.56258141535</v>
      </c>
      <c r="BM4" s="212" t="s">
        <v>413</v>
      </c>
      <c r="BN4" s="66" t="s">
        <v>414</v>
      </c>
      <c r="BO4" s="66" t="s">
        <v>415</v>
      </c>
      <c r="BP4" s="213">
        <f>'Structural Information'!U6</f>
        <v>3</v>
      </c>
      <c r="BQ4" s="214">
        <f>'Structural Information'!U7</f>
        <v>3</v>
      </c>
      <c r="BR4" s="214">
        <f>'Structural Information'!U8</f>
        <v>3</v>
      </c>
      <c r="BS4" s="214">
        <f>'Structural Information'!U9</f>
        <v>3</v>
      </c>
      <c r="BT4" s="214">
        <f>'Structural Information'!U10</f>
        <v>3</v>
      </c>
      <c r="BU4" s="215">
        <f>'Structural Information'!U11</f>
        <v>2.75</v>
      </c>
      <c r="BW4" s="643">
        <v>1</v>
      </c>
      <c r="BX4" s="216" t="s">
        <v>27</v>
      </c>
      <c r="BY4" s="217">
        <f>(BP5*BP5)/$BK$4</f>
        <v>1.0252571947861007E-6</v>
      </c>
      <c r="BZ4" s="217">
        <f>(BQ5*BQ5)/$BK$8</f>
        <v>1.0252571947861007E-6</v>
      </c>
      <c r="CA4" s="217">
        <f>(BR5*BR5)/$BK$12</f>
        <v>1.0252571947861007E-6</v>
      </c>
      <c r="CB4" s="217">
        <f>(BS5*BS5)/$BK$16</f>
        <v>1.0252571947861007E-6</v>
      </c>
      <c r="CC4" s="217">
        <f>((BT5*BT5)/$BK$20)</f>
        <v>1.0252571947861007E-6</v>
      </c>
      <c r="CD4" s="218">
        <f>(BU5*BU5)/$BK$24</f>
        <v>5.4840909780908416E-7</v>
      </c>
      <c r="CF4" s="673">
        <v>6</v>
      </c>
      <c r="CG4" s="219">
        <v>1</v>
      </c>
      <c r="CH4" s="779">
        <f>1/(BY5+BY4+BZ4+CA4+CB4+CC4+CD4+BZ8+CA8+CB8+CC8+CD8+(1/Y32))+1/(BY10+BY9+BZ9+CA9+CB9+CC9+CD9+BZ13+CA13+CB13+CC13+CD13+(1/Y33))+1/(BY15+BY14+BZ14+CA14+CB14+CC14+CD14+BZ18+CA18+CB18+CC18+CD18+(1/Y34))</f>
        <v>57872.191665046179</v>
      </c>
      <c r="CI4" s="779">
        <f>1/(BY6+BY4+BZ4+CA4+CB4+CC4+CD4+BZ8+CA8+CB8+CC8+CD8+(1/Y32))+1/(BY11+BY9+BZ9+CA9+CB9+CC9+CD9+BZ13+CA13+CB13+CC13+CD13+(1/Y33))+1/(BY16+BY14+BZ14+CA14+CB14+CC14+CD14+BZ18+CA18+CB18+CC18+CD18+(1/Y34))</f>
        <v>13516.979847378621</v>
      </c>
      <c r="CJ4" s="782">
        <f>1/(BY7+BY4+BZ4+CA4+CB4+CC4+CD4+BZ8+CA8+CB8+CC8+CD8+(1/Y32))+1/(BY12+BY9+BZ9+CA9+CB9+CC9+CD9+BZ13+CA13+CB13+CC13+CD13+(1/Y33))+1/(BY17+BY14+BZ14+CA14+CB14+CC14+CD14+BZ18+CA18+CB18+CC18+CD18+(1/Y34))</f>
        <v>-29876.416806458183</v>
      </c>
      <c r="CL4" s="220">
        <f>'System Capacities'!C19</f>
        <v>6</v>
      </c>
      <c r="CM4" s="770" t="str">
        <f>'System Capacities'!D19</f>
        <v>Corner crushing / Column</v>
      </c>
      <c r="CN4" s="771"/>
      <c r="CO4" s="771"/>
      <c r="CP4" s="81">
        <f>'System Capacities'!G19</f>
        <v>171.55659581870771</v>
      </c>
      <c r="CQ4" s="81">
        <f>'Structural Information'!U6</f>
        <v>3</v>
      </c>
      <c r="CR4" s="221">
        <f>'System Capacities'!I19</f>
        <v>9.8813489336206217E-4</v>
      </c>
      <c r="CS4" s="222">
        <f>'System Capacities'!J19</f>
        <v>57872.191665046179</v>
      </c>
      <c r="CT4" s="482"/>
      <c r="CZ4" s="17"/>
    </row>
    <row r="5" spans="2:108" x14ac:dyDescent="0.25">
      <c r="B5" s="795"/>
      <c r="C5" s="67">
        <v>2</v>
      </c>
      <c r="D5" s="67">
        <v>216</v>
      </c>
      <c r="E5" s="68">
        <f>'Structural Information'!$U$6</f>
        <v>3</v>
      </c>
      <c r="F5" s="68">
        <f>'Structural Information'!$AC$7</f>
        <v>2</v>
      </c>
      <c r="G5" s="68">
        <v>0.5</v>
      </c>
      <c r="H5" s="68">
        <v>0.25</v>
      </c>
      <c r="I5" s="68">
        <v>0.25</v>
      </c>
      <c r="J5" s="223">
        <f t="shared" si="0"/>
        <v>3.2552083333333332E-4</v>
      </c>
      <c r="K5" s="68">
        <f t="shared" ref="K5:K21" si="13">F5-H5</f>
        <v>1.75</v>
      </c>
      <c r="L5" s="68">
        <f t="shared" si="1"/>
        <v>2.5</v>
      </c>
      <c r="M5" s="68">
        <f t="shared" si="2"/>
        <v>3.0516389039334255</v>
      </c>
      <c r="N5" s="222">
        <f t="shared" ref="N5:N21" si="14">ATAN(L5/K5)</f>
        <v>0.96007036240568799</v>
      </c>
      <c r="U5" s="772"/>
      <c r="V5" s="499">
        <v>2</v>
      </c>
      <c r="W5" s="499">
        <v>216</v>
      </c>
      <c r="X5" s="60">
        <f>1/((((COS(N5))^4)/'Structural Information'!$AH$29)+(((SIN(N5))^4)/'Structural Information'!$AH$30)+(((SIN(N5))^2)*((COS(N5))^2)*((1/'Structural Information'!$AH$31)-(2*'Structural Information'!$AL$31/'Structural Information'!$AH$30))))</f>
        <v>2596.9081693069729</v>
      </c>
      <c r="Y5" s="60">
        <f>((X5*('Structural Information'!$AL$29/1000)*SIN(2*N5))/(4*'Structural Information'!$AH$32*J5*L5))^(1/4)</f>
        <v>1.8131291203134809</v>
      </c>
      <c r="Z5" s="60">
        <f t="shared" si="3"/>
        <v>5.4393873609404428</v>
      </c>
      <c r="AA5" s="284">
        <f t="shared" si="4"/>
        <v>0.70699999999999996</v>
      </c>
      <c r="AB5" s="284">
        <f t="shared" si="5"/>
        <v>0.01</v>
      </c>
      <c r="AC5" s="60">
        <f t="shared" si="6"/>
        <v>0.42716192316211632</v>
      </c>
      <c r="AD5" s="500">
        <f>((0.6*'Structural Information'!$AJ$29)+(0.3*'Structural Information'!$AL$30))/(AC5/M5)</f>
        <v>1.5431010291604526</v>
      </c>
      <c r="AE5" s="60">
        <f>(((1.2*SIN(N5)+0.45*COS(N5))*'Structural Information'!$AJ$30)+(0.3*'Structural Information'!$AL$30))/(AC5/M5)</f>
        <v>2.6599983247307617</v>
      </c>
      <c r="AF5" s="60">
        <f>(1.12*'Structural Information'!$AJ$31*COS(N5)*SIN(N5))/((AA5*(Z5^(-0.12)))+(AB5*(Z5^(0.88))))</f>
        <v>2.9723060894510924</v>
      </c>
      <c r="AG5" s="60">
        <f>(1.16*'Structural Information'!$AJ$31*TAN(N5))/((AA5)+(AB5*Z5))</f>
        <v>7.6393725116250852</v>
      </c>
      <c r="AH5" s="501">
        <f t="shared" si="7"/>
        <v>1.5431010291604526</v>
      </c>
      <c r="AI5" s="60">
        <f>AH5*AC5*'Structural Information'!$AL$29</f>
        <v>197.74620097488594</v>
      </c>
      <c r="AJ5" s="60">
        <f t="shared" si="8"/>
        <v>158.19696077990875</v>
      </c>
      <c r="AK5" s="128">
        <f t="shared" si="9"/>
        <v>19.774620097488594</v>
      </c>
      <c r="AM5" s="772"/>
      <c r="AN5" s="59">
        <v>2</v>
      </c>
      <c r="AO5" s="59">
        <v>216</v>
      </c>
      <c r="AP5" s="479">
        <v>3</v>
      </c>
      <c r="AQ5" s="478">
        <f t="shared" si="10"/>
        <v>158.19696077990875</v>
      </c>
      <c r="AR5" s="61">
        <f t="shared" ref="AR5:AR21" si="15">0.08/100</f>
        <v>8.0000000000000004E-4</v>
      </c>
      <c r="AS5" s="60">
        <f>AQ5/(AR5*(SQRT(($F$5^2)+($E$5^2))))</f>
        <v>54844.92824178141</v>
      </c>
      <c r="AT5" s="226">
        <f>AS5*((COS($N$5))^2)</f>
        <v>18036.251569444896</v>
      </c>
      <c r="AU5" s="478">
        <f t="shared" si="11"/>
        <v>197.74620097488594</v>
      </c>
      <c r="AV5" s="61">
        <f t="shared" ref="AV5:AV21" si="16">0.22/100</f>
        <v>2.2000000000000001E-3</v>
      </c>
      <c r="AW5" s="60">
        <f>AU5/(AV5*(SQRT(($F$5^2)+($E$5^2))))</f>
        <v>24929.512837173366</v>
      </c>
      <c r="AX5" s="137">
        <f>(AU5-AQ5)/((AV5-AR5)*(SQRT(($F$5^2)+($E$5^2))))</f>
        <v>7834.9897488259148</v>
      </c>
      <c r="AY5" s="226">
        <f>AX5*((COS($N$5))^2)</f>
        <v>2576.607367063556</v>
      </c>
      <c r="AZ5" s="478">
        <f t="shared" si="12"/>
        <v>19.774620097488594</v>
      </c>
      <c r="BA5" s="61">
        <f t="shared" ref="BA5:BA21" si="17">0.89/100</f>
        <v>8.8999999999999999E-3</v>
      </c>
      <c r="BB5" s="60">
        <f t="shared" ref="BB5:BB21" si="18">((AZ5*COS($N$4))-(AU5*COS($N$4)))/((BA5-AV5)*AP5)</f>
        <v>-7631.8305912411433</v>
      </c>
      <c r="BC5" s="128">
        <f t="shared" ref="BC5:BC21" si="19">BB5*((COS($N$4))^2)</f>
        <v>-5669.9204135441905</v>
      </c>
      <c r="BE5" s="817"/>
      <c r="BF5" s="59">
        <v>2</v>
      </c>
      <c r="BG5" s="59">
        <v>7216</v>
      </c>
      <c r="BH5" s="59" t="s">
        <v>27</v>
      </c>
      <c r="BI5" s="209">
        <f>'Structural Information'!$U$6</f>
        <v>3</v>
      </c>
      <c r="BJ5" s="70">
        <f>('Structural Information'!$X$24)*(200)/$BI5</f>
        <v>53616.514621265807</v>
      </c>
      <c r="BK5" s="227">
        <f>'Structural Information'!$T$23*'Structural Information'!$T$24*(4700*SQRT('Structural Information'!$AC$18))/(BI5*1000)</f>
        <v>433495.56258141535</v>
      </c>
      <c r="BM5" s="673">
        <v>1</v>
      </c>
      <c r="BN5" s="228">
        <v>1</v>
      </c>
      <c r="BO5" s="229">
        <f>'Structural Information'!$AC$8</f>
        <v>4.5</v>
      </c>
      <c r="BP5" s="94">
        <f t="shared" ref="BP5:BU5" si="20">(BP$4/$BO5)</f>
        <v>0.66666666666666663</v>
      </c>
      <c r="BQ5" s="94">
        <f t="shared" si="20"/>
        <v>0.66666666666666663</v>
      </c>
      <c r="BR5" s="94">
        <f t="shared" si="20"/>
        <v>0.66666666666666663</v>
      </c>
      <c r="BS5" s="94">
        <f t="shared" si="20"/>
        <v>0.66666666666666663</v>
      </c>
      <c r="BT5" s="94">
        <f t="shared" si="20"/>
        <v>0.66666666666666663</v>
      </c>
      <c r="BU5" s="208">
        <f t="shared" si="20"/>
        <v>0.61111111111111116</v>
      </c>
      <c r="BW5" s="673"/>
      <c r="BX5" s="230" t="s">
        <v>275</v>
      </c>
      <c r="BY5" s="217">
        <f>1/($AT$4)</f>
        <v>2.278373279195313E-5</v>
      </c>
      <c r="BZ5" s="217">
        <f>1/($AT$7)</f>
        <v>2.278373279195313E-5</v>
      </c>
      <c r="CA5" s="217">
        <f>1/($AT$10)</f>
        <v>2.278373279195313E-5</v>
      </c>
      <c r="CB5" s="217">
        <f>1/($AT$13)</f>
        <v>2.278373279195313E-5</v>
      </c>
      <c r="CC5" s="217">
        <f>1/($AT$16)</f>
        <v>2.278373279195313E-5</v>
      </c>
      <c r="CD5" s="218">
        <f>1/($AT$19)</f>
        <v>2.1982813209515501E-5</v>
      </c>
      <c r="CF5" s="673"/>
      <c r="CG5" s="231">
        <v>2</v>
      </c>
      <c r="CH5" s="780"/>
      <c r="CI5" s="780"/>
      <c r="CJ5" s="783"/>
      <c r="CL5" s="232">
        <f>'System Capacities'!C20</f>
        <v>5</v>
      </c>
      <c r="CM5" s="770" t="str">
        <f>'System Capacities'!D20</f>
        <v>Corner crushing / Column</v>
      </c>
      <c r="CN5" s="771"/>
      <c r="CO5" s="771"/>
      <c r="CP5" s="81">
        <f>'System Capacities'!G20</f>
        <v>348.81217408162945</v>
      </c>
      <c r="CQ5" s="68">
        <f>'Structural Information'!U7</f>
        <v>3</v>
      </c>
      <c r="CR5" s="221">
        <f>'System Capacities'!I20</f>
        <v>1.4977593939212409E-3</v>
      </c>
      <c r="CS5" s="222">
        <f>'System Capacities'!J20</f>
        <v>77629.774959695918</v>
      </c>
      <c r="CT5" s="56"/>
      <c r="CZ5" s="17"/>
    </row>
    <row r="6" spans="2:108" ht="16.5" thickBot="1" x14ac:dyDescent="0.3">
      <c r="B6" s="796"/>
      <c r="C6" s="233">
        <v>3</v>
      </c>
      <c r="D6" s="233">
        <v>316</v>
      </c>
      <c r="E6" s="104">
        <f>'Structural Information'!$U$6</f>
        <v>3</v>
      </c>
      <c r="F6" s="104">
        <f>'Structural Information'!$AC$6</f>
        <v>4.5</v>
      </c>
      <c r="G6" s="104">
        <v>0.5</v>
      </c>
      <c r="H6" s="104">
        <v>0.25</v>
      </c>
      <c r="I6" s="104">
        <v>0.25</v>
      </c>
      <c r="J6" s="234">
        <f t="shared" si="0"/>
        <v>3.2552083333333332E-4</v>
      </c>
      <c r="K6" s="104">
        <f t="shared" si="13"/>
        <v>4.25</v>
      </c>
      <c r="L6" s="104">
        <f t="shared" si="1"/>
        <v>2.5</v>
      </c>
      <c r="M6" s="104">
        <f t="shared" si="2"/>
        <v>4.9307707308290052</v>
      </c>
      <c r="N6" s="235">
        <f t="shared" si="14"/>
        <v>0.53172406725880561</v>
      </c>
      <c r="P6" s="797" t="s">
        <v>170</v>
      </c>
      <c r="Q6" s="797"/>
      <c r="R6" s="797"/>
      <c r="S6" s="797"/>
      <c r="U6" s="775"/>
      <c r="V6" s="99">
        <v>3</v>
      </c>
      <c r="W6" s="99">
        <v>316</v>
      </c>
      <c r="X6" s="100">
        <f>1/((((COS(N6))^4)/'Structural Information'!$AH$29)+(((SIN(N6))^4)/'Structural Information'!$AH$30)+(((SIN(N6))^2)*((COS(N6))^2)*((1/'Structural Information'!$AH$31)-(2*'Structural Information'!$AL$31/'Structural Information'!$AH$30))))</f>
        <v>1492.8812750676027</v>
      </c>
      <c r="Y6" s="100">
        <f>((X6*('Structural Information'!$AL$29/1000)*SIN(2*N6))/(4*'Structural Information'!$AH$32*J6*L6))^(1/4)</f>
        <v>1.5504857878772818</v>
      </c>
      <c r="Z6" s="100">
        <f t="shared" si="3"/>
        <v>4.6514573636318453</v>
      </c>
      <c r="AA6" s="161">
        <f t="shared" si="4"/>
        <v>0.70699999999999996</v>
      </c>
      <c r="AB6" s="161">
        <f t="shared" si="5"/>
        <v>0.01</v>
      </c>
      <c r="AC6" s="100">
        <f t="shared" si="6"/>
        <v>0.79876204692072605</v>
      </c>
      <c r="AD6" s="237">
        <f>((0.6*'Structural Information'!$AJ$29)+(0.3*'Structural Information'!$AL$30))/(AC6/M6)</f>
        <v>1.3333714113794979</v>
      </c>
      <c r="AE6" s="100">
        <f>(((1.2*SIN(N6)+0.45*COS(N6))*'Structural Information'!$AJ$30)+(0.3*'Structural Information'!$AL$30))/(AC6/M6)</f>
        <v>1.8450425952026535</v>
      </c>
      <c r="AF6" s="100">
        <f>(1.12*'Structural Information'!$AJ$31*COS(N6)*SIN(N6))/((AA6*(Z6^(-0.12)))+(AB6*(Z6^(0.88))))</f>
        <v>2.7418487136841865</v>
      </c>
      <c r="AG6" s="100">
        <f>(1.16*'Structural Information'!$AJ$31*TAN(N6))/((AA6)+(AB6*Z6))</f>
        <v>3.1785169223354388</v>
      </c>
      <c r="AH6" s="236">
        <f t="shared" si="7"/>
        <v>1.3333714113794979</v>
      </c>
      <c r="AI6" s="100">
        <f>AH6*AC6*'Structural Information'!$AL$29</f>
        <v>319.51394335771954</v>
      </c>
      <c r="AJ6" s="100">
        <f t="shared" si="8"/>
        <v>255.61115468617564</v>
      </c>
      <c r="AK6" s="239">
        <f t="shared" si="9"/>
        <v>31.951394335771955</v>
      </c>
      <c r="AM6" s="775"/>
      <c r="AN6" s="99">
        <v>3</v>
      </c>
      <c r="AO6" s="99">
        <v>316</v>
      </c>
      <c r="AP6" s="236">
        <v>3</v>
      </c>
      <c r="AQ6" s="237">
        <f t="shared" si="10"/>
        <v>255.61115468617564</v>
      </c>
      <c r="AR6" s="174">
        <f t="shared" si="15"/>
        <v>8.0000000000000004E-4</v>
      </c>
      <c r="AS6" s="100">
        <f>AQ6/(AR6*(SQRT(($F$6^2)+($E$6^2))))</f>
        <v>59078.149025741252</v>
      </c>
      <c r="AT6" s="238">
        <f>AS6*((COS($N$6))^2)</f>
        <v>43890.964186219077</v>
      </c>
      <c r="AU6" s="237">
        <f t="shared" si="11"/>
        <v>319.51394335771954</v>
      </c>
      <c r="AV6" s="174">
        <f t="shared" si="16"/>
        <v>2.2000000000000001E-3</v>
      </c>
      <c r="AW6" s="100">
        <f>AU6/(AV6*(SQRT(($F$6^2)+($E$6^2))))</f>
        <v>26853.704102609659</v>
      </c>
      <c r="AX6" s="134">
        <f>(AU6-AQ6)/((AV6-AR6)*(SQRT(($F$6^2)+($E$6^2))))</f>
        <v>8439.7355751058913</v>
      </c>
      <c r="AY6" s="238">
        <f>AX6*((COS($N$6))^2)</f>
        <v>6270.1377408884373</v>
      </c>
      <c r="AZ6" s="237">
        <f t="shared" si="12"/>
        <v>31.951394335771955</v>
      </c>
      <c r="BA6" s="174">
        <f t="shared" si="17"/>
        <v>8.8999999999999999E-3</v>
      </c>
      <c r="BB6" s="100">
        <f t="shared" si="18"/>
        <v>-12331.343283582089</v>
      </c>
      <c r="BC6" s="239">
        <f t="shared" si="19"/>
        <v>-9161.3321566972318</v>
      </c>
      <c r="BE6" s="817"/>
      <c r="BF6" s="59">
        <v>3</v>
      </c>
      <c r="BG6" s="59">
        <v>7316</v>
      </c>
      <c r="BH6" s="59" t="s">
        <v>27</v>
      </c>
      <c r="BI6" s="209">
        <f>'Structural Information'!$U$6</f>
        <v>3</v>
      </c>
      <c r="BJ6" s="70">
        <f>('Structural Information'!$X$24)*(200)/$BI6</f>
        <v>53616.514621265807</v>
      </c>
      <c r="BK6" s="227">
        <f>'Structural Information'!$T$23*'Structural Information'!$T$24*(4700*SQRT('Structural Information'!$AC$18))/(BI6*1000)</f>
        <v>433495.56258141535</v>
      </c>
      <c r="BM6" s="673"/>
      <c r="BN6" s="240" t="s">
        <v>416</v>
      </c>
      <c r="BO6" s="241">
        <f>'Structural Information'!$AC$8</f>
        <v>4.5</v>
      </c>
      <c r="BP6" s="58">
        <f>BQ6+BP5</f>
        <v>3.9444444444444438</v>
      </c>
      <c r="BQ6" s="58">
        <f>BR6+BQ5</f>
        <v>3.2777777777777772</v>
      </c>
      <c r="BR6" s="58">
        <f>BS6+BR5</f>
        <v>2.6111111111111107</v>
      </c>
      <c r="BS6" s="58">
        <f>BT6+BS5</f>
        <v>1.9444444444444442</v>
      </c>
      <c r="BT6" s="58">
        <f>BU6+BT5</f>
        <v>1.2777777777777777</v>
      </c>
      <c r="BU6" s="242">
        <f>BU5</f>
        <v>0.61111111111111116</v>
      </c>
      <c r="BW6" s="673"/>
      <c r="BX6" s="243" t="s">
        <v>275</v>
      </c>
      <c r="BY6" s="217">
        <f>1/($AY$4)</f>
        <v>1.5948612954367196E-4</v>
      </c>
      <c r="BZ6" s="217">
        <f>1/($AY$7)</f>
        <v>1.5948612954367196E-4</v>
      </c>
      <c r="CA6" s="217">
        <f>1/($AY$10)</f>
        <v>1.5948612954367196E-4</v>
      </c>
      <c r="CB6" s="217">
        <f>1/($AY$13)</f>
        <v>1.5948612954367196E-4</v>
      </c>
      <c r="CC6" s="217">
        <f>1/($AY$16)</f>
        <v>1.5948612954367196E-4</v>
      </c>
      <c r="CD6" s="218">
        <f>1/($AY$19)</f>
        <v>1.538796924666086E-4</v>
      </c>
      <c r="CF6" s="673"/>
      <c r="CG6" s="200">
        <v>3</v>
      </c>
      <c r="CH6" s="781"/>
      <c r="CI6" s="781"/>
      <c r="CJ6" s="784"/>
      <c r="CL6" s="232">
        <f>'System Capacities'!C21</f>
        <v>4</v>
      </c>
      <c r="CM6" s="770" t="str">
        <f>'System Capacities'!D21</f>
        <v>Corner crushing / Column</v>
      </c>
      <c r="CN6" s="771"/>
      <c r="CO6" s="771"/>
      <c r="CP6" s="81">
        <f>'System Capacities'!G21</f>
        <v>505.51466328235244</v>
      </c>
      <c r="CQ6" s="68">
        <f>'Structural Information'!U8</f>
        <v>3</v>
      </c>
      <c r="CR6" s="221">
        <f>'System Capacities'!I21</f>
        <v>2.0066112110200067E-3</v>
      </c>
      <c r="CS6" s="222">
        <f>'System Capacities'!J21</f>
        <v>83974.856133256253</v>
      </c>
      <c r="CZ6" s="17"/>
    </row>
    <row r="7" spans="2:108" x14ac:dyDescent="0.25">
      <c r="B7" s="794">
        <v>5</v>
      </c>
      <c r="C7" s="202">
        <v>1</v>
      </c>
      <c r="D7" s="202">
        <v>115</v>
      </c>
      <c r="E7" s="203">
        <f>'Structural Information'!$U$7</f>
        <v>3</v>
      </c>
      <c r="F7" s="203">
        <f>'Structural Information'!$AC$8</f>
        <v>4.5</v>
      </c>
      <c r="G7" s="203">
        <v>0.5</v>
      </c>
      <c r="H7" s="203">
        <v>0.25</v>
      </c>
      <c r="I7" s="203">
        <v>0.25</v>
      </c>
      <c r="J7" s="244">
        <f t="shared" si="0"/>
        <v>3.2552083333333332E-4</v>
      </c>
      <c r="K7" s="203">
        <f t="shared" si="13"/>
        <v>4.25</v>
      </c>
      <c r="L7" s="203">
        <f t="shared" si="1"/>
        <v>2.5</v>
      </c>
      <c r="M7" s="203">
        <f t="shared" si="2"/>
        <v>4.9307707308290052</v>
      </c>
      <c r="N7" s="204">
        <f t="shared" si="14"/>
        <v>0.53172406725880561</v>
      </c>
      <c r="P7" s="245" t="s">
        <v>169</v>
      </c>
      <c r="Q7" s="246" t="s">
        <v>166</v>
      </c>
      <c r="R7" s="66" t="s">
        <v>167</v>
      </c>
      <c r="S7" s="246" t="s">
        <v>168</v>
      </c>
      <c r="U7" s="772">
        <v>5</v>
      </c>
      <c r="V7" s="499">
        <v>1</v>
      </c>
      <c r="W7" s="499">
        <v>115</v>
      </c>
      <c r="X7" s="60">
        <f>1/((((COS(N7))^4)/'Structural Information'!$AH$29)+(((SIN(N7))^4)/'Structural Information'!$AH$30)+(((SIN(N7))^2)*((COS(N7))^2)*((1/'Structural Information'!$AH$31)-(2*'Structural Information'!$AL$31/'Structural Information'!$AH$30))))</f>
        <v>1492.8812750676027</v>
      </c>
      <c r="Y7" s="60">
        <f>((X7*('Structural Information'!$AL$29/1000)*SIN(2*N7))/(4*'Structural Information'!$AH$32*J7*L7))^(1/4)</f>
        <v>1.5504857878772818</v>
      </c>
      <c r="Z7" s="60">
        <f t="shared" si="3"/>
        <v>4.6514573636318453</v>
      </c>
      <c r="AA7" s="284">
        <f t="shared" si="4"/>
        <v>0.70699999999999996</v>
      </c>
      <c r="AB7" s="284">
        <f t="shared" si="5"/>
        <v>0.01</v>
      </c>
      <c r="AC7" s="60">
        <f t="shared" si="6"/>
        <v>0.79876204692072605</v>
      </c>
      <c r="AD7" s="500">
        <f>((0.6*'Structural Information'!$AJ$29)+(0.3*'Structural Information'!$AL$30))/(AC7/M7)</f>
        <v>1.3333714113794979</v>
      </c>
      <c r="AE7" s="60">
        <f>(((1.2*SIN(N7)+0.45*COS(N7))*'Structural Information'!$AJ$30)+(0.3*'Structural Information'!$AL$30))/(AC7/M7)</f>
        <v>1.8450425952026535</v>
      </c>
      <c r="AF7" s="60">
        <f>(1.12*'Structural Information'!$AJ$31*COS(N7)*SIN(N7))/((AA7*(Z7^(-0.12)))+(AB7*(Z7^(0.88))))</f>
        <v>2.7418487136841865</v>
      </c>
      <c r="AG7" s="60">
        <f>(1.16*'Structural Information'!$AJ$31*TAN(N7))/((AA7)+(AB7*Z7))</f>
        <v>3.1785169223354388</v>
      </c>
      <c r="AH7" s="501">
        <f t="shared" si="7"/>
        <v>1.3333714113794979</v>
      </c>
      <c r="AI7" s="60">
        <f>AH7*AC7*'Structural Information'!$AL$29</f>
        <v>319.51394335771954</v>
      </c>
      <c r="AJ7" s="60">
        <f t="shared" si="8"/>
        <v>255.61115468617564</v>
      </c>
      <c r="AK7" s="128">
        <f t="shared" si="9"/>
        <v>31.951394335771955</v>
      </c>
      <c r="AM7" s="772">
        <v>5</v>
      </c>
      <c r="AN7" s="59">
        <v>1</v>
      </c>
      <c r="AO7" s="59">
        <v>115</v>
      </c>
      <c r="AP7" s="479">
        <v>3</v>
      </c>
      <c r="AQ7" s="478">
        <f t="shared" si="10"/>
        <v>255.61115468617564</v>
      </c>
      <c r="AR7" s="61">
        <f t="shared" si="15"/>
        <v>8.0000000000000004E-4</v>
      </c>
      <c r="AS7" s="60">
        <f>AQ7/(AR7*(SQRT(($F$7^2)+($E$7^2))))</f>
        <v>59078.149025741252</v>
      </c>
      <c r="AT7" s="226">
        <f>AS7*((COS($N$7))^2)</f>
        <v>43890.964186219077</v>
      </c>
      <c r="AU7" s="478">
        <f t="shared" si="11"/>
        <v>319.51394335771954</v>
      </c>
      <c r="AV7" s="61">
        <f t="shared" si="16"/>
        <v>2.2000000000000001E-3</v>
      </c>
      <c r="AW7" s="60">
        <f>AU7/(AV7*(SQRT(($F$7^2)+($E$7^2))))</f>
        <v>26853.704102609659</v>
      </c>
      <c r="AX7" s="137">
        <f>(AU7-AQ7)/((AV7-AR7)*(SQRT(($F$7^2)+($E$7^2))))</f>
        <v>8439.7355751058913</v>
      </c>
      <c r="AY7" s="226">
        <f>AX7*((COS($N$7))^2)</f>
        <v>6270.1377408884373</v>
      </c>
      <c r="AZ7" s="478">
        <f t="shared" si="12"/>
        <v>31.951394335771955</v>
      </c>
      <c r="BA7" s="61">
        <f t="shared" si="17"/>
        <v>8.8999999999999999E-3</v>
      </c>
      <c r="BB7" s="60">
        <f t="shared" si="18"/>
        <v>-12331.343283582089</v>
      </c>
      <c r="BC7" s="128">
        <f t="shared" si="19"/>
        <v>-9161.3321566972318</v>
      </c>
      <c r="BE7" s="818"/>
      <c r="BF7" s="99">
        <v>4</v>
      </c>
      <c r="BG7" s="99">
        <v>7416</v>
      </c>
      <c r="BH7" s="99" t="s">
        <v>27</v>
      </c>
      <c r="BI7" s="209">
        <f>'Structural Information'!$U$6</f>
        <v>3</v>
      </c>
      <c r="BJ7" s="247">
        <f>('Structural Information'!$X$24)*(200)/$BI7</f>
        <v>53616.514621265807</v>
      </c>
      <c r="BK7" s="248">
        <f>'Structural Information'!$T$23*'Structural Information'!$T$24*(4700*SQRT('Structural Information'!$AC$18))/(BI7*1000)</f>
        <v>433495.56258141535</v>
      </c>
      <c r="BM7" s="673"/>
      <c r="BN7" s="194" t="s">
        <v>417</v>
      </c>
      <c r="BO7" s="249">
        <f>'Structural Information'!$AC$8</f>
        <v>4.5</v>
      </c>
      <c r="BP7" s="60">
        <f t="shared" ref="BP7:BU7" si="21">(BP$4/$BO7)</f>
        <v>0.66666666666666663</v>
      </c>
      <c r="BQ7" s="60">
        <f>(BQ$4/$BO7)</f>
        <v>0.66666666666666663</v>
      </c>
      <c r="BR7" s="60">
        <f t="shared" si="21"/>
        <v>0.66666666666666663</v>
      </c>
      <c r="BS7" s="60">
        <f t="shared" si="21"/>
        <v>0.66666666666666663</v>
      </c>
      <c r="BT7" s="60">
        <f t="shared" si="21"/>
        <v>0.66666666666666663</v>
      </c>
      <c r="BU7" s="128">
        <f t="shared" si="21"/>
        <v>0.61111111111111116</v>
      </c>
      <c r="BW7" s="673"/>
      <c r="BX7" s="250" t="s">
        <v>275</v>
      </c>
      <c r="BY7" s="217">
        <f>1/($BC$4)</f>
        <v>-1.09154431134665E-4</v>
      </c>
      <c r="BZ7" s="217">
        <f>1/($BC$7)</f>
        <v>-1.09154431134665E-4</v>
      </c>
      <c r="CA7" s="217">
        <f>1/($BC$10)</f>
        <v>-1.09154431134665E-4</v>
      </c>
      <c r="CB7" s="217">
        <f>1/($BC$13)</f>
        <v>-1.09154431134665E-4</v>
      </c>
      <c r="CC7" s="217">
        <f>1/($BC$16)</f>
        <v>-1.09154431134665E-4</v>
      </c>
      <c r="CD7" s="218">
        <f>1/($BC$19)</f>
        <v>-1.0354539207405917E-4</v>
      </c>
      <c r="CF7" s="643">
        <v>5</v>
      </c>
      <c r="CG7" s="231">
        <v>1</v>
      </c>
      <c r="CH7" s="780">
        <f>1/(BZ5+BZ4+CA4+CB4+CC4+CD4+CA8+CB8+CC8+CD8)+1/(BZ10+BZ9+CA9+CB9+CC9+CD9+CA13+CB13+CC13+CD13)+1/(BZ15+BZ14+CA14+CB14+CC14+CD14+CA18+CB18+CC18+CD18)</f>
        <v>77629.774959695918</v>
      </c>
      <c r="CI7" s="780">
        <f>1/(BZ6+BZ4+CA4+CB4+CC4+CD4+CA8+CB8+CC8+CD8)+1/(BZ11+BZ9+CA9+CB9+CC9+CD9+CA13+CB13+CC13+CD13)+1/(BZ16+BZ14+CA14+CB14+CC14+CD14+CA18+CB18+CC18+CD18)</f>
        <v>14361.175026906534</v>
      </c>
      <c r="CJ7" s="783">
        <f>1/(BZ7+BZ4+CA4+CB4+CC4+CD4+CA8+CB8+CC8+CD8)+1/(BZ12+BZ9+CA9+CB9+CC9+CD9+CA13+CB13+CC13+CD13)+1/(BZ17+BZ14+CA14+CB14+CC14+CD14+CA18+CB18+CC18+CD18)</f>
        <v>-26618.868886698354</v>
      </c>
      <c r="CL7" s="232">
        <f>'System Capacities'!C22</f>
        <v>3</v>
      </c>
      <c r="CM7" s="787" t="str">
        <f>'System Capacities'!D22</f>
        <v>Diagonal failure / Column</v>
      </c>
      <c r="CN7" s="788"/>
      <c r="CO7" s="788"/>
      <c r="CP7" s="81">
        <f>'System Capacities'!G22</f>
        <v>606.85346160253027</v>
      </c>
      <c r="CQ7" s="68">
        <f>'Structural Information'!U9</f>
        <v>3</v>
      </c>
      <c r="CR7" s="221">
        <f>'System Capacities'!I22</f>
        <v>3.7308400584711251E-3</v>
      </c>
      <c r="CS7" s="222">
        <f>'System Capacities'!J22</f>
        <v>90193.202010721143</v>
      </c>
      <c r="CZ7" s="17"/>
    </row>
    <row r="8" spans="2:108" x14ac:dyDescent="0.25">
      <c r="B8" s="795"/>
      <c r="C8" s="67">
        <v>2</v>
      </c>
      <c r="D8" s="67">
        <v>215</v>
      </c>
      <c r="E8" s="68">
        <f>'Structural Information'!$U$7</f>
        <v>3</v>
      </c>
      <c r="F8" s="68">
        <f>'Structural Information'!$AC$7</f>
        <v>2</v>
      </c>
      <c r="G8" s="68">
        <v>0.5</v>
      </c>
      <c r="H8" s="68">
        <v>0.25</v>
      </c>
      <c r="I8" s="68">
        <v>0.25</v>
      </c>
      <c r="J8" s="223">
        <f t="shared" si="0"/>
        <v>3.2552083333333332E-4</v>
      </c>
      <c r="K8" s="68">
        <f t="shared" si="13"/>
        <v>1.75</v>
      </c>
      <c r="L8" s="68">
        <f t="shared" si="1"/>
        <v>2.5</v>
      </c>
      <c r="M8" s="68">
        <f t="shared" si="2"/>
        <v>3.0516389039334255</v>
      </c>
      <c r="N8" s="222">
        <f t="shared" si="14"/>
        <v>0.96007036240568799</v>
      </c>
      <c r="P8" s="66" t="s">
        <v>164</v>
      </c>
      <c r="Q8" s="251">
        <v>1.3</v>
      </c>
      <c r="R8" s="251">
        <v>0.70699999999999996</v>
      </c>
      <c r="S8" s="251">
        <v>0.47</v>
      </c>
      <c r="U8" s="772"/>
      <c r="V8" s="499">
        <v>2</v>
      </c>
      <c r="W8" s="499">
        <v>215</v>
      </c>
      <c r="X8" s="60">
        <f>1/((((COS(N8))^4)/'Structural Information'!$AH$29)+(((SIN(N8))^4)/'Structural Information'!$AH$30)+(((SIN(N8))^2)*((COS(N8))^2)*((1/'Structural Information'!$AH$31)-(2*'Structural Information'!$AL$31/'Structural Information'!$AH$30))))</f>
        <v>2596.9081693069729</v>
      </c>
      <c r="Y8" s="60">
        <f>((X8*('Structural Information'!$AL$29/1000)*SIN(2*N8))/(4*'Structural Information'!$AH$32*J8*L8))^(1/4)</f>
        <v>1.8131291203134809</v>
      </c>
      <c r="Z8" s="60">
        <f t="shared" si="3"/>
        <v>5.4393873609404428</v>
      </c>
      <c r="AA8" s="284">
        <f t="shared" si="4"/>
        <v>0.70699999999999996</v>
      </c>
      <c r="AB8" s="284">
        <f t="shared" si="5"/>
        <v>0.01</v>
      </c>
      <c r="AC8" s="60">
        <f t="shared" si="6"/>
        <v>0.42716192316211632</v>
      </c>
      <c r="AD8" s="500">
        <f>((0.6*'Structural Information'!$AJ$29)+(0.3*'Structural Information'!$AL$30))/(AC8/M8)</f>
        <v>1.5431010291604526</v>
      </c>
      <c r="AE8" s="60">
        <f>(((1.2*SIN(N8)+0.45*COS(N8))*'Structural Information'!$AJ$30)+(0.3*'Structural Information'!$AL$30))/(AC8/M8)</f>
        <v>2.6599983247307617</v>
      </c>
      <c r="AF8" s="60">
        <f>(1.12*'Structural Information'!$AJ$31*COS(N8)*SIN(N8))/((AA8*(Z8^(-0.12)))+(AB8*(Z8^(0.88))))</f>
        <v>2.9723060894510924</v>
      </c>
      <c r="AG8" s="60">
        <f>(1.16*'Structural Information'!$AJ$31*TAN(N8))/((AA8)+(AB8*Z8))</f>
        <v>7.6393725116250852</v>
      </c>
      <c r="AH8" s="501">
        <f t="shared" si="7"/>
        <v>1.5431010291604526</v>
      </c>
      <c r="AI8" s="60">
        <f>AH8*AC8*'Structural Information'!$AL$29</f>
        <v>197.74620097488594</v>
      </c>
      <c r="AJ8" s="60">
        <f t="shared" si="8"/>
        <v>158.19696077990875</v>
      </c>
      <c r="AK8" s="128">
        <f t="shared" si="9"/>
        <v>19.774620097488594</v>
      </c>
      <c r="AM8" s="772"/>
      <c r="AN8" s="59">
        <v>2</v>
      </c>
      <c r="AO8" s="59">
        <v>215</v>
      </c>
      <c r="AP8" s="479">
        <v>3</v>
      </c>
      <c r="AQ8" s="478">
        <f t="shared" si="10"/>
        <v>158.19696077990875</v>
      </c>
      <c r="AR8" s="61">
        <f t="shared" si="15"/>
        <v>8.0000000000000004E-4</v>
      </c>
      <c r="AS8" s="60">
        <f>AQ8/(AR8*(SQRT(($F$8^2)+($E$8^2))))</f>
        <v>54844.92824178141</v>
      </c>
      <c r="AT8" s="226">
        <f>AS8*((COS($N$8))^2)</f>
        <v>18036.251569444896</v>
      </c>
      <c r="AU8" s="478">
        <f t="shared" si="11"/>
        <v>197.74620097488594</v>
      </c>
      <c r="AV8" s="61">
        <f t="shared" si="16"/>
        <v>2.2000000000000001E-3</v>
      </c>
      <c r="AW8" s="60">
        <f>AU8/(AV8*(SQRT(($F$8^2)+($E$8^2))))</f>
        <v>24929.512837173366</v>
      </c>
      <c r="AX8" s="137">
        <f>(AU8-AQ8)/((AV8-AR8)*(SQRT(($F$8^2)+($E$8^2))))</f>
        <v>7834.9897488259148</v>
      </c>
      <c r="AY8" s="226">
        <f>AX8*((COS($N$8))^2)</f>
        <v>2576.607367063556</v>
      </c>
      <c r="AZ8" s="478">
        <f t="shared" si="12"/>
        <v>19.774620097488594</v>
      </c>
      <c r="BA8" s="61">
        <f t="shared" si="17"/>
        <v>8.8999999999999999E-3</v>
      </c>
      <c r="BB8" s="60">
        <f t="shared" si="18"/>
        <v>-7631.8305912411433</v>
      </c>
      <c r="BC8" s="128">
        <f t="shared" si="19"/>
        <v>-5669.9204135441905</v>
      </c>
      <c r="BE8" s="816">
        <v>5</v>
      </c>
      <c r="BF8" s="93">
        <v>1</v>
      </c>
      <c r="BG8" s="93">
        <v>7115</v>
      </c>
      <c r="BH8" s="93" t="s">
        <v>27</v>
      </c>
      <c r="BI8" s="252">
        <f>'Structural Information'!$U$7</f>
        <v>3</v>
      </c>
      <c r="BJ8" s="253">
        <f>('Structural Information'!$X$24)*(200)/$BI8</f>
        <v>53616.514621265807</v>
      </c>
      <c r="BK8" s="211">
        <f>'Structural Information'!$T$23*'Structural Information'!$T$24*(4700*SQRT('Structural Information'!$AC$18))/(BI8*1000)</f>
        <v>433495.56258141535</v>
      </c>
      <c r="BM8" s="673"/>
      <c r="BN8" s="254" t="s">
        <v>416</v>
      </c>
      <c r="BO8" s="255">
        <f>'Structural Information'!$AC$8</f>
        <v>4.5</v>
      </c>
      <c r="BP8" s="256">
        <f>BQ8+BP7</f>
        <v>3.9444444444444438</v>
      </c>
      <c r="BQ8" s="256">
        <f>BR8+BQ7</f>
        <v>3.2777777777777772</v>
      </c>
      <c r="BR8" s="256">
        <f>BS8+BR7</f>
        <v>2.6111111111111107</v>
      </c>
      <c r="BS8" s="256">
        <f>BT8+BS7</f>
        <v>1.9444444444444442</v>
      </c>
      <c r="BT8" s="256">
        <f>BU8+BT7</f>
        <v>1.2777777777777777</v>
      </c>
      <c r="BU8" s="257">
        <f>BU7</f>
        <v>0.61111111111111116</v>
      </c>
      <c r="BW8" s="673"/>
      <c r="BX8" s="258" t="s">
        <v>278</v>
      </c>
      <c r="BY8" s="259">
        <f>(BP7*BP7)/$BK$5</f>
        <v>1.0252571947861007E-6</v>
      </c>
      <c r="BZ8" s="259">
        <f>(BQ7*BQ7)/$BK$9</f>
        <v>1.0252571947861007E-6</v>
      </c>
      <c r="CA8" s="259">
        <f>(BR7*BR7)/$BK$13</f>
        <v>1.0252571947861007E-6</v>
      </c>
      <c r="CB8" s="259">
        <f>(BS7*BS7)/$BK$17</f>
        <v>7.1198416304590332E-7</v>
      </c>
      <c r="CC8" s="259">
        <f>(BT7*BT7)/$BK$21</f>
        <v>7.1198416304590332E-7</v>
      </c>
      <c r="CD8" s="260">
        <f>(BU7*BU7)/$BK$25</f>
        <v>2.82038964587529E-7</v>
      </c>
      <c r="CF8" s="673"/>
      <c r="CG8" s="231">
        <v>2</v>
      </c>
      <c r="CH8" s="780"/>
      <c r="CI8" s="780"/>
      <c r="CJ8" s="783"/>
      <c r="CL8" s="232">
        <f>'System Capacities'!C23</f>
        <v>2</v>
      </c>
      <c r="CM8" s="787" t="str">
        <f>'System Capacities'!D23</f>
        <v>Diagonal failure / Mixed</v>
      </c>
      <c r="CN8" s="788"/>
      <c r="CO8" s="788"/>
      <c r="CP8" s="81">
        <f>'System Capacities'!G23</f>
        <v>66.096000000000004</v>
      </c>
      <c r="CQ8" s="68">
        <f>'Structural Information'!U10</f>
        <v>3</v>
      </c>
      <c r="CR8" s="221">
        <f>'System Capacities'!I23</f>
        <v>0.08</v>
      </c>
      <c r="CS8" s="222">
        <f>'System Capacities'!J23</f>
        <v>0</v>
      </c>
    </row>
    <row r="9" spans="2:108" ht="16.5" thickBot="1" x14ac:dyDescent="0.3">
      <c r="B9" s="796"/>
      <c r="C9" s="233">
        <v>3</v>
      </c>
      <c r="D9" s="233">
        <v>315</v>
      </c>
      <c r="E9" s="104">
        <f>'Structural Information'!$U$7</f>
        <v>3</v>
      </c>
      <c r="F9" s="104">
        <f>'Structural Information'!$AC$6</f>
        <v>4.5</v>
      </c>
      <c r="G9" s="104">
        <v>0.5</v>
      </c>
      <c r="H9" s="104">
        <v>0.25</v>
      </c>
      <c r="I9" s="104">
        <v>0.25</v>
      </c>
      <c r="J9" s="234">
        <f t="shared" si="0"/>
        <v>3.2552083333333332E-4</v>
      </c>
      <c r="K9" s="104">
        <f t="shared" si="13"/>
        <v>4.25</v>
      </c>
      <c r="L9" s="104">
        <f t="shared" si="1"/>
        <v>2.5</v>
      </c>
      <c r="M9" s="104">
        <f t="shared" si="2"/>
        <v>4.9307707308290052</v>
      </c>
      <c r="N9" s="235">
        <f t="shared" si="14"/>
        <v>0.53172406725880561</v>
      </c>
      <c r="P9" s="66" t="s">
        <v>165</v>
      </c>
      <c r="Q9" s="251">
        <v>-0.17799999999999999</v>
      </c>
      <c r="R9" s="251">
        <v>0.01</v>
      </c>
      <c r="S9" s="251">
        <v>0.04</v>
      </c>
      <c r="U9" s="772"/>
      <c r="V9" s="499">
        <v>3</v>
      </c>
      <c r="W9" s="499">
        <v>315</v>
      </c>
      <c r="X9" s="60">
        <f>1/((((COS(N9))^4)/'Structural Information'!$AH$29)+(((SIN(N9))^4)/'Structural Information'!$AH$30)+(((SIN(N9))^2)*((COS(N9))^2)*((1/'Structural Information'!$AH$31)-(2*'Structural Information'!$AL$31/'Structural Information'!$AH$30))))</f>
        <v>1492.8812750676027</v>
      </c>
      <c r="Y9" s="60">
        <f>((X9*('Structural Information'!$AL$29/1000)*SIN(2*N9))/(4*'Structural Information'!$AH$32*J9*L9))^(1/4)</f>
        <v>1.5504857878772818</v>
      </c>
      <c r="Z9" s="60">
        <f t="shared" si="3"/>
        <v>4.6514573636318453</v>
      </c>
      <c r="AA9" s="284">
        <f t="shared" si="4"/>
        <v>0.70699999999999996</v>
      </c>
      <c r="AB9" s="284">
        <f t="shared" si="5"/>
        <v>0.01</v>
      </c>
      <c r="AC9" s="60">
        <f t="shared" si="6"/>
        <v>0.79876204692072605</v>
      </c>
      <c r="AD9" s="500">
        <f>((0.6*'Structural Information'!$AJ$29)+(0.3*'Structural Information'!$AL$30))/(AC9/M9)</f>
        <v>1.3333714113794979</v>
      </c>
      <c r="AE9" s="60">
        <f>(((1.2*SIN(N9)+0.45*COS(N9))*'Structural Information'!$AJ$30)+(0.3*'Structural Information'!$AL$30))/(AC9/M9)</f>
        <v>1.8450425952026535</v>
      </c>
      <c r="AF9" s="60">
        <f>(1.12*'Structural Information'!$AJ$31*COS(N9)*SIN(N9))/((AA9*(Z9^(-0.12)))+(AB9*(Z9^(0.88))))</f>
        <v>2.7418487136841865</v>
      </c>
      <c r="AG9" s="60">
        <f>(1.16*'Structural Information'!$AJ$31*TAN(N9))/((AA9)+(AB9*Z9))</f>
        <v>3.1785169223354388</v>
      </c>
      <c r="AH9" s="501">
        <f t="shared" si="7"/>
        <v>1.3333714113794979</v>
      </c>
      <c r="AI9" s="60">
        <f>AH9*AC9*'Structural Information'!$AL$29</f>
        <v>319.51394335771954</v>
      </c>
      <c r="AJ9" s="60">
        <f t="shared" si="8"/>
        <v>255.61115468617564</v>
      </c>
      <c r="AK9" s="128">
        <f t="shared" si="9"/>
        <v>31.951394335771955</v>
      </c>
      <c r="AM9" s="772"/>
      <c r="AN9" s="59">
        <v>3</v>
      </c>
      <c r="AO9" s="59">
        <v>315</v>
      </c>
      <c r="AP9" s="479">
        <v>3</v>
      </c>
      <c r="AQ9" s="478">
        <f t="shared" si="10"/>
        <v>255.61115468617564</v>
      </c>
      <c r="AR9" s="61">
        <f t="shared" si="15"/>
        <v>8.0000000000000004E-4</v>
      </c>
      <c r="AS9" s="60">
        <f>AQ9/(AR9*(SQRT(($F$9^2)+($E$9^2))))</f>
        <v>59078.149025741252</v>
      </c>
      <c r="AT9" s="226">
        <f>AS9*((COS($N$9))^2)</f>
        <v>43890.964186219077</v>
      </c>
      <c r="AU9" s="478">
        <f t="shared" si="11"/>
        <v>319.51394335771954</v>
      </c>
      <c r="AV9" s="61">
        <f t="shared" si="16"/>
        <v>2.2000000000000001E-3</v>
      </c>
      <c r="AW9" s="60">
        <f>AU9/(AV9*(SQRT(($F$9^2)+($E$9^2))))</f>
        <v>26853.704102609659</v>
      </c>
      <c r="AX9" s="137">
        <f>(AU9-AQ9)/((AV9-AR9)*(SQRT(($F$9^2)+($E$9^2))))</f>
        <v>8439.7355751058913</v>
      </c>
      <c r="AY9" s="226">
        <f>AX9*((COS($N$9))^2)</f>
        <v>6270.1377408884373</v>
      </c>
      <c r="AZ9" s="478">
        <f t="shared" si="12"/>
        <v>31.951394335771955</v>
      </c>
      <c r="BA9" s="61">
        <f t="shared" si="17"/>
        <v>8.8999999999999999E-3</v>
      </c>
      <c r="BB9" s="60">
        <f t="shared" si="18"/>
        <v>-12331.343283582089</v>
      </c>
      <c r="BC9" s="128">
        <f t="shared" si="19"/>
        <v>-9161.3321566972318</v>
      </c>
      <c r="BE9" s="817"/>
      <c r="BF9" s="59">
        <v>2</v>
      </c>
      <c r="BG9" s="59">
        <v>7215</v>
      </c>
      <c r="BH9" s="59" t="s">
        <v>27</v>
      </c>
      <c r="BI9" s="209">
        <f>'Structural Information'!$U$7</f>
        <v>3</v>
      </c>
      <c r="BJ9" s="71">
        <f>('Structural Information'!$X$24)*(200)/$BI9</f>
        <v>53616.514621265807</v>
      </c>
      <c r="BK9" s="227">
        <f>'Structural Information'!$T$23*'Structural Information'!$T$24*(4700*SQRT('Structural Information'!$AC$18))/(BI9*1000)</f>
        <v>433495.56258141535</v>
      </c>
      <c r="BM9" s="815">
        <v>2</v>
      </c>
      <c r="BN9" s="228" t="s">
        <v>418</v>
      </c>
      <c r="BO9" s="229">
        <f>'Structural Information'!$AC$7</f>
        <v>2</v>
      </c>
      <c r="BP9" s="94">
        <f t="shared" ref="BP9:BU9" si="22">(BP$4/$BO9)</f>
        <v>1.5</v>
      </c>
      <c r="BQ9" s="94">
        <f t="shared" si="22"/>
        <v>1.5</v>
      </c>
      <c r="BR9" s="94">
        <f t="shared" si="22"/>
        <v>1.5</v>
      </c>
      <c r="BS9" s="94">
        <f t="shared" si="22"/>
        <v>1.5</v>
      </c>
      <c r="BT9" s="94">
        <f t="shared" si="22"/>
        <v>1.5</v>
      </c>
      <c r="BU9" s="208">
        <f t="shared" si="22"/>
        <v>1.375</v>
      </c>
      <c r="BW9" s="673">
        <v>2</v>
      </c>
      <c r="BX9" s="261" t="s">
        <v>279</v>
      </c>
      <c r="BY9" s="262">
        <f>(BP9*BP9)/$BK$5</f>
        <v>5.190364548604635E-6</v>
      </c>
      <c r="BZ9" s="262">
        <f>(BQ9*BQ9)/$BK$9</f>
        <v>5.190364548604635E-6</v>
      </c>
      <c r="CA9" s="262">
        <f>(BR9*BR9)/$BK$13</f>
        <v>5.190364548604635E-6</v>
      </c>
      <c r="CB9" s="262">
        <f>(BS9*BS9)/$BK$17</f>
        <v>3.6044198254198856E-6</v>
      </c>
      <c r="CC9" s="262">
        <f>(BT9*BT9)/$BK$21</f>
        <v>3.6044198254198856E-6</v>
      </c>
      <c r="CD9" s="263">
        <f>(BU9*BU9)/$BK$25</f>
        <v>1.4278222582243652E-6</v>
      </c>
      <c r="CF9" s="641"/>
      <c r="CG9" s="231">
        <v>3</v>
      </c>
      <c r="CH9" s="780"/>
      <c r="CI9" s="780"/>
      <c r="CJ9" s="783"/>
      <c r="CL9" s="264">
        <f>'System Capacities'!C24</f>
        <v>1</v>
      </c>
      <c r="CM9" s="789" t="str">
        <f>'System Capacities'!D24</f>
        <v>Diagonal failure / Mixed</v>
      </c>
      <c r="CN9" s="790"/>
      <c r="CO9" s="790"/>
      <c r="CP9" s="265">
        <f>'System Capacities'!G24</f>
        <v>618.89103792264314</v>
      </c>
      <c r="CQ9" s="104">
        <f>'Structural Information'!U11</f>
        <v>2.75</v>
      </c>
      <c r="CR9" s="266">
        <f>'System Capacities'!I24</f>
        <v>4.3055098348240197E-3</v>
      </c>
      <c r="CS9" s="235">
        <f>'System Capacities'!J24</f>
        <v>104801.84736419223</v>
      </c>
    </row>
    <row r="10" spans="2:108" ht="16.5" thickBot="1" x14ac:dyDescent="0.3">
      <c r="B10" s="794">
        <v>4</v>
      </c>
      <c r="C10" s="202">
        <v>1</v>
      </c>
      <c r="D10" s="202">
        <v>114</v>
      </c>
      <c r="E10" s="203">
        <f>'Structural Information'!$U$8</f>
        <v>3</v>
      </c>
      <c r="F10" s="203">
        <f>'Structural Information'!$AC$8</f>
        <v>4.5</v>
      </c>
      <c r="G10" s="203">
        <v>0.5</v>
      </c>
      <c r="H10" s="203">
        <v>0.25</v>
      </c>
      <c r="I10" s="203">
        <v>0.25</v>
      </c>
      <c r="J10" s="244">
        <f t="shared" si="0"/>
        <v>3.2552083333333332E-4</v>
      </c>
      <c r="K10" s="203">
        <f t="shared" si="13"/>
        <v>4.25</v>
      </c>
      <c r="L10" s="203">
        <f t="shared" si="1"/>
        <v>2.5</v>
      </c>
      <c r="M10" s="203">
        <f t="shared" si="2"/>
        <v>4.9307707308290052</v>
      </c>
      <c r="N10" s="204">
        <f t="shared" si="14"/>
        <v>0.53172406725880561</v>
      </c>
      <c r="U10" s="774">
        <v>4</v>
      </c>
      <c r="V10" s="93">
        <v>1</v>
      </c>
      <c r="W10" s="93">
        <v>114</v>
      </c>
      <c r="X10" s="94">
        <f>1/((((COS(N10))^4)/'Structural Information'!$AH$29)+(((SIN(N10))^4)/'Structural Information'!$AH$30)+(((SIN(N10))^2)*((COS(N10))^2)*((1/'Structural Information'!$AH$31)-(2*'Structural Information'!$AL$31/'Structural Information'!$AH$30))))</f>
        <v>1492.8812750676027</v>
      </c>
      <c r="Y10" s="94">
        <f>((X10*('Structural Information'!$AL$29/1000)*SIN(2*N10))/(4*'Structural Information'!$AH$32*J10*L10))^(1/4)</f>
        <v>1.5504857878772818</v>
      </c>
      <c r="Z10" s="94">
        <f t="shared" si="3"/>
        <v>4.6514573636318453</v>
      </c>
      <c r="AA10" s="164">
        <f t="shared" si="4"/>
        <v>0.70699999999999996</v>
      </c>
      <c r="AB10" s="164">
        <f t="shared" si="5"/>
        <v>0.01</v>
      </c>
      <c r="AC10" s="94">
        <f t="shared" si="6"/>
        <v>0.79876204692072605</v>
      </c>
      <c r="AD10" s="206">
        <f>((0.6*'Structural Information'!$AJ$29)+(0.3*'Structural Information'!$AL$30))/(AC10/M10)</f>
        <v>1.3333714113794979</v>
      </c>
      <c r="AE10" s="94">
        <f>(((1.2*SIN(N10)+0.45*COS(N10))*'Structural Information'!$AJ$30)+(0.3*'Structural Information'!$AL$30))/(AC10/M10)</f>
        <v>1.8450425952026535</v>
      </c>
      <c r="AF10" s="94">
        <f>(1.12*'Structural Information'!$AJ$31*COS(N10)*SIN(N10))/((AA10*(Z10^(-0.12)))+(AB10*(Z10^(0.88))))</f>
        <v>2.7418487136841865</v>
      </c>
      <c r="AG10" s="94">
        <f>(1.16*'Structural Information'!$AJ$31*TAN(N10))/((AA10)+(AB10*Z10))</f>
        <v>3.1785169223354388</v>
      </c>
      <c r="AH10" s="205">
        <f t="shared" si="7"/>
        <v>1.3333714113794979</v>
      </c>
      <c r="AI10" s="94">
        <f>AH10*AC10*'Structural Information'!$AL$29</f>
        <v>319.51394335771954</v>
      </c>
      <c r="AJ10" s="94">
        <f t="shared" si="8"/>
        <v>255.61115468617564</v>
      </c>
      <c r="AK10" s="208">
        <f t="shared" si="9"/>
        <v>31.951394335771955</v>
      </c>
      <c r="AM10" s="774">
        <v>4</v>
      </c>
      <c r="AN10" s="93">
        <v>1</v>
      </c>
      <c r="AO10" s="93">
        <v>114</v>
      </c>
      <c r="AP10" s="205">
        <v>3</v>
      </c>
      <c r="AQ10" s="206">
        <f t="shared" si="10"/>
        <v>255.61115468617564</v>
      </c>
      <c r="AR10" s="179">
        <f t="shared" si="15"/>
        <v>8.0000000000000004E-4</v>
      </c>
      <c r="AS10" s="94">
        <f>AQ10/(AR10*(SQRT(($F$10^2)+($E$10^2))))</f>
        <v>59078.149025741252</v>
      </c>
      <c r="AT10" s="207">
        <f>AS10*((COS($N$10))^2)</f>
        <v>43890.964186219077</v>
      </c>
      <c r="AU10" s="206">
        <f t="shared" si="11"/>
        <v>319.51394335771954</v>
      </c>
      <c r="AV10" s="179">
        <f t="shared" si="16"/>
        <v>2.2000000000000001E-3</v>
      </c>
      <c r="AW10" s="94">
        <f>AU10/(AV10*(SQRT(($F$10^2)+($E$10^2))))</f>
        <v>26853.704102609659</v>
      </c>
      <c r="AX10" s="135">
        <f>(AU10-AQ10)/((AV10-AR10)*(SQRT(($F$10^2)+($E$10^2))))</f>
        <v>8439.7355751058913</v>
      </c>
      <c r="AY10" s="207">
        <f>AX10*((COS($N$10))^2)</f>
        <v>6270.1377408884373</v>
      </c>
      <c r="AZ10" s="206">
        <f t="shared" si="12"/>
        <v>31.951394335771955</v>
      </c>
      <c r="BA10" s="179">
        <f t="shared" si="17"/>
        <v>8.8999999999999999E-3</v>
      </c>
      <c r="BB10" s="94">
        <f t="shared" si="18"/>
        <v>-12331.343283582089</v>
      </c>
      <c r="BC10" s="208">
        <f t="shared" si="19"/>
        <v>-9161.3321566972318</v>
      </c>
      <c r="BE10" s="817"/>
      <c r="BF10" s="59">
        <v>3</v>
      </c>
      <c r="BG10" s="59">
        <v>7315</v>
      </c>
      <c r="BH10" s="59" t="s">
        <v>27</v>
      </c>
      <c r="BI10" s="209">
        <f>'Structural Information'!$U$7</f>
        <v>3</v>
      </c>
      <c r="BJ10" s="71">
        <f>('Structural Information'!$X$24)*(200)/$BI10</f>
        <v>53616.514621265807</v>
      </c>
      <c r="BK10" s="227">
        <f>'Structural Information'!$T$23*'Structural Information'!$T$24*(4700*SQRT('Structural Information'!$AC$18))/(BI10*1000)</f>
        <v>433495.56258141535</v>
      </c>
      <c r="BM10" s="815"/>
      <c r="BN10" s="240" t="s">
        <v>416</v>
      </c>
      <c r="BO10" s="241">
        <f>'Structural Information'!$AC$8</f>
        <v>4.5</v>
      </c>
      <c r="BP10" s="58">
        <f>BQ10+BP9</f>
        <v>8.875</v>
      </c>
      <c r="BQ10" s="58">
        <f>BR10+BQ9</f>
        <v>7.375</v>
      </c>
      <c r="BR10" s="58">
        <f>BS10+BR9</f>
        <v>5.875</v>
      </c>
      <c r="BS10" s="58">
        <f>BT10+BS9</f>
        <v>4.375</v>
      </c>
      <c r="BT10" s="58">
        <f>BU10+BT9</f>
        <v>2.875</v>
      </c>
      <c r="BU10" s="242">
        <f>BU9</f>
        <v>1.375</v>
      </c>
      <c r="BW10" s="673"/>
      <c r="BX10" s="230" t="s">
        <v>276</v>
      </c>
      <c r="BY10" s="217">
        <f>1/($AT$5)</f>
        <v>5.5443892881495063E-5</v>
      </c>
      <c r="BZ10" s="217">
        <f>1/($AT$8)</f>
        <v>5.5443892881495063E-5</v>
      </c>
      <c r="CA10" s="217">
        <f>1/($AT$11)</f>
        <v>5.5443892881495063E-5</v>
      </c>
      <c r="CB10" s="217">
        <f>1/($AT$14)</f>
        <v>5.8206558940708928E-5</v>
      </c>
      <c r="CC10" s="217">
        <f>1/($AT$17)</f>
        <v>5.8206558940708928E-5</v>
      </c>
      <c r="CD10" s="218">
        <f>1/($AT$20)</f>
        <v>6.3066871580448692E-5</v>
      </c>
      <c r="CF10" s="673">
        <v>4</v>
      </c>
      <c r="CG10" s="219">
        <v>1</v>
      </c>
      <c r="CH10" s="779">
        <f>1/(CA5+CA4+CB4+CC4+CD4+CB8+CC8+CD8)+1/(CA10+CA9+CB9+CC9+CD9+CB13+CC13+CD13)+1/(CA15+CA14+CB14+CC14+CD14+CB18+CC18+CD18)</f>
        <v>83974.856133256253</v>
      </c>
      <c r="CI10" s="779">
        <f>1/(CA6+CA4+CB4+CC4+CD4+CB8+CC8+CD8)+1/(CA11+CA9+CB9+CC9+CD9+CB13+CC13+CD13)+1/(CA16+CA14+CB14+CC14+CD14+CB18+CC18+CD18)</f>
        <v>14570.353513466065</v>
      </c>
      <c r="CJ10" s="782">
        <f>1/(CA7+CA4+CB4+CC4+CD4+CB8+CC8+CD8)+1/(CA12+CA9+CB9+CC9+CD9+CB13+CC13+CD13)+1/(CA17+CA14+CB14+CC14+CD14+CB18+CC18+CD18)</f>
        <v>-25760.811754757004</v>
      </c>
    </row>
    <row r="11" spans="2:108" ht="15" customHeight="1" thickBot="1" x14ac:dyDescent="0.3">
      <c r="B11" s="795"/>
      <c r="C11" s="67">
        <v>2</v>
      </c>
      <c r="D11" s="67">
        <v>214</v>
      </c>
      <c r="E11" s="68">
        <f>'Structural Information'!$U$8</f>
        <v>3</v>
      </c>
      <c r="F11" s="68">
        <f>'Structural Information'!$AC$7</f>
        <v>2</v>
      </c>
      <c r="G11" s="68">
        <v>0.5</v>
      </c>
      <c r="H11" s="68">
        <v>0.25</v>
      </c>
      <c r="I11" s="68">
        <v>0.25</v>
      </c>
      <c r="J11" s="223">
        <f t="shared" si="0"/>
        <v>3.2552083333333332E-4</v>
      </c>
      <c r="K11" s="68">
        <f t="shared" si="13"/>
        <v>1.75</v>
      </c>
      <c r="L11" s="68">
        <f t="shared" si="1"/>
        <v>2.5</v>
      </c>
      <c r="M11" s="68">
        <f t="shared" si="2"/>
        <v>3.0516389039334255</v>
      </c>
      <c r="N11" s="222">
        <f t="shared" si="14"/>
        <v>0.96007036240568799</v>
      </c>
      <c r="P11" s="691" t="s">
        <v>189</v>
      </c>
      <c r="Q11" s="691"/>
      <c r="R11" s="691"/>
      <c r="S11" s="691"/>
      <c r="U11" s="772"/>
      <c r="V11" s="499">
        <v>2</v>
      </c>
      <c r="W11" s="499">
        <v>214</v>
      </c>
      <c r="X11" s="60">
        <f>1/((((COS(N11))^4)/'Structural Information'!$AH$29)+(((SIN(N11))^4)/'Structural Information'!$AH$30)+(((SIN(N11))^2)*((COS(N11))^2)*((1/'Structural Information'!$AH$31)-(2*'Structural Information'!$AL$31/'Structural Information'!$AH$30))))</f>
        <v>2596.9081693069729</v>
      </c>
      <c r="Y11" s="60">
        <f>((X11*('Structural Information'!$AL$29/1000)*SIN(2*N11))/(4*'Structural Information'!$AH$32*J11*L11))^(1/4)</f>
        <v>1.8131291203134809</v>
      </c>
      <c r="Z11" s="60">
        <f t="shared" si="3"/>
        <v>5.4393873609404428</v>
      </c>
      <c r="AA11" s="284">
        <f t="shared" si="4"/>
        <v>0.70699999999999996</v>
      </c>
      <c r="AB11" s="284">
        <f t="shared" si="5"/>
        <v>0.01</v>
      </c>
      <c r="AC11" s="60">
        <f t="shared" si="6"/>
        <v>0.42716192316211632</v>
      </c>
      <c r="AD11" s="500">
        <f>((0.6*'Structural Information'!$AJ$29)+(0.3*'Structural Information'!$AL$30))/(AC11/M11)</f>
        <v>1.5431010291604526</v>
      </c>
      <c r="AE11" s="60">
        <f>(((1.2*SIN(N11)+0.45*COS(N11))*'Structural Information'!$AJ$30)+(0.3*'Structural Information'!$AL$30))/(AC11/M11)</f>
        <v>2.6599983247307617</v>
      </c>
      <c r="AF11" s="60">
        <f>(1.12*'Structural Information'!$AJ$31*COS(N11)*SIN(N11))/((AA11*(Z11^(-0.12)))+(AB11*(Z11^(0.88))))</f>
        <v>2.9723060894510924</v>
      </c>
      <c r="AG11" s="60">
        <f>(1.16*'Structural Information'!$AJ$31*TAN(N11))/((AA11)+(AB11*Z11))</f>
        <v>7.6393725116250852</v>
      </c>
      <c r="AH11" s="501">
        <f t="shared" si="7"/>
        <v>1.5431010291604526</v>
      </c>
      <c r="AI11" s="60">
        <f>AH11*AC11*'Structural Information'!$AL$29</f>
        <v>197.74620097488594</v>
      </c>
      <c r="AJ11" s="60">
        <f t="shared" si="8"/>
        <v>158.19696077990875</v>
      </c>
      <c r="AK11" s="128">
        <f t="shared" si="9"/>
        <v>19.774620097488594</v>
      </c>
      <c r="AM11" s="772"/>
      <c r="AN11" s="59">
        <v>2</v>
      </c>
      <c r="AO11" s="59">
        <v>214</v>
      </c>
      <c r="AP11" s="479">
        <v>3</v>
      </c>
      <c r="AQ11" s="478">
        <f t="shared" si="10"/>
        <v>158.19696077990875</v>
      </c>
      <c r="AR11" s="61">
        <f t="shared" si="15"/>
        <v>8.0000000000000004E-4</v>
      </c>
      <c r="AS11" s="60">
        <f>AQ11/(AR11*(SQRT(($F$11^2)+($E$11^2))))</f>
        <v>54844.92824178141</v>
      </c>
      <c r="AT11" s="226">
        <f>AS11*((COS($N$11))^2)</f>
        <v>18036.251569444896</v>
      </c>
      <c r="AU11" s="478">
        <f t="shared" si="11"/>
        <v>197.74620097488594</v>
      </c>
      <c r="AV11" s="61">
        <f t="shared" si="16"/>
        <v>2.2000000000000001E-3</v>
      </c>
      <c r="AW11" s="60">
        <f>AU11/(AV11*(SQRT(($F$11^2)+($E$11^2))))</f>
        <v>24929.512837173366</v>
      </c>
      <c r="AX11" s="137">
        <f>(AU11-AQ11)/((AV11-AR11)*(SQRT(($F$11^2)+($E$11^2))))</f>
        <v>7834.9897488259148</v>
      </c>
      <c r="AY11" s="226">
        <f>AX11*((COS($N$11))^2)</f>
        <v>2576.607367063556</v>
      </c>
      <c r="AZ11" s="478">
        <f t="shared" si="12"/>
        <v>19.774620097488594</v>
      </c>
      <c r="BA11" s="61">
        <f t="shared" si="17"/>
        <v>8.8999999999999999E-3</v>
      </c>
      <c r="BB11" s="60">
        <f t="shared" si="18"/>
        <v>-7631.8305912411433</v>
      </c>
      <c r="BC11" s="128">
        <f t="shared" si="19"/>
        <v>-5669.9204135441905</v>
      </c>
      <c r="BE11" s="818"/>
      <c r="BF11" s="99">
        <v>4</v>
      </c>
      <c r="BG11" s="99">
        <v>7415</v>
      </c>
      <c r="BH11" s="99" t="s">
        <v>27</v>
      </c>
      <c r="BI11" s="81">
        <f>'Structural Information'!$U$7</f>
        <v>3</v>
      </c>
      <c r="BJ11" s="267">
        <f>('Structural Information'!$X$24)*(200)/$BI11</f>
        <v>53616.514621265807</v>
      </c>
      <c r="BK11" s="248">
        <f>'Structural Information'!$T$23*'Structural Information'!$T$24*(4700*SQRT('Structural Information'!$AC$18))/(BI11*1000)</f>
        <v>433495.56258141535</v>
      </c>
      <c r="BM11" s="815"/>
      <c r="BN11" s="194" t="s">
        <v>419</v>
      </c>
      <c r="BO11" s="249">
        <f>'Structural Information'!$AC$7</f>
        <v>2</v>
      </c>
      <c r="BP11" s="60">
        <f t="shared" ref="BP11:BU11" si="23">(BP$4/$BO11)</f>
        <v>1.5</v>
      </c>
      <c r="BQ11" s="60">
        <f t="shared" si="23"/>
        <v>1.5</v>
      </c>
      <c r="BR11" s="60">
        <f t="shared" si="23"/>
        <v>1.5</v>
      </c>
      <c r="BS11" s="60">
        <f t="shared" si="23"/>
        <v>1.5</v>
      </c>
      <c r="BT11" s="60">
        <f t="shared" si="23"/>
        <v>1.5</v>
      </c>
      <c r="BU11" s="128">
        <f t="shared" si="23"/>
        <v>1.375</v>
      </c>
      <c r="BW11" s="673"/>
      <c r="BX11" s="243" t="s">
        <v>276</v>
      </c>
      <c r="BY11" s="217">
        <f>1/($AY$5)</f>
        <v>3.8810725017046551E-4</v>
      </c>
      <c r="BZ11" s="217">
        <f>1/($AY$8)</f>
        <v>3.8810725017046551E-4</v>
      </c>
      <c r="CA11" s="217">
        <f>1/($AY$11)</f>
        <v>3.8810725017046551E-4</v>
      </c>
      <c r="CB11" s="217">
        <f>1/($AY$14)</f>
        <v>4.0744591258496272E-4</v>
      </c>
      <c r="CC11" s="217">
        <f>1/($AY$17)</f>
        <v>4.0744591258496272E-4</v>
      </c>
      <c r="CD11" s="218">
        <f>1/($AY$20)</f>
        <v>4.4146810106314075E-4</v>
      </c>
      <c r="CF11" s="673"/>
      <c r="CG11" s="231">
        <v>2</v>
      </c>
      <c r="CH11" s="780"/>
      <c r="CI11" s="780"/>
      <c r="CJ11" s="783"/>
      <c r="CL11" s="757" t="s">
        <v>320</v>
      </c>
      <c r="CM11" s="758"/>
      <c r="CN11" s="758"/>
      <c r="CO11" s="758"/>
      <c r="CP11" s="758"/>
      <c r="CQ11" s="759"/>
      <c r="CR11" s="760" t="s">
        <v>321</v>
      </c>
      <c r="CS11" s="761"/>
      <c r="CT11" s="761"/>
      <c r="CU11" s="761"/>
      <c r="CV11" s="761"/>
      <c r="CW11" s="762"/>
      <c r="CX11" s="763" t="s">
        <v>322</v>
      </c>
      <c r="CY11" s="764"/>
      <c r="CZ11" s="764"/>
      <c r="DA11" s="764"/>
      <c r="DB11" s="764"/>
      <c r="DC11" s="765"/>
    </row>
    <row r="12" spans="2:108" ht="16.5" thickBot="1" x14ac:dyDescent="0.3">
      <c r="B12" s="796"/>
      <c r="C12" s="233">
        <v>3</v>
      </c>
      <c r="D12" s="233">
        <v>314</v>
      </c>
      <c r="E12" s="104">
        <f>'Structural Information'!$U$8</f>
        <v>3</v>
      </c>
      <c r="F12" s="104">
        <f>'Structural Information'!$AC$6</f>
        <v>4.5</v>
      </c>
      <c r="G12" s="104">
        <v>0.5</v>
      </c>
      <c r="H12" s="104">
        <v>0.25</v>
      </c>
      <c r="I12" s="104">
        <v>0.25</v>
      </c>
      <c r="J12" s="234">
        <f t="shared" si="0"/>
        <v>3.2552083333333332E-4</v>
      </c>
      <c r="K12" s="104">
        <f t="shared" si="13"/>
        <v>4.25</v>
      </c>
      <c r="L12" s="104">
        <f t="shared" si="1"/>
        <v>2.5</v>
      </c>
      <c r="M12" s="104">
        <f t="shared" si="2"/>
        <v>4.9307707308290052</v>
      </c>
      <c r="N12" s="235">
        <f t="shared" si="14"/>
        <v>0.53172406725880561</v>
      </c>
      <c r="P12" s="798" t="s">
        <v>187</v>
      </c>
      <c r="Q12" s="798"/>
      <c r="R12" s="798"/>
      <c r="S12" s="246" t="s">
        <v>188</v>
      </c>
      <c r="U12" s="775"/>
      <c r="V12" s="99">
        <v>3</v>
      </c>
      <c r="W12" s="99">
        <v>314</v>
      </c>
      <c r="X12" s="100">
        <f>1/((((COS(N12))^4)/'Structural Information'!$AH$29)+(((SIN(N12))^4)/'Structural Information'!$AH$30)+(((SIN(N12))^2)*((COS(N12))^2)*((1/'Structural Information'!$AH$31)-(2*'Structural Information'!$AL$31/'Structural Information'!$AH$30))))</f>
        <v>1492.8812750676027</v>
      </c>
      <c r="Y12" s="100">
        <f>((X12*('Structural Information'!$AL$29/1000)*SIN(2*N12))/(4*'Structural Information'!$AH$32*J12*L12))^(1/4)</f>
        <v>1.5504857878772818</v>
      </c>
      <c r="Z12" s="100">
        <f t="shared" si="3"/>
        <v>4.6514573636318453</v>
      </c>
      <c r="AA12" s="161">
        <f t="shared" si="4"/>
        <v>0.70699999999999996</v>
      </c>
      <c r="AB12" s="161">
        <f t="shared" si="5"/>
        <v>0.01</v>
      </c>
      <c r="AC12" s="100">
        <f t="shared" si="6"/>
        <v>0.79876204692072605</v>
      </c>
      <c r="AD12" s="237">
        <f>((0.6*'Structural Information'!$AJ$29)+(0.3*'Structural Information'!$AL$30))/(AC12/M12)</f>
        <v>1.3333714113794979</v>
      </c>
      <c r="AE12" s="100">
        <f>(((1.2*SIN(N12)+0.45*COS(N12))*'Structural Information'!$AJ$30)+(0.3*'Structural Information'!$AL$30))/(AC12/M12)</f>
        <v>1.8450425952026535</v>
      </c>
      <c r="AF12" s="100">
        <f>(1.12*'Structural Information'!$AJ$31*COS(N12)*SIN(N12))/((AA12*(Z12^(-0.12)))+(AB12*(Z12^(0.88))))</f>
        <v>2.7418487136841865</v>
      </c>
      <c r="AG12" s="100">
        <f>(1.16*'Structural Information'!$AJ$31*TAN(N12))/((AA12)+(AB12*Z12))</f>
        <v>3.1785169223354388</v>
      </c>
      <c r="AH12" s="236">
        <f t="shared" si="7"/>
        <v>1.3333714113794979</v>
      </c>
      <c r="AI12" s="100">
        <f>AH12*AC12*'Structural Information'!$AL$29</f>
        <v>319.51394335771954</v>
      </c>
      <c r="AJ12" s="100">
        <f t="shared" si="8"/>
        <v>255.61115468617564</v>
      </c>
      <c r="AK12" s="239">
        <f t="shared" si="9"/>
        <v>31.951394335771955</v>
      </c>
      <c r="AM12" s="775"/>
      <c r="AN12" s="99">
        <v>3</v>
      </c>
      <c r="AO12" s="99">
        <v>314</v>
      </c>
      <c r="AP12" s="236">
        <v>3</v>
      </c>
      <c r="AQ12" s="237">
        <f t="shared" si="10"/>
        <v>255.61115468617564</v>
      </c>
      <c r="AR12" s="174">
        <f t="shared" si="15"/>
        <v>8.0000000000000004E-4</v>
      </c>
      <c r="AS12" s="100">
        <f>AQ12/(AR12*(SQRT(($F$12^2)+($E$12^2))))</f>
        <v>59078.149025741252</v>
      </c>
      <c r="AT12" s="238">
        <f>AS12*((COS($N$12))^2)</f>
        <v>43890.964186219077</v>
      </c>
      <c r="AU12" s="237">
        <f t="shared" si="11"/>
        <v>319.51394335771954</v>
      </c>
      <c r="AV12" s="174">
        <f t="shared" si="16"/>
        <v>2.2000000000000001E-3</v>
      </c>
      <c r="AW12" s="100">
        <f>AU12/(AV12*(SQRT(($F$12^2)+($E$12^2))))</f>
        <v>26853.704102609659</v>
      </c>
      <c r="AX12" s="134">
        <f>(AU12-AQ12)/((AV12-AR12)*(SQRT(($F$12^2)+($E$12^2))))</f>
        <v>8439.7355751058913</v>
      </c>
      <c r="AY12" s="238">
        <f>AX12*((COS($N$12))^2)</f>
        <v>6270.1377408884373</v>
      </c>
      <c r="AZ12" s="237">
        <f t="shared" si="12"/>
        <v>31.951394335771955</v>
      </c>
      <c r="BA12" s="174">
        <f t="shared" si="17"/>
        <v>8.8999999999999999E-3</v>
      </c>
      <c r="BB12" s="100">
        <f t="shared" si="18"/>
        <v>-12331.343283582089</v>
      </c>
      <c r="BC12" s="239">
        <f t="shared" si="19"/>
        <v>-9161.3321566972318</v>
      </c>
      <c r="BE12" s="816">
        <v>4</v>
      </c>
      <c r="BF12" s="93">
        <v>1</v>
      </c>
      <c r="BG12" s="93">
        <v>7114</v>
      </c>
      <c r="BH12" s="93" t="s">
        <v>27</v>
      </c>
      <c r="BI12" s="209">
        <f>'Structural Information'!$U$8</f>
        <v>3</v>
      </c>
      <c r="BJ12" s="253">
        <f>('Structural Information'!$X$24)*(200)/$BI12</f>
        <v>53616.514621265807</v>
      </c>
      <c r="BK12" s="211">
        <f>'Structural Information'!$T$23*'Structural Information'!$T$24*(4700*SQRT('Structural Information'!$AC$18))/(BI12*1000)</f>
        <v>433495.56258141535</v>
      </c>
      <c r="BM12" s="815"/>
      <c r="BN12" s="254" t="s">
        <v>416</v>
      </c>
      <c r="BO12" s="255">
        <f>'Structural Information'!$AC$8</f>
        <v>4.5</v>
      </c>
      <c r="BP12" s="256">
        <f>BQ12+BP11</f>
        <v>8.875</v>
      </c>
      <c r="BQ12" s="256">
        <f>BR12+BQ11</f>
        <v>7.375</v>
      </c>
      <c r="BR12" s="256">
        <f>BS12+BR11</f>
        <v>5.875</v>
      </c>
      <c r="BS12" s="256">
        <f>BT12+BS11</f>
        <v>4.375</v>
      </c>
      <c r="BT12" s="256">
        <f>BU12+BT11</f>
        <v>2.875</v>
      </c>
      <c r="BU12" s="257">
        <f>BU11</f>
        <v>1.375</v>
      </c>
      <c r="BW12" s="673"/>
      <c r="BX12" s="250" t="s">
        <v>276</v>
      </c>
      <c r="BY12" s="217">
        <f>1/($BC$5)</f>
        <v>-1.7636931862592293E-4</v>
      </c>
      <c r="BZ12" s="217">
        <f>1/($BC$8)</f>
        <v>-1.7636931862592293E-4</v>
      </c>
      <c r="CA12" s="217">
        <f>1/($BC$11)</f>
        <v>-1.7636931862592293E-4</v>
      </c>
      <c r="CB12" s="217">
        <f>1/($BC$14)</f>
        <v>-1.7802585576904507E-4</v>
      </c>
      <c r="CC12" s="217">
        <f>1/($BC$17)</f>
        <v>-1.7802585576904507E-4</v>
      </c>
      <c r="CD12" s="218">
        <f>1/($BC$20)</f>
        <v>-1.824461400291441E-4</v>
      </c>
      <c r="CF12" s="673"/>
      <c r="CG12" s="200">
        <v>3</v>
      </c>
      <c r="CH12" s="781"/>
      <c r="CI12" s="781"/>
      <c r="CJ12" s="784"/>
      <c r="CL12" s="656" t="s">
        <v>216</v>
      </c>
      <c r="CM12" s="766" t="s">
        <v>212</v>
      </c>
      <c r="CN12" s="660" t="s">
        <v>213</v>
      </c>
      <c r="CO12" s="660" t="s">
        <v>214</v>
      </c>
      <c r="CP12" s="619" t="s">
        <v>215</v>
      </c>
      <c r="CQ12" s="625" t="s">
        <v>465</v>
      </c>
      <c r="CR12" s="662" t="s">
        <v>247</v>
      </c>
      <c r="CS12" s="664" t="s">
        <v>212</v>
      </c>
      <c r="CT12" s="805" t="s">
        <v>213</v>
      </c>
      <c r="CU12" s="666" t="s">
        <v>214</v>
      </c>
      <c r="CV12" s="621" t="s">
        <v>215</v>
      </c>
      <c r="CW12" s="627" t="s">
        <v>465</v>
      </c>
      <c r="CX12" s="668" t="s">
        <v>326</v>
      </c>
      <c r="CY12" s="637" t="s">
        <v>212</v>
      </c>
      <c r="CZ12" s="639" t="s">
        <v>213</v>
      </c>
      <c r="DA12" s="639" t="s">
        <v>214</v>
      </c>
      <c r="DB12" s="623" t="s">
        <v>215</v>
      </c>
      <c r="DC12" s="602" t="s">
        <v>465</v>
      </c>
      <c r="DD12" s="268"/>
    </row>
    <row r="13" spans="2:108" x14ac:dyDescent="0.25">
      <c r="B13" s="794">
        <v>3</v>
      </c>
      <c r="C13" s="202">
        <v>1</v>
      </c>
      <c r="D13" s="202">
        <v>113</v>
      </c>
      <c r="E13" s="203">
        <f>'Structural Information'!$U$9</f>
        <v>3</v>
      </c>
      <c r="F13" s="203">
        <f>'Structural Information'!$AC$8</f>
        <v>4.5</v>
      </c>
      <c r="G13" s="203">
        <v>0.5</v>
      </c>
      <c r="H13" s="203">
        <f>0.25</f>
        <v>0.25</v>
      </c>
      <c r="I13" s="203">
        <v>0.25</v>
      </c>
      <c r="J13" s="244">
        <f t="shared" si="0"/>
        <v>3.2552083333333332E-4</v>
      </c>
      <c r="K13" s="203">
        <f t="shared" si="13"/>
        <v>4.25</v>
      </c>
      <c r="L13" s="203">
        <f t="shared" si="1"/>
        <v>2.5</v>
      </c>
      <c r="M13" s="203">
        <f t="shared" si="2"/>
        <v>4.9307707308290052</v>
      </c>
      <c r="N13" s="204">
        <f t="shared" si="14"/>
        <v>0.53172406725880561</v>
      </c>
      <c r="P13" s="788" t="s">
        <v>183</v>
      </c>
      <c r="Q13" s="788"/>
      <c r="R13" s="788"/>
      <c r="S13" s="269" t="s">
        <v>174</v>
      </c>
      <c r="U13" s="772">
        <v>3</v>
      </c>
      <c r="V13" s="499">
        <v>1</v>
      </c>
      <c r="W13" s="499">
        <v>113</v>
      </c>
      <c r="X13" s="60">
        <f>1/((((COS(N13))^4)/'Structural Information'!$AH$29)+(((SIN(N13))^4)/'Structural Information'!$AH$30)+(((SIN(N13))^2)*((COS(N13))^2)*((1/'Structural Information'!$AH$31)-(2*'Structural Information'!$AL$31/'Structural Information'!$AH$30))))</f>
        <v>1492.8812750676027</v>
      </c>
      <c r="Y13" s="60">
        <f>((X13*('Structural Information'!$AL$29/1000)*SIN(2*N13))/(4*'Structural Information'!$AH$32*J13*L13))^(1/4)</f>
        <v>1.5504857878772818</v>
      </c>
      <c r="Z13" s="60">
        <f t="shared" si="3"/>
        <v>4.6514573636318453</v>
      </c>
      <c r="AA13" s="284">
        <f t="shared" si="4"/>
        <v>0.70699999999999996</v>
      </c>
      <c r="AB13" s="284">
        <f t="shared" si="5"/>
        <v>0.01</v>
      </c>
      <c r="AC13" s="60">
        <f t="shared" si="6"/>
        <v>0.79876204692072605</v>
      </c>
      <c r="AD13" s="500">
        <f>((0.6*'Structural Information'!$AJ$29)+(0.3*'Structural Information'!$AL$30))/(AC13/M13)</f>
        <v>1.3333714113794979</v>
      </c>
      <c r="AE13" s="60">
        <f>(((1.2*SIN(N13)+0.45*COS(N13))*'Structural Information'!$AJ$30)+(0.3*'Structural Information'!$AL$30))/(AC13/M13)</f>
        <v>1.8450425952026535</v>
      </c>
      <c r="AF13" s="60">
        <f>(1.12*'Structural Information'!$AJ$31*COS(N13)*SIN(N13))/((AA13*(Z13^(-0.12)))+(AB13*(Z13^(0.88))))</f>
        <v>2.7418487136841865</v>
      </c>
      <c r="AG13" s="60">
        <f>(1.16*'Structural Information'!$AJ$31*TAN(N13))/((AA13)+(AB13*Z13))</f>
        <v>3.1785169223354388</v>
      </c>
      <c r="AH13" s="501">
        <f t="shared" si="7"/>
        <v>1.3333714113794979</v>
      </c>
      <c r="AI13" s="60">
        <f>AH13*AC13*'Structural Information'!$AL$29</f>
        <v>319.51394335771954</v>
      </c>
      <c r="AJ13" s="60">
        <f t="shared" si="8"/>
        <v>255.61115468617564</v>
      </c>
      <c r="AK13" s="128">
        <f t="shared" si="9"/>
        <v>31.951394335771955</v>
      </c>
      <c r="AM13" s="772">
        <v>3</v>
      </c>
      <c r="AN13" s="59">
        <v>1</v>
      </c>
      <c r="AO13" s="59">
        <v>113</v>
      </c>
      <c r="AP13" s="479">
        <v>3</v>
      </c>
      <c r="AQ13" s="478">
        <f t="shared" si="10"/>
        <v>255.61115468617564</v>
      </c>
      <c r="AR13" s="61">
        <f t="shared" si="15"/>
        <v>8.0000000000000004E-4</v>
      </c>
      <c r="AS13" s="60">
        <f>AQ13/(AR13*(SQRT(($F$13^2)+($E$13^2))))</f>
        <v>59078.149025741252</v>
      </c>
      <c r="AT13" s="226">
        <f>AS13*((COS($N$13))^2)</f>
        <v>43890.964186219077</v>
      </c>
      <c r="AU13" s="478">
        <f t="shared" si="11"/>
        <v>319.51394335771954</v>
      </c>
      <c r="AV13" s="61">
        <f t="shared" si="16"/>
        <v>2.2000000000000001E-3</v>
      </c>
      <c r="AW13" s="60">
        <f>AU13/(AV13*(SQRT(($F$13^2)+($E$13^2))))</f>
        <v>26853.704102609659</v>
      </c>
      <c r="AX13" s="137">
        <f>(AU13-AQ13)/((AV13-AR13)*(SQRT(($F$13^2)+($E$13^2))))</f>
        <v>8439.7355751058913</v>
      </c>
      <c r="AY13" s="226">
        <f>AX13*((COS($N$13))^2)</f>
        <v>6270.1377408884373</v>
      </c>
      <c r="AZ13" s="478">
        <f t="shared" si="12"/>
        <v>31.951394335771955</v>
      </c>
      <c r="BA13" s="61">
        <f t="shared" si="17"/>
        <v>8.8999999999999999E-3</v>
      </c>
      <c r="BB13" s="60">
        <f t="shared" si="18"/>
        <v>-12331.343283582089</v>
      </c>
      <c r="BC13" s="128">
        <f t="shared" si="19"/>
        <v>-9161.3321566972318</v>
      </c>
      <c r="BE13" s="817"/>
      <c r="BF13" s="59">
        <v>2</v>
      </c>
      <c r="BG13" s="59">
        <v>7214</v>
      </c>
      <c r="BH13" s="59" t="s">
        <v>27</v>
      </c>
      <c r="BI13" s="209">
        <f>'Structural Information'!$U$8</f>
        <v>3</v>
      </c>
      <c r="BJ13" s="71">
        <f>('Structural Information'!$X$24)*(200)/$BI13</f>
        <v>53616.514621265807</v>
      </c>
      <c r="BK13" s="227">
        <f>'Structural Information'!$T$23*'Structural Information'!$T$24*(4700*SQRT('Structural Information'!$AC$18))/(BI13*1000)</f>
        <v>433495.56258141535</v>
      </c>
      <c r="BM13" s="673">
        <v>3</v>
      </c>
      <c r="BN13" s="228" t="s">
        <v>420</v>
      </c>
      <c r="BO13" s="229">
        <f>'Structural Information'!$AC$6</f>
        <v>4.5</v>
      </c>
      <c r="BP13" s="94">
        <f t="shared" ref="BP13:BU13" si="24">(BP$4/$BO13)</f>
        <v>0.66666666666666663</v>
      </c>
      <c r="BQ13" s="94">
        <f t="shared" si="24"/>
        <v>0.66666666666666663</v>
      </c>
      <c r="BR13" s="94">
        <f t="shared" si="24"/>
        <v>0.66666666666666663</v>
      </c>
      <c r="BS13" s="94">
        <f t="shared" si="24"/>
        <v>0.66666666666666663</v>
      </c>
      <c r="BT13" s="94">
        <f t="shared" si="24"/>
        <v>0.66666666666666663</v>
      </c>
      <c r="BU13" s="208">
        <f t="shared" si="24"/>
        <v>0.61111111111111116</v>
      </c>
      <c r="BW13" s="673"/>
      <c r="BX13" s="261" t="s">
        <v>280</v>
      </c>
      <c r="BY13" s="259">
        <f>(BP11*BP11)/$BK$6</f>
        <v>5.190364548604635E-6</v>
      </c>
      <c r="BZ13" s="259">
        <f>(BQ11*BQ11)/$BK$10</f>
        <v>5.190364548604635E-6</v>
      </c>
      <c r="CA13" s="259">
        <f>(BR11*BR11)/$BK$14</f>
        <v>5.190364548604635E-6</v>
      </c>
      <c r="CB13" s="259">
        <f>(BS11*BS11)/$BK$18</f>
        <v>3.6044198254198856E-6</v>
      </c>
      <c r="CC13" s="259">
        <f>(BT11*BT11)/$BK$22</f>
        <v>3.6044198254198856E-6</v>
      </c>
      <c r="CD13" s="260">
        <f>(BU11*BU11)/$BK$26</f>
        <v>1.4278222582243652E-6</v>
      </c>
      <c r="CF13" s="643">
        <v>3</v>
      </c>
      <c r="CG13" s="231">
        <v>1</v>
      </c>
      <c r="CH13" s="780">
        <f>1/(CB5+CB4+CC4+CD4+CC8+CD8)+1/(CB10+CB9+CC9+CD9+CC13+CD13)+1/(CB15+CB14+CC14+CD14+CC18+CD18)</f>
        <v>90193.202010721143</v>
      </c>
      <c r="CI13" s="780">
        <f>1/(CB6+CB4+CC4+CD4+CC8+CD8)+1/(CB11+CB9+CC9+CD9+CC13+CD13)+1/(CB16+CB14+CC14+CD14+CC18+CD18)</f>
        <v>14650.440476033482</v>
      </c>
      <c r="CJ13" s="783">
        <f>1/(CB7+CB4+CC4+CD4+CC8+CD8)+1/(CB12+CB9+CC9+CD9+CC13+CD13)+1/(CB17+CB14+CC14+CD14+CC18+CD18)</f>
        <v>-25002.592337497834</v>
      </c>
      <c r="CL13" s="657"/>
      <c r="CM13" s="767"/>
      <c r="CN13" s="661"/>
      <c r="CO13" s="661"/>
      <c r="CP13" s="620"/>
      <c r="CQ13" s="626"/>
      <c r="CR13" s="663"/>
      <c r="CS13" s="665"/>
      <c r="CT13" s="806"/>
      <c r="CU13" s="667"/>
      <c r="CV13" s="622"/>
      <c r="CW13" s="628"/>
      <c r="CX13" s="669"/>
      <c r="CY13" s="638"/>
      <c r="CZ13" s="640"/>
      <c r="DA13" s="640"/>
      <c r="DB13" s="624"/>
      <c r="DC13" s="603"/>
      <c r="DD13" s="24"/>
    </row>
    <row r="14" spans="2:108" x14ac:dyDescent="0.25">
      <c r="B14" s="795"/>
      <c r="C14" s="67">
        <v>2</v>
      </c>
      <c r="D14" s="67">
        <v>213</v>
      </c>
      <c r="E14" s="68">
        <f>'Structural Information'!$U$9</f>
        <v>3</v>
      </c>
      <c r="F14" s="68">
        <f>'Structural Information'!$AC$7</f>
        <v>2</v>
      </c>
      <c r="G14" s="68">
        <v>0.5</v>
      </c>
      <c r="H14" s="68">
        <f t="shared" ref="H14:H17" si="25">0.3</f>
        <v>0.3</v>
      </c>
      <c r="I14" s="68">
        <v>0.3</v>
      </c>
      <c r="J14" s="223">
        <f t="shared" si="0"/>
        <v>6.7499999999999993E-4</v>
      </c>
      <c r="K14" s="68">
        <f t="shared" si="13"/>
        <v>1.7</v>
      </c>
      <c r="L14" s="68">
        <f t="shared" si="1"/>
        <v>2.5</v>
      </c>
      <c r="M14" s="68">
        <f t="shared" si="2"/>
        <v>3.0232432915661951</v>
      </c>
      <c r="N14" s="222">
        <f t="shared" si="14"/>
        <v>0.97361966870221905</v>
      </c>
      <c r="P14" s="788" t="s">
        <v>185</v>
      </c>
      <c r="Q14" s="788"/>
      <c r="R14" s="788"/>
      <c r="S14" s="269" t="s">
        <v>175</v>
      </c>
      <c r="U14" s="772"/>
      <c r="V14" s="499">
        <v>2</v>
      </c>
      <c r="W14" s="499">
        <v>213</v>
      </c>
      <c r="X14" s="60">
        <f>1/((((COS(N14))^4)/'Structural Information'!$AH$29)+(((SIN(N14))^4)/'Structural Information'!$AH$30)+(((SIN(N14))^2)*((COS(N14))^2)*((1/'Structural Information'!$AH$31)-(2*'Structural Information'!$AL$31/'Structural Information'!$AH$30))))</f>
        <v>2633.8326950752903</v>
      </c>
      <c r="Y14" s="60">
        <f>((X14*('Structural Information'!$AL$29/1000)*SIN(2*N14))/(4*'Structural Information'!$AH$32*J14*L14))^(1/4)</f>
        <v>1.5123876617767853</v>
      </c>
      <c r="Z14" s="60">
        <f t="shared" si="3"/>
        <v>4.5371629853303563</v>
      </c>
      <c r="AA14" s="284">
        <f t="shared" si="4"/>
        <v>0.70699999999999996</v>
      </c>
      <c r="AB14" s="284">
        <f t="shared" si="5"/>
        <v>0.01</v>
      </c>
      <c r="AC14" s="60">
        <f t="shared" si="6"/>
        <v>0.50132703852010907</v>
      </c>
      <c r="AD14" s="500">
        <f>((0.6*'Structural Information'!$AJ$29)+(0.3*'Structural Information'!$AL$30))/(AC14/M14)</f>
        <v>1.3025839438183511</v>
      </c>
      <c r="AE14" s="60">
        <f>(((1.2*SIN(N14)+0.45*COS(N14))*'Structural Information'!$AJ$30)+(0.3*'Structural Information'!$AL$30))/(AC14/M14)</f>
        <v>2.2530203105226962</v>
      </c>
      <c r="AF14" s="60">
        <f>(1.12*'Structural Information'!$AJ$31*COS(N14)*SIN(N14))/((AA14*(Z14^(-0.12)))+(AB14*(Z14^(0.88))))</f>
        <v>2.9130610617271073</v>
      </c>
      <c r="AG14" s="60">
        <f>(1.16*'Structural Information'!$AJ$31*TAN(N14))/((AA14)+(AB14*Z14))</f>
        <v>7.9583636878905075</v>
      </c>
      <c r="AH14" s="501">
        <f t="shared" si="7"/>
        <v>1.3025839438183511</v>
      </c>
      <c r="AI14" s="60">
        <f>AH14*AC14*'Structural Information'!$AL$29</f>
        <v>195.90616529348941</v>
      </c>
      <c r="AJ14" s="60">
        <f t="shared" si="8"/>
        <v>156.72493223479154</v>
      </c>
      <c r="AK14" s="128">
        <f t="shared" si="9"/>
        <v>19.590616529348942</v>
      </c>
      <c r="AM14" s="772"/>
      <c r="AN14" s="59">
        <v>2</v>
      </c>
      <c r="AO14" s="59">
        <v>213</v>
      </c>
      <c r="AP14" s="479">
        <v>3</v>
      </c>
      <c r="AQ14" s="478">
        <f t="shared" si="10"/>
        <v>156.72493223479154</v>
      </c>
      <c r="AR14" s="61">
        <f t="shared" si="15"/>
        <v>8.0000000000000004E-4</v>
      </c>
      <c r="AS14" s="60">
        <f>AQ14/(AR14*(SQRT(($F$14^2)+($E$14^2))))</f>
        <v>54334.594165015376</v>
      </c>
      <c r="AT14" s="226">
        <f>AS14*((COS($N$14))^2)</f>
        <v>17180.194435108802</v>
      </c>
      <c r="AU14" s="478">
        <f t="shared" si="11"/>
        <v>195.90616529348941</v>
      </c>
      <c r="AV14" s="61">
        <f t="shared" si="16"/>
        <v>2.2000000000000001E-3</v>
      </c>
      <c r="AW14" s="60">
        <f>AU14/(AV14*(SQRT(($F$14^2)+($E$14^2))))</f>
        <v>24697.542802279713</v>
      </c>
      <c r="AX14" s="137">
        <f>(AU14-AQ14)/((AV14-AR14)*(SQRT(($F$14^2)+($E$14^2))))</f>
        <v>7762.0848807164784</v>
      </c>
      <c r="AY14" s="226">
        <f>AX14*((COS($N$14))^2)</f>
        <v>2454.3134907298277</v>
      </c>
      <c r="AZ14" s="478">
        <f t="shared" si="12"/>
        <v>19.590616529348942</v>
      </c>
      <c r="BA14" s="61">
        <f t="shared" si="17"/>
        <v>8.8999999999999999E-3</v>
      </c>
      <c r="BB14" s="60">
        <f t="shared" si="18"/>
        <v>-7560.8161265736744</v>
      </c>
      <c r="BC14" s="128">
        <f t="shared" si="19"/>
        <v>-5617.1615953208011</v>
      </c>
      <c r="BE14" s="817"/>
      <c r="BF14" s="59">
        <v>3</v>
      </c>
      <c r="BG14" s="59">
        <v>7314</v>
      </c>
      <c r="BH14" s="59" t="s">
        <v>27</v>
      </c>
      <c r="BI14" s="209">
        <f>'Structural Information'!$U$8</f>
        <v>3</v>
      </c>
      <c r="BJ14" s="71">
        <f>('Structural Information'!$X$24)*(200)/$BI14</f>
        <v>53616.514621265807</v>
      </c>
      <c r="BK14" s="227">
        <f>'Structural Information'!$T$23*'Structural Information'!$T$24*(4700*SQRT('Structural Information'!$AC$18))/(BI14*1000)</f>
        <v>433495.56258141535</v>
      </c>
      <c r="BM14" s="673"/>
      <c r="BN14" s="240" t="s">
        <v>416</v>
      </c>
      <c r="BO14" s="241">
        <f>'Structural Information'!$AC$8</f>
        <v>4.5</v>
      </c>
      <c r="BP14" s="58">
        <f>BQ14+BP13</f>
        <v>3.9444444444444438</v>
      </c>
      <c r="BQ14" s="58">
        <f>BR14+BQ13</f>
        <v>3.2777777777777772</v>
      </c>
      <c r="BR14" s="58">
        <f>BS14+BR13</f>
        <v>2.6111111111111107</v>
      </c>
      <c r="BS14" s="58">
        <f>BT14+BS13</f>
        <v>1.9444444444444442</v>
      </c>
      <c r="BT14" s="58">
        <f>BU14+BT13</f>
        <v>1.2777777777777777</v>
      </c>
      <c r="BU14" s="242">
        <f>BU13</f>
        <v>0.61111111111111116</v>
      </c>
      <c r="BW14" s="673">
        <v>3</v>
      </c>
      <c r="BX14" s="270" t="s">
        <v>281</v>
      </c>
      <c r="BY14" s="262">
        <f>(BP13*BP13)/$BK$6</f>
        <v>1.0252571947861007E-6</v>
      </c>
      <c r="BZ14" s="262">
        <f>(BQ13*BQ13)/$BK$10</f>
        <v>1.0252571947861007E-6</v>
      </c>
      <c r="CA14" s="262">
        <f>(BR13*BR13)/$BK$14</f>
        <v>1.0252571947861007E-6</v>
      </c>
      <c r="CB14" s="262">
        <f>(BS13*BS13)/$BK$18</f>
        <v>7.1198416304590332E-7</v>
      </c>
      <c r="CC14" s="262">
        <f>(BT13*BT13)/$BK$22</f>
        <v>7.1198416304590332E-7</v>
      </c>
      <c r="CD14" s="263">
        <f>(BU13*BU13)/$BK$26</f>
        <v>2.82038964587529E-7</v>
      </c>
      <c r="CF14" s="673"/>
      <c r="CG14" s="231">
        <v>2</v>
      </c>
      <c r="CH14" s="780"/>
      <c r="CI14" s="780"/>
      <c r="CJ14" s="783"/>
      <c r="CL14" s="271" t="s">
        <v>200</v>
      </c>
      <c r="CM14" s="70">
        <f>AQ4*COS($N4)+AQ5*COS($N5)+AQ6*COS($N6)</f>
        <v>531.3599999999999</v>
      </c>
      <c r="CN14" s="70">
        <f>AU4*COS($N4)+AU5*COS($N5)+AU6*COS($N6)</f>
        <v>664.19999999999993</v>
      </c>
      <c r="CO14" s="70">
        <f>AZ4*COS($N4)+AZ5*COS($N5)+AZ6*COS($N6)</f>
        <v>66.419999999999987</v>
      </c>
      <c r="CP14" s="486">
        <f>AZ4*COS($N4)+AZ5*COS($N5)+AZ6*COS($N6)</f>
        <v>66.419999999999987</v>
      </c>
      <c r="CQ14" s="489">
        <v>171.55659581870771</v>
      </c>
      <c r="CR14" s="46" t="s">
        <v>248</v>
      </c>
      <c r="CS14" s="70">
        <f>CH4</f>
        <v>57872.191665046179</v>
      </c>
      <c r="CT14" s="70">
        <f>CI4</f>
        <v>13516.979847378621</v>
      </c>
      <c r="CU14" s="70">
        <f>CJ4</f>
        <v>-29876.416806458183</v>
      </c>
      <c r="CV14" s="70">
        <v>0</v>
      </c>
      <c r="CW14" s="227">
        <f>CS14</f>
        <v>57872.191665046179</v>
      </c>
      <c r="CX14" s="46" t="s">
        <v>337</v>
      </c>
      <c r="CY14" s="61">
        <f>CM14/(CS14*'Structural Information'!$U$6)</f>
        <v>3.0605372788564604E-3</v>
      </c>
      <c r="CZ14" s="61">
        <f>CY14+(((1/CT14)*(CN14-CM14))/'Structural Information'!$U$6)</f>
        <v>6.336416987191406E-3</v>
      </c>
      <c r="DA14" s="61">
        <f>CZ14+(((1/CU14)*(CO14-CN14))/'Structural Information'!$U$6)</f>
        <v>1.300589148578413E-2</v>
      </c>
      <c r="DB14" s="61">
        <f>0.08</f>
        <v>0.08</v>
      </c>
      <c r="DC14" s="491">
        <v>9.8813489336206217E-4</v>
      </c>
      <c r="DD14" s="24"/>
    </row>
    <row r="15" spans="2:108" ht="16.5" thickBot="1" x14ac:dyDescent="0.3">
      <c r="B15" s="796"/>
      <c r="C15" s="233">
        <v>3</v>
      </c>
      <c r="D15" s="233">
        <v>313</v>
      </c>
      <c r="E15" s="104">
        <f>'Structural Information'!$U$9</f>
        <v>3</v>
      </c>
      <c r="F15" s="104">
        <f>'Structural Information'!$AC$6</f>
        <v>4.5</v>
      </c>
      <c r="G15" s="104">
        <v>0.5</v>
      </c>
      <c r="H15" s="104">
        <v>0.25</v>
      </c>
      <c r="I15" s="104">
        <v>0.25</v>
      </c>
      <c r="J15" s="234">
        <f t="shared" si="0"/>
        <v>3.2552083333333332E-4</v>
      </c>
      <c r="K15" s="104">
        <f t="shared" si="13"/>
        <v>4.25</v>
      </c>
      <c r="L15" s="104">
        <f t="shared" si="1"/>
        <v>2.5</v>
      </c>
      <c r="M15" s="104">
        <f t="shared" si="2"/>
        <v>4.9307707308290052</v>
      </c>
      <c r="N15" s="235">
        <f t="shared" si="14"/>
        <v>0.53172406725880561</v>
      </c>
      <c r="P15" s="788" t="s">
        <v>184</v>
      </c>
      <c r="Q15" s="788"/>
      <c r="R15" s="788"/>
      <c r="S15" s="269" t="s">
        <v>176</v>
      </c>
      <c r="U15" s="772"/>
      <c r="V15" s="499">
        <v>3</v>
      </c>
      <c r="W15" s="499">
        <v>313</v>
      </c>
      <c r="X15" s="60">
        <f>1/((((COS(N15))^4)/'Structural Information'!$AH$29)+(((SIN(N15))^4)/'Structural Information'!$AH$30)+(((SIN(N15))^2)*((COS(N15))^2)*((1/'Structural Information'!$AH$31)-(2*'Structural Information'!$AL$31/'Structural Information'!$AH$30))))</f>
        <v>1492.8812750676027</v>
      </c>
      <c r="Y15" s="60">
        <f>((X15*('Structural Information'!$AL$29/1000)*SIN(2*N15))/(4*'Structural Information'!$AH$32*J15*L15))^(1/4)</f>
        <v>1.5504857878772818</v>
      </c>
      <c r="Z15" s="60">
        <f t="shared" si="3"/>
        <v>4.6514573636318453</v>
      </c>
      <c r="AA15" s="284">
        <f t="shared" si="4"/>
        <v>0.70699999999999996</v>
      </c>
      <c r="AB15" s="284">
        <f t="shared" si="5"/>
        <v>0.01</v>
      </c>
      <c r="AC15" s="60">
        <f t="shared" si="6"/>
        <v>0.79876204692072605</v>
      </c>
      <c r="AD15" s="500">
        <f>((0.6*'Structural Information'!$AJ$29)+(0.3*'Structural Information'!$AL$30))/(AC15/M15)</f>
        <v>1.3333714113794979</v>
      </c>
      <c r="AE15" s="60">
        <f>(((1.2*SIN(N15)+0.45*COS(N15))*'Structural Information'!$AJ$30)+(0.3*'Structural Information'!$AL$30))/(AC15/M15)</f>
        <v>1.8450425952026535</v>
      </c>
      <c r="AF15" s="60">
        <f>(1.12*'Structural Information'!$AJ$31*COS(N15)*SIN(N15))/((AA15*(Z15^(-0.12)))+(AB15*(Z15^(0.88))))</f>
        <v>2.7418487136841865</v>
      </c>
      <c r="AG15" s="60">
        <f>(1.16*'Structural Information'!$AJ$31*TAN(N15))/((AA15)+(AB15*Z15))</f>
        <v>3.1785169223354388</v>
      </c>
      <c r="AH15" s="501">
        <f t="shared" si="7"/>
        <v>1.3333714113794979</v>
      </c>
      <c r="AI15" s="60">
        <f>AH15*AC15*'Structural Information'!$AL$29</f>
        <v>319.51394335771954</v>
      </c>
      <c r="AJ15" s="60">
        <f t="shared" si="8"/>
        <v>255.61115468617564</v>
      </c>
      <c r="AK15" s="128">
        <f t="shared" si="9"/>
        <v>31.951394335771955</v>
      </c>
      <c r="AM15" s="772"/>
      <c r="AN15" s="59">
        <v>3</v>
      </c>
      <c r="AO15" s="59">
        <v>313</v>
      </c>
      <c r="AP15" s="479">
        <v>3</v>
      </c>
      <c r="AQ15" s="478">
        <f t="shared" si="10"/>
        <v>255.61115468617564</v>
      </c>
      <c r="AR15" s="61">
        <f t="shared" si="15"/>
        <v>8.0000000000000004E-4</v>
      </c>
      <c r="AS15" s="60">
        <f>AQ15/(AR15*(SQRT(($F$15^2)+($E$15^2))))</f>
        <v>59078.149025741252</v>
      </c>
      <c r="AT15" s="226">
        <f>AS15*((COS($N$15))^2)</f>
        <v>43890.964186219077</v>
      </c>
      <c r="AU15" s="478">
        <f t="shared" si="11"/>
        <v>319.51394335771954</v>
      </c>
      <c r="AV15" s="61">
        <f t="shared" si="16"/>
        <v>2.2000000000000001E-3</v>
      </c>
      <c r="AW15" s="60">
        <f>AU15/(AV15*(SQRT(($F$15^2)+($E$15^2))))</f>
        <v>26853.704102609659</v>
      </c>
      <c r="AX15" s="137">
        <f>(AU15-AQ15)/((AV15-AR15)*(SQRT(($F$15^2)+($E$15^2))))</f>
        <v>8439.7355751058913</v>
      </c>
      <c r="AY15" s="226">
        <f>AX15*((COS($N$15))^2)</f>
        <v>6270.1377408884373</v>
      </c>
      <c r="AZ15" s="478">
        <f t="shared" si="12"/>
        <v>31.951394335771955</v>
      </c>
      <c r="BA15" s="61">
        <f t="shared" si="17"/>
        <v>8.8999999999999999E-3</v>
      </c>
      <c r="BB15" s="60">
        <f t="shared" si="18"/>
        <v>-12331.343283582089</v>
      </c>
      <c r="BC15" s="128">
        <f t="shared" si="19"/>
        <v>-9161.3321566972318</v>
      </c>
      <c r="BE15" s="818"/>
      <c r="BF15" s="99">
        <v>4</v>
      </c>
      <c r="BG15" s="99">
        <v>7414</v>
      </c>
      <c r="BH15" s="99" t="s">
        <v>27</v>
      </c>
      <c r="BI15" s="209">
        <f>'Structural Information'!$U$8</f>
        <v>3</v>
      </c>
      <c r="BJ15" s="267">
        <f>('Structural Information'!$X$24)*(200)/$BI15</f>
        <v>53616.514621265807</v>
      </c>
      <c r="BK15" s="248">
        <f>'Structural Information'!$T$23*'Structural Information'!$T$24*(4700*SQRT('Structural Information'!$AC$18))/(BI15*1000)</f>
        <v>433495.56258141535</v>
      </c>
      <c r="BM15" s="673"/>
      <c r="BN15" s="194">
        <v>4</v>
      </c>
      <c r="BO15" s="249">
        <f>'Structural Information'!$AC$6</f>
        <v>4.5</v>
      </c>
      <c r="BP15" s="60">
        <f t="shared" ref="BP15:BU15" si="26">(BP$4/$BO15)</f>
        <v>0.66666666666666663</v>
      </c>
      <c r="BQ15" s="60">
        <f t="shared" si="26"/>
        <v>0.66666666666666663</v>
      </c>
      <c r="BR15" s="60">
        <f t="shared" si="26"/>
        <v>0.66666666666666663</v>
      </c>
      <c r="BS15" s="60">
        <f t="shared" si="26"/>
        <v>0.66666666666666663</v>
      </c>
      <c r="BT15" s="60">
        <f t="shared" si="26"/>
        <v>0.66666666666666663</v>
      </c>
      <c r="BU15" s="128">
        <f t="shared" si="26"/>
        <v>0.61111111111111116</v>
      </c>
      <c r="BW15" s="673"/>
      <c r="BX15" s="230" t="s">
        <v>277</v>
      </c>
      <c r="BY15" s="217">
        <f>1/($AT$6)</f>
        <v>2.278373279195313E-5</v>
      </c>
      <c r="BZ15" s="217">
        <f>1/($AT$9)</f>
        <v>2.278373279195313E-5</v>
      </c>
      <c r="CA15" s="217">
        <f>1/($AT$12)</f>
        <v>2.278373279195313E-5</v>
      </c>
      <c r="CB15" s="217">
        <f>1/($AT$15)</f>
        <v>2.278373279195313E-5</v>
      </c>
      <c r="CC15" s="217">
        <f>1/($AT$18)</f>
        <v>2.278373279195313E-5</v>
      </c>
      <c r="CD15" s="218">
        <f>1/($AT$21)</f>
        <v>2.1982813209515501E-5</v>
      </c>
      <c r="CF15" s="641"/>
      <c r="CG15" s="231">
        <v>3</v>
      </c>
      <c r="CH15" s="780"/>
      <c r="CI15" s="780"/>
      <c r="CJ15" s="783"/>
      <c r="CL15" s="46" t="s">
        <v>201</v>
      </c>
      <c r="CM15" s="70">
        <f>AQ7*COS($N7)+AQ8*COS($N8)+AQ9*COS($N9)</f>
        <v>531.3599999999999</v>
      </c>
      <c r="CN15" s="70">
        <f>AU7*COS($N7)+AU8*COS($N8)+AU9*COS($N9)</f>
        <v>664.19999999999993</v>
      </c>
      <c r="CO15" s="70">
        <f>AZ7*COS($N7)+AZ8*COS($N8)+AZ9*COS($N9)</f>
        <v>66.419999999999987</v>
      </c>
      <c r="CP15" s="486">
        <f>AZ7*COS($N7)+AZ8*COS($N8)+AZ9*COS($N9)</f>
        <v>66.419999999999987</v>
      </c>
      <c r="CQ15" s="489">
        <v>348.81217408162945</v>
      </c>
      <c r="CR15" s="46" t="s">
        <v>249</v>
      </c>
      <c r="CS15" s="70">
        <f>CH7</f>
        <v>77629.774959695918</v>
      </c>
      <c r="CT15" s="70">
        <f>CI7</f>
        <v>14361.175026906534</v>
      </c>
      <c r="CU15" s="70">
        <f>CJ7</f>
        <v>-26618.868886698354</v>
      </c>
      <c r="CV15" s="70">
        <v>0</v>
      </c>
      <c r="CW15" s="227">
        <f>CS15</f>
        <v>77629.774959695918</v>
      </c>
      <c r="CX15" s="46" t="s">
        <v>336</v>
      </c>
      <c r="CY15" s="61">
        <f>CM15/(CS15*'Structural Information'!$U$7)</f>
        <v>2.281598782064713E-3</v>
      </c>
      <c r="CZ15" s="61">
        <f>CY15+(((1/CT15)*(CN15-CM15))/'Structural Information'!$U$7)</f>
        <v>5.36491194530092E-3</v>
      </c>
      <c r="DA15" s="61">
        <f>CZ15+(((1/CU15)*(CO15-CN15))/'Structural Information'!$U$7)</f>
        <v>1.2850579380988682E-2</v>
      </c>
      <c r="DB15" s="61">
        <f t="shared" ref="DB15:DB19" si="27">0.08</f>
        <v>0.08</v>
      </c>
      <c r="DC15" s="491">
        <v>1.4977593939212409E-3</v>
      </c>
      <c r="DD15" s="24"/>
    </row>
    <row r="16" spans="2:108" ht="16.5" thickBot="1" x14ac:dyDescent="0.3">
      <c r="B16" s="794">
        <v>2</v>
      </c>
      <c r="C16" s="202">
        <v>1</v>
      </c>
      <c r="D16" s="202">
        <v>112</v>
      </c>
      <c r="E16" s="203">
        <f>'Structural Information'!$U$10</f>
        <v>3</v>
      </c>
      <c r="F16" s="203">
        <f>'Structural Information'!$AC$8</f>
        <v>4.5</v>
      </c>
      <c r="G16" s="203">
        <v>0.5</v>
      </c>
      <c r="H16" s="203">
        <f>0.25</f>
        <v>0.25</v>
      </c>
      <c r="I16" s="203">
        <v>0.25</v>
      </c>
      <c r="J16" s="244">
        <f t="shared" si="0"/>
        <v>3.2552083333333332E-4</v>
      </c>
      <c r="K16" s="203">
        <f t="shared" si="13"/>
        <v>4.25</v>
      </c>
      <c r="L16" s="203">
        <f t="shared" si="1"/>
        <v>2.5</v>
      </c>
      <c r="M16" s="203">
        <f t="shared" si="2"/>
        <v>4.9307707308290052</v>
      </c>
      <c r="N16" s="204">
        <f t="shared" si="14"/>
        <v>0.53172406725880561</v>
      </c>
      <c r="P16" s="788" t="s">
        <v>186</v>
      </c>
      <c r="Q16" s="788"/>
      <c r="R16" s="788"/>
      <c r="S16" s="269" t="s">
        <v>177</v>
      </c>
      <c r="U16" s="774">
        <v>2</v>
      </c>
      <c r="V16" s="93">
        <v>1</v>
      </c>
      <c r="W16" s="93">
        <v>112</v>
      </c>
      <c r="X16" s="94">
        <f>1/((((COS(N16))^4)/'Structural Information'!$AH$29)+(((SIN(N16))^4)/'Structural Information'!$AH$30)+(((SIN(N16))^2)*((COS(N16))^2)*((1/'Structural Information'!$AH$31)-(2*'Structural Information'!$AL$31/'Structural Information'!$AH$30))))</f>
        <v>1492.8812750676027</v>
      </c>
      <c r="Y16" s="94">
        <f>((X16*('Structural Information'!$AL$29/1000)*SIN(2*N16))/(4*'Structural Information'!$AH$32*J16*L16))^(1/4)</f>
        <v>1.5504857878772818</v>
      </c>
      <c r="Z16" s="94">
        <f t="shared" si="3"/>
        <v>4.6514573636318453</v>
      </c>
      <c r="AA16" s="164">
        <f t="shared" si="4"/>
        <v>0.70699999999999996</v>
      </c>
      <c r="AB16" s="164">
        <f t="shared" si="5"/>
        <v>0.01</v>
      </c>
      <c r="AC16" s="94">
        <f t="shared" si="6"/>
        <v>0.79876204692072605</v>
      </c>
      <c r="AD16" s="206">
        <f>((0.6*'Structural Information'!$AJ$29)+(0.3*'Structural Information'!$AL$30))/(AC16/M16)</f>
        <v>1.3333714113794979</v>
      </c>
      <c r="AE16" s="94">
        <f>(((1.2*SIN(N16)+0.45*COS(N16))*'Structural Information'!$AJ$30)+(0.3*'Structural Information'!$AL$30))/(AC16/M16)</f>
        <v>1.8450425952026535</v>
      </c>
      <c r="AF16" s="94">
        <f>(1.12*'Structural Information'!$AJ$31*COS(N16)*SIN(N16))/((AA16*(Z16^(-0.12)))+(AB16*(Z16^(0.88))))</f>
        <v>2.7418487136841865</v>
      </c>
      <c r="AG16" s="94">
        <f>(1.16*'Structural Information'!$AJ$31*TAN(N16))/((AA16)+(AB16*Z16))</f>
        <v>3.1785169223354388</v>
      </c>
      <c r="AH16" s="205">
        <f t="shared" si="7"/>
        <v>1.3333714113794979</v>
      </c>
      <c r="AI16" s="94">
        <f>AH16*AC16*'Structural Information'!$AL$29</f>
        <v>319.51394335771954</v>
      </c>
      <c r="AJ16" s="94">
        <f t="shared" si="8"/>
        <v>255.61115468617564</v>
      </c>
      <c r="AK16" s="208">
        <f t="shared" si="9"/>
        <v>31.951394335771955</v>
      </c>
      <c r="AM16" s="774">
        <v>2</v>
      </c>
      <c r="AN16" s="93">
        <v>1</v>
      </c>
      <c r="AO16" s="93">
        <v>112</v>
      </c>
      <c r="AP16" s="205">
        <v>3</v>
      </c>
      <c r="AQ16" s="206">
        <f t="shared" si="10"/>
        <v>255.61115468617564</v>
      </c>
      <c r="AR16" s="179">
        <f t="shared" si="15"/>
        <v>8.0000000000000004E-4</v>
      </c>
      <c r="AS16" s="94">
        <f>AQ16/(AR16*(SQRT(($F$16^2)+($E$16^2))))</f>
        <v>59078.149025741252</v>
      </c>
      <c r="AT16" s="207">
        <f>AS16*((COS($N$16))^2)</f>
        <v>43890.964186219077</v>
      </c>
      <c r="AU16" s="206">
        <f t="shared" si="11"/>
        <v>319.51394335771954</v>
      </c>
      <c r="AV16" s="179">
        <f t="shared" si="16"/>
        <v>2.2000000000000001E-3</v>
      </c>
      <c r="AW16" s="94">
        <f>AU16/(AV16*(SQRT(($F$16^2)+($E$16^2))))</f>
        <v>26853.704102609659</v>
      </c>
      <c r="AX16" s="135">
        <f>(AU16-AQ16)/((AV16-AR16)*(SQRT(($F$16^2)+($E$16^2))))</f>
        <v>8439.7355751058913</v>
      </c>
      <c r="AY16" s="207">
        <f>AX16*((COS($N$16))^2)</f>
        <v>6270.1377408884373</v>
      </c>
      <c r="AZ16" s="206">
        <f t="shared" si="12"/>
        <v>31.951394335771955</v>
      </c>
      <c r="BA16" s="179">
        <f t="shared" si="17"/>
        <v>8.8999999999999999E-3</v>
      </c>
      <c r="BB16" s="94">
        <f t="shared" si="18"/>
        <v>-12331.343283582089</v>
      </c>
      <c r="BC16" s="208">
        <f t="shared" si="19"/>
        <v>-9161.3321566972318</v>
      </c>
      <c r="BE16" s="816">
        <v>3</v>
      </c>
      <c r="BF16" s="93">
        <v>1</v>
      </c>
      <c r="BG16" s="93">
        <v>7113</v>
      </c>
      <c r="BH16" s="93" t="s">
        <v>27</v>
      </c>
      <c r="BI16" s="252">
        <f>'Structural Information'!$U$9</f>
        <v>3</v>
      </c>
      <c r="BJ16" s="253">
        <f>('Structural Information'!$X$24)*(200)/$BI16</f>
        <v>53616.514621265807</v>
      </c>
      <c r="BK16" s="211">
        <f>'Structural Information'!$T$23*'Structural Information'!$T$24*(4700*SQRT('Structural Information'!$AC$18))/(BI16*1000)</f>
        <v>433495.56258141535</v>
      </c>
      <c r="BM16" s="675"/>
      <c r="BN16" s="272" t="s">
        <v>416</v>
      </c>
      <c r="BO16" s="273">
        <f>'Structural Information'!$AC$8</f>
        <v>4.5</v>
      </c>
      <c r="BP16" s="274">
        <f>BQ16+BP15</f>
        <v>3.9444444444444438</v>
      </c>
      <c r="BQ16" s="274">
        <f>BR16+BQ15</f>
        <v>3.2777777777777772</v>
      </c>
      <c r="BR16" s="274">
        <f>BS16+BR15</f>
        <v>2.6111111111111107</v>
      </c>
      <c r="BS16" s="274">
        <f>BT16+BS15</f>
        <v>1.9444444444444442</v>
      </c>
      <c r="BT16" s="274">
        <f>BU16+BT15</f>
        <v>1.2777777777777777</v>
      </c>
      <c r="BU16" s="275">
        <f>BU15</f>
        <v>0.61111111111111116</v>
      </c>
      <c r="BW16" s="673"/>
      <c r="BX16" s="243" t="s">
        <v>277</v>
      </c>
      <c r="BY16" s="217">
        <f>1/($AY$6)</f>
        <v>1.5948612954367196E-4</v>
      </c>
      <c r="BZ16" s="217">
        <f>1/($AY$9)</f>
        <v>1.5948612954367196E-4</v>
      </c>
      <c r="CA16" s="217">
        <f>1/($AY$12)</f>
        <v>1.5948612954367196E-4</v>
      </c>
      <c r="CB16" s="217">
        <f>1/($AY$15)</f>
        <v>1.5948612954367196E-4</v>
      </c>
      <c r="CC16" s="217">
        <f>1/($AY$18)</f>
        <v>1.5948612954367196E-4</v>
      </c>
      <c r="CD16" s="218">
        <f>1/($AY$21)</f>
        <v>1.538796924666086E-4</v>
      </c>
      <c r="CF16" s="673">
        <v>2</v>
      </c>
      <c r="CG16" s="219">
        <v>1</v>
      </c>
      <c r="CH16" s="779">
        <f>(1/(CC5+CC4+CD8+CD4)+1/(CC10+CC9+CD13+CD9)+1/(CC15+CC14+CD18+CD14))</f>
        <v>97157.269440176635</v>
      </c>
      <c r="CI16" s="779">
        <f>(1/(CC6+CC4+CD8+CD4)+1/(CC11+CC9+CD13+CD9)+1/(CC16+CC14+CD18+CD14))</f>
        <v>14824.106578496716</v>
      </c>
      <c r="CJ16" s="782">
        <f>(1/(CC7+CC4+CD8+CD4)+1/(CC12+CC9+CD13+CD9)+1/(CC17+CC14+CD18+CD14))</f>
        <v>-24441.086972270215</v>
      </c>
      <c r="CL16" s="46" t="s">
        <v>202</v>
      </c>
      <c r="CM16" s="70">
        <f>AQ10*COS($N10)+AQ11*COS($N11)+AQ12*COS($N12)</f>
        <v>531.3599999999999</v>
      </c>
      <c r="CN16" s="70">
        <f>AU10*COS($N10)+AU11*COS($N11)+AU12*COS($N12)</f>
        <v>664.19999999999993</v>
      </c>
      <c r="CO16" s="70">
        <f>AZ10*COS($N10)+AZ11*COS($N11)+AZ12*COS($N12)</f>
        <v>66.419999999999987</v>
      </c>
      <c r="CP16" s="486">
        <f>AZ10*COS($N10)+AZ11*COS($N11)+AZ12*COS($N12)</f>
        <v>66.419999999999987</v>
      </c>
      <c r="CQ16" s="489">
        <v>505.51466328235244</v>
      </c>
      <c r="CR16" s="46" t="s">
        <v>250</v>
      </c>
      <c r="CS16" s="70">
        <f>CH10</f>
        <v>83974.856133256253</v>
      </c>
      <c r="CT16" s="70">
        <f>CI10</f>
        <v>14570.353513466065</v>
      </c>
      <c r="CU16" s="70">
        <f>CJ10</f>
        <v>-25760.811754757004</v>
      </c>
      <c r="CV16" s="70">
        <v>0</v>
      </c>
      <c r="CW16" s="227">
        <f t="shared" ref="CW16:CW18" si="28">CS16</f>
        <v>83974.856133256253</v>
      </c>
      <c r="CX16" s="46" t="s">
        <v>335</v>
      </c>
      <c r="CY16" s="61">
        <f>CM16/(CS16*'Structural Information'!$U$8)</f>
        <v>2.1092027799242134E-3</v>
      </c>
      <c r="CZ16" s="61">
        <f>CY16+(((1/CT16)*(CN16-CM16))/'Structural Information'!$U$8)</f>
        <v>5.148250525682475E-3</v>
      </c>
      <c r="DA16" s="61">
        <f>CZ16+(((1/CU16)*(CO16-CN16))/'Structural Information'!$U$8)</f>
        <v>1.2883255225726701E-2</v>
      </c>
      <c r="DB16" s="61">
        <f t="shared" si="27"/>
        <v>0.08</v>
      </c>
      <c r="DC16" s="491">
        <v>2.0066112110200067E-3</v>
      </c>
      <c r="DD16" s="24"/>
    </row>
    <row r="17" spans="2:108" x14ac:dyDescent="0.25">
      <c r="B17" s="795"/>
      <c r="C17" s="67">
        <v>2</v>
      </c>
      <c r="D17" s="67">
        <v>212</v>
      </c>
      <c r="E17" s="68">
        <f>'Structural Information'!$U$10</f>
        <v>3</v>
      </c>
      <c r="F17" s="68">
        <f>'Structural Information'!$AC$7</f>
        <v>2</v>
      </c>
      <c r="G17" s="68">
        <v>0.5</v>
      </c>
      <c r="H17" s="68">
        <f t="shared" si="25"/>
        <v>0.3</v>
      </c>
      <c r="I17" s="68">
        <v>0.3</v>
      </c>
      <c r="J17" s="223">
        <f t="shared" si="0"/>
        <v>6.7499999999999993E-4</v>
      </c>
      <c r="K17" s="68">
        <f t="shared" si="13"/>
        <v>1.7</v>
      </c>
      <c r="L17" s="68">
        <f t="shared" si="1"/>
        <v>2.5</v>
      </c>
      <c r="M17" s="68">
        <f t="shared" si="2"/>
        <v>3.0232432915661951</v>
      </c>
      <c r="N17" s="222">
        <f t="shared" si="14"/>
        <v>0.97361966870221905</v>
      </c>
      <c r="U17" s="772"/>
      <c r="V17" s="499">
        <v>2</v>
      </c>
      <c r="W17" s="499">
        <v>212</v>
      </c>
      <c r="X17" s="60">
        <f>1/((((COS(N17))^4)/'Structural Information'!$AH$29)+(((SIN(N17))^4)/'Structural Information'!$AH$30)+(((SIN(N17))^2)*((COS(N17))^2)*((1/'Structural Information'!$AH$31)-(2*'Structural Information'!$AL$31/'Structural Information'!$AH$30))))</f>
        <v>2633.8326950752903</v>
      </c>
      <c r="Y17" s="60">
        <f>((X17*('Structural Information'!$AL$29/1000)*SIN(2*N17))/(4*'Structural Information'!$AH$32*J17*L17))^(1/4)</f>
        <v>1.5123876617767853</v>
      </c>
      <c r="Z17" s="60">
        <f t="shared" si="3"/>
        <v>4.5371629853303563</v>
      </c>
      <c r="AA17" s="284">
        <f t="shared" si="4"/>
        <v>0.70699999999999996</v>
      </c>
      <c r="AB17" s="284">
        <f t="shared" si="5"/>
        <v>0.01</v>
      </c>
      <c r="AC17" s="60">
        <f t="shared" si="6"/>
        <v>0.50132703852010907</v>
      </c>
      <c r="AD17" s="500">
        <f>((0.6*'Structural Information'!$AJ$29)+(0.3*'Structural Information'!$AL$30))/(AC17/M17)</f>
        <v>1.3025839438183511</v>
      </c>
      <c r="AE17" s="60">
        <f>(((1.2*SIN(N17)+0.45*COS(N17))*'Structural Information'!$AJ$30)+(0.3*'Structural Information'!$AL$30))/(AC17/M17)</f>
        <v>2.2530203105226962</v>
      </c>
      <c r="AF17" s="60">
        <f>(1.12*'Structural Information'!$AJ$31*COS(N17)*SIN(N17))/((AA17*(Z17^(-0.12)))+(AB17*(Z17^(0.88))))</f>
        <v>2.9130610617271073</v>
      </c>
      <c r="AG17" s="60">
        <f>(1.16*'Structural Information'!$AJ$31*TAN(N17))/((AA17)+(AB17*Z17))</f>
        <v>7.9583636878905075</v>
      </c>
      <c r="AH17" s="501">
        <f t="shared" si="7"/>
        <v>1.3025839438183511</v>
      </c>
      <c r="AI17" s="60">
        <f>AH17*AC17*'Structural Information'!$AL$29</f>
        <v>195.90616529348941</v>
      </c>
      <c r="AJ17" s="60">
        <f t="shared" si="8"/>
        <v>156.72493223479154</v>
      </c>
      <c r="AK17" s="128">
        <f t="shared" si="9"/>
        <v>19.590616529348942</v>
      </c>
      <c r="AM17" s="772"/>
      <c r="AN17" s="59">
        <v>2</v>
      </c>
      <c r="AO17" s="59">
        <v>212</v>
      </c>
      <c r="AP17" s="479">
        <v>3</v>
      </c>
      <c r="AQ17" s="478">
        <f t="shared" si="10"/>
        <v>156.72493223479154</v>
      </c>
      <c r="AR17" s="61">
        <f t="shared" si="15"/>
        <v>8.0000000000000004E-4</v>
      </c>
      <c r="AS17" s="60">
        <f>AQ17/(AR17*(SQRT(($F$17^2)+($E$17^2))))</f>
        <v>54334.594165015376</v>
      </c>
      <c r="AT17" s="226">
        <f>AS17*((COS($N$17))^2)</f>
        <v>17180.194435108802</v>
      </c>
      <c r="AU17" s="478">
        <f t="shared" si="11"/>
        <v>195.90616529348941</v>
      </c>
      <c r="AV17" s="61">
        <f t="shared" si="16"/>
        <v>2.2000000000000001E-3</v>
      </c>
      <c r="AW17" s="60">
        <f>AU17/(AV17*(SQRT(($F$17^2)+($E$17^2))))</f>
        <v>24697.542802279713</v>
      </c>
      <c r="AX17" s="137">
        <f>(AU17-AQ17)/((AV17-AR17)*(SQRT(($F$17^2)+($E$17^2))))</f>
        <v>7762.0848807164784</v>
      </c>
      <c r="AY17" s="226">
        <f>AX17*((COS($N$17))^2)</f>
        <v>2454.3134907298277</v>
      </c>
      <c r="AZ17" s="478">
        <f t="shared" si="12"/>
        <v>19.590616529348942</v>
      </c>
      <c r="BA17" s="61">
        <f t="shared" si="17"/>
        <v>8.8999999999999999E-3</v>
      </c>
      <c r="BB17" s="60">
        <f t="shared" si="18"/>
        <v>-7560.8161265736744</v>
      </c>
      <c r="BC17" s="128">
        <f t="shared" si="19"/>
        <v>-5617.1615953208011</v>
      </c>
      <c r="BE17" s="817"/>
      <c r="BF17" s="59">
        <v>2</v>
      </c>
      <c r="BG17" s="59">
        <v>7213</v>
      </c>
      <c r="BH17" s="59" t="s">
        <v>28</v>
      </c>
      <c r="BI17" s="209">
        <f>'Structural Information'!$U$9</f>
        <v>3</v>
      </c>
      <c r="BJ17" s="71">
        <f>('Structural Information'!$X$29)*(200)/$BI17</f>
        <v>53616.514621265807</v>
      </c>
      <c r="BK17" s="227">
        <f>'Structural Information'!$T$28*'Structural Information'!$T$29*(4700*SQRT('Structural Information'!$AC$18))/(BI17*1000)</f>
        <v>624233.61011723801</v>
      </c>
      <c r="BW17" s="673"/>
      <c r="BX17" s="250" t="s">
        <v>277</v>
      </c>
      <c r="BY17" s="217">
        <f>1/($BC$6)</f>
        <v>-1.09154431134665E-4</v>
      </c>
      <c r="BZ17" s="217">
        <f>1/($BC$9)</f>
        <v>-1.09154431134665E-4</v>
      </c>
      <c r="CA17" s="217">
        <f>1/($BC$12)</f>
        <v>-1.09154431134665E-4</v>
      </c>
      <c r="CB17" s="217">
        <f>1/($BC$15)</f>
        <v>-1.09154431134665E-4</v>
      </c>
      <c r="CC17" s="217">
        <f>1/($BC$18)</f>
        <v>-1.09154431134665E-4</v>
      </c>
      <c r="CD17" s="218">
        <f>1/($BC$21)</f>
        <v>-1.0354539207405917E-4</v>
      </c>
      <c r="CF17" s="673"/>
      <c r="CG17" s="231">
        <v>2</v>
      </c>
      <c r="CH17" s="780"/>
      <c r="CI17" s="780"/>
      <c r="CJ17" s="783"/>
      <c r="CL17" s="46" t="s">
        <v>203</v>
      </c>
      <c r="CM17" s="70">
        <f>AQ13*COS($N13)+AQ14*COS($N14)+AQ15*COS($N15)</f>
        <v>528.76800000000003</v>
      </c>
      <c r="CN17" s="70">
        <f>AU13*COS($N13)+AU14*COS($N14)+AU15*COS($N15)</f>
        <v>660.95999999999992</v>
      </c>
      <c r="CO17" s="70">
        <f>AZ13*COS($N13)+AZ14*COS($N14)+AZ15*COS($N15)</f>
        <v>66.096000000000004</v>
      </c>
      <c r="CP17" s="486">
        <f>AZ13*COS($N13)+AZ14*COS($N14)+AZ15*COS($N15)</f>
        <v>66.096000000000004</v>
      </c>
      <c r="CQ17" s="489">
        <v>606.85346160253027</v>
      </c>
      <c r="CR17" s="46" t="s">
        <v>251</v>
      </c>
      <c r="CS17" s="70">
        <f>CH13</f>
        <v>90193.202010721143</v>
      </c>
      <c r="CT17" s="70">
        <f>CI13</f>
        <v>14650.440476033482</v>
      </c>
      <c r="CU17" s="70">
        <f>CJ13</f>
        <v>-25002.592337497834</v>
      </c>
      <c r="CV17" s="70">
        <v>0</v>
      </c>
      <c r="CW17" s="227">
        <f t="shared" si="28"/>
        <v>90193.202010721143</v>
      </c>
      <c r="CX17" s="46" t="s">
        <v>334</v>
      </c>
      <c r="CY17" s="61">
        <f>CM17/(CS17*'Structural Information'!$U$9)</f>
        <v>1.9542049297578846E-3</v>
      </c>
      <c r="CZ17" s="61">
        <f>CY17+(((1/CT17)*(CN17-CM17))/'Structural Information'!$U$9)</f>
        <v>4.9618960686068393E-3</v>
      </c>
      <c r="DA17" s="61">
        <f>CZ17+(((1/CU17)*(CO17-CN17))/'Structural Information'!$U$9)</f>
        <v>1.289259370681198E-2</v>
      </c>
      <c r="DB17" s="61">
        <f t="shared" si="27"/>
        <v>0.08</v>
      </c>
      <c r="DC17" s="491">
        <v>3.7308400584711251E-3</v>
      </c>
      <c r="DD17" s="24"/>
    </row>
    <row r="18" spans="2:108" ht="16.5" thickBot="1" x14ac:dyDescent="0.3">
      <c r="B18" s="796"/>
      <c r="C18" s="233">
        <v>3</v>
      </c>
      <c r="D18" s="233">
        <v>312</v>
      </c>
      <c r="E18" s="104">
        <f>'Structural Information'!$U$10</f>
        <v>3</v>
      </c>
      <c r="F18" s="104">
        <f>'Structural Information'!$AC$6</f>
        <v>4.5</v>
      </c>
      <c r="G18" s="104">
        <v>0.5</v>
      </c>
      <c r="H18" s="104">
        <v>0.25</v>
      </c>
      <c r="I18" s="104">
        <v>0.25</v>
      </c>
      <c r="J18" s="234">
        <f t="shared" si="0"/>
        <v>3.2552083333333332E-4</v>
      </c>
      <c r="K18" s="104">
        <f t="shared" si="13"/>
        <v>4.25</v>
      </c>
      <c r="L18" s="104">
        <f t="shared" si="1"/>
        <v>2.5</v>
      </c>
      <c r="M18" s="104">
        <f t="shared" si="2"/>
        <v>4.9307707308290052</v>
      </c>
      <c r="N18" s="235">
        <f t="shared" si="14"/>
        <v>0.53172406725880561</v>
      </c>
      <c r="U18" s="775"/>
      <c r="V18" s="99">
        <v>3</v>
      </c>
      <c r="W18" s="99">
        <v>312</v>
      </c>
      <c r="X18" s="100">
        <f>1/((((COS(N18))^4)/'Structural Information'!$AH$29)+(((SIN(N18))^4)/'Structural Information'!$AH$30)+(((SIN(N18))^2)*((COS(N18))^2)*((1/'Structural Information'!$AH$31)-(2*'Structural Information'!$AL$31/'Structural Information'!$AH$30))))</f>
        <v>1492.8812750676027</v>
      </c>
      <c r="Y18" s="100">
        <f>((X18*('Structural Information'!$AL$29/1000)*SIN(2*N18))/(4*'Structural Information'!$AH$32*J18*L18))^(1/4)</f>
        <v>1.5504857878772818</v>
      </c>
      <c r="Z18" s="100">
        <f t="shared" si="3"/>
        <v>4.6514573636318453</v>
      </c>
      <c r="AA18" s="161">
        <f t="shared" si="4"/>
        <v>0.70699999999999996</v>
      </c>
      <c r="AB18" s="161">
        <f t="shared" si="5"/>
        <v>0.01</v>
      </c>
      <c r="AC18" s="100">
        <f t="shared" si="6"/>
        <v>0.79876204692072605</v>
      </c>
      <c r="AD18" s="237">
        <f>((0.6*'Structural Information'!$AJ$29)+(0.3*'Structural Information'!$AL$30))/(AC18/M18)</f>
        <v>1.3333714113794979</v>
      </c>
      <c r="AE18" s="100">
        <f>(((1.2*SIN(N18)+0.45*COS(N18))*'Structural Information'!$AJ$30)+(0.3*'Structural Information'!$AL$30))/(AC18/M18)</f>
        <v>1.8450425952026535</v>
      </c>
      <c r="AF18" s="100">
        <f>(1.12*'Structural Information'!$AJ$31*COS(N18)*SIN(N18))/((AA18*(Z18^(-0.12)))+(AB18*(Z18^(0.88))))</f>
        <v>2.7418487136841865</v>
      </c>
      <c r="AG18" s="100">
        <f>(1.16*'Structural Information'!$AJ$31*TAN(N18))/((AA18)+(AB18*Z18))</f>
        <v>3.1785169223354388</v>
      </c>
      <c r="AH18" s="236">
        <f t="shared" si="7"/>
        <v>1.3333714113794979</v>
      </c>
      <c r="AI18" s="100">
        <f>AH18*AC18*'Structural Information'!$AL$29</f>
        <v>319.51394335771954</v>
      </c>
      <c r="AJ18" s="100">
        <f t="shared" si="8"/>
        <v>255.61115468617564</v>
      </c>
      <c r="AK18" s="239">
        <f t="shared" si="9"/>
        <v>31.951394335771955</v>
      </c>
      <c r="AM18" s="775"/>
      <c r="AN18" s="99">
        <v>3</v>
      </c>
      <c r="AO18" s="99">
        <v>312</v>
      </c>
      <c r="AP18" s="236">
        <v>3</v>
      </c>
      <c r="AQ18" s="237">
        <f t="shared" si="10"/>
        <v>255.61115468617564</v>
      </c>
      <c r="AR18" s="174">
        <f t="shared" si="15"/>
        <v>8.0000000000000004E-4</v>
      </c>
      <c r="AS18" s="100">
        <f>AQ18/(AR18*(SQRT(($F$18^2)+($E$18^2))))</f>
        <v>59078.149025741252</v>
      </c>
      <c r="AT18" s="238">
        <f>AS18*((COS($N$18))^2)</f>
        <v>43890.964186219077</v>
      </c>
      <c r="AU18" s="237">
        <f t="shared" si="11"/>
        <v>319.51394335771954</v>
      </c>
      <c r="AV18" s="174">
        <f t="shared" si="16"/>
        <v>2.2000000000000001E-3</v>
      </c>
      <c r="AW18" s="100">
        <f>AU18/(AV18*(SQRT(($F$18^2)+($E$18^2))))</f>
        <v>26853.704102609659</v>
      </c>
      <c r="AX18" s="134">
        <f>(AU18-AQ18)/((AV18-AR18)*(SQRT(($F$18^2)+($E$18^2))))</f>
        <v>8439.7355751058913</v>
      </c>
      <c r="AY18" s="238">
        <f>AX18*((COS($N$18))^2)</f>
        <v>6270.1377408884373</v>
      </c>
      <c r="AZ18" s="237">
        <f t="shared" si="12"/>
        <v>31.951394335771955</v>
      </c>
      <c r="BA18" s="174">
        <f t="shared" si="17"/>
        <v>8.8999999999999999E-3</v>
      </c>
      <c r="BB18" s="100">
        <f t="shared" si="18"/>
        <v>-12331.343283582089</v>
      </c>
      <c r="BC18" s="239">
        <f t="shared" si="19"/>
        <v>-9161.3321566972318</v>
      </c>
      <c r="BE18" s="817"/>
      <c r="BF18" s="59">
        <v>3</v>
      </c>
      <c r="BG18" s="59">
        <v>7313</v>
      </c>
      <c r="BH18" s="59" t="s">
        <v>28</v>
      </c>
      <c r="BI18" s="209">
        <f>'Structural Information'!$U$9</f>
        <v>3</v>
      </c>
      <c r="BJ18" s="71">
        <f>('Structural Information'!$X$29)*(200)/$BI18</f>
        <v>53616.514621265807</v>
      </c>
      <c r="BK18" s="227">
        <f>'Structural Information'!$T$28*'Structural Information'!$T$29*(4700*SQRT('Structural Information'!$AC$18))/(BI18*1000)</f>
        <v>624233.61011723801</v>
      </c>
      <c r="BW18" s="675"/>
      <c r="BX18" s="276" t="s">
        <v>274</v>
      </c>
      <c r="BY18" s="277">
        <f>(BP15*BP15)/$BK$7</f>
        <v>1.0252571947861007E-6</v>
      </c>
      <c r="BZ18" s="277">
        <f>(BQ15*BQ15)/$BK$11</f>
        <v>1.0252571947861007E-6</v>
      </c>
      <c r="CA18" s="277">
        <f>(BR15*BR15)/$BK$15</f>
        <v>1.0252571947861007E-6</v>
      </c>
      <c r="CB18" s="277">
        <f>(BS15*BS15)/$BK$19</f>
        <v>1.0252571947861007E-6</v>
      </c>
      <c r="CC18" s="277">
        <f>(BT15*BT15)/$BK$23</f>
        <v>1.0252571947861007E-6</v>
      </c>
      <c r="CD18" s="278">
        <f>(BU15*BU15)/$BK$27</f>
        <v>5.4840909780908416E-7</v>
      </c>
      <c r="CF18" s="673"/>
      <c r="CG18" s="200">
        <v>3</v>
      </c>
      <c r="CH18" s="781"/>
      <c r="CI18" s="781"/>
      <c r="CJ18" s="784"/>
      <c r="CL18" s="46" t="s">
        <v>204</v>
      </c>
      <c r="CM18" s="70">
        <f>AQ16*COS($N16)+AQ17*COS($N17)+AQ18*COS($N18)</f>
        <v>528.76800000000003</v>
      </c>
      <c r="CN18" s="70">
        <f>AU16*COS($N16)+AU17*COS($N17)+AU18*COS($N18)</f>
        <v>660.95999999999992</v>
      </c>
      <c r="CO18" s="70">
        <f>AZ16*COS($N16)+AZ17*COS($N17)+AZ18*COS($N18)</f>
        <v>66.096000000000004</v>
      </c>
      <c r="CP18" s="486">
        <f>AZ16*COS($N16)+AZ17*COS($N17)+AZ18*COS($N18)</f>
        <v>66.096000000000004</v>
      </c>
      <c r="CQ18" s="489">
        <v>0</v>
      </c>
      <c r="CR18" s="46" t="s">
        <v>252</v>
      </c>
      <c r="CS18" s="70">
        <f>CH16</f>
        <v>97157.269440176635</v>
      </c>
      <c r="CT18" s="70">
        <f>CI16</f>
        <v>14824.106578496716</v>
      </c>
      <c r="CU18" s="70">
        <f>CJ16</f>
        <v>-24441.086972270215</v>
      </c>
      <c r="CV18" s="70">
        <v>0</v>
      </c>
      <c r="CW18" s="227">
        <f t="shared" si="28"/>
        <v>97157.269440176635</v>
      </c>
      <c r="CX18" s="46" t="s">
        <v>333</v>
      </c>
      <c r="CY18" s="61">
        <f>CM18/(CS18*'Structural Information'!$U$10)</f>
        <v>1.8141308521286454E-3</v>
      </c>
      <c r="CZ18" s="61">
        <f>CY18+(((1/CT18)*(CN18-CM18))/'Structural Information'!$U$10)</f>
        <v>4.7865865456081782E-3</v>
      </c>
      <c r="DA18" s="61">
        <f>CZ18+(((1/CU18)*(CO18-CN18))/'Structural Information'!$U$10)</f>
        <v>1.2899482679277225E-2</v>
      </c>
      <c r="DB18" s="61">
        <f t="shared" si="27"/>
        <v>0.08</v>
      </c>
      <c r="DC18" s="491">
        <v>0</v>
      </c>
      <c r="DD18" s="24"/>
    </row>
    <row r="19" spans="2:108" ht="16.5" thickBot="1" x14ac:dyDescent="0.3">
      <c r="B19" s="794">
        <v>1</v>
      </c>
      <c r="C19" s="202">
        <v>1</v>
      </c>
      <c r="D19" s="202">
        <v>111</v>
      </c>
      <c r="E19" s="203">
        <f>'Structural Information'!$U$11</f>
        <v>2.75</v>
      </c>
      <c r="F19" s="203">
        <f>'Structural Information'!$AC$8</f>
        <v>4.5</v>
      </c>
      <c r="G19" s="203">
        <v>0.5</v>
      </c>
      <c r="H19" s="203">
        <v>0.3</v>
      </c>
      <c r="I19" s="203">
        <v>0.3</v>
      </c>
      <c r="J19" s="244">
        <f t="shared" si="0"/>
        <v>6.7499999999999993E-4</v>
      </c>
      <c r="K19" s="203">
        <f t="shared" si="13"/>
        <v>4.2</v>
      </c>
      <c r="L19" s="203">
        <f t="shared" si="1"/>
        <v>2.25</v>
      </c>
      <c r="M19" s="203">
        <f t="shared" si="2"/>
        <v>4.7647140522805778</v>
      </c>
      <c r="N19" s="204">
        <f t="shared" si="14"/>
        <v>0.49180917598869855</v>
      </c>
      <c r="U19" s="772">
        <v>1</v>
      </c>
      <c r="V19" s="499">
        <v>1</v>
      </c>
      <c r="W19" s="499">
        <v>111</v>
      </c>
      <c r="X19" s="60">
        <f>1/((((COS(N19))^4)/'Structural Information'!$AH$29)+(((SIN(N19))^4)/'Structural Information'!$AH$30)+(((SIN(N19))^2)*((COS(N19))^2)*((1/'Structural Information'!$AH$31)-(2*'Structural Information'!$AL$31/'Structural Information'!$AH$30))))</f>
        <v>1423.2027902620409</v>
      </c>
      <c r="Y19" s="60">
        <f>((X19*('Structural Information'!$AL$29/1000)*SIN(2*N19))/(4*'Structural Information'!$AH$32*J19*L19))^(1/4)</f>
        <v>1.2949440256103686</v>
      </c>
      <c r="Z19" s="60">
        <f t="shared" si="3"/>
        <v>3.5610960704285137</v>
      </c>
      <c r="AA19" s="284">
        <f t="shared" si="4"/>
        <v>0.70699999999999996</v>
      </c>
      <c r="AB19" s="284">
        <f t="shared" si="5"/>
        <v>0.01</v>
      </c>
      <c r="AC19" s="60">
        <f t="shared" si="6"/>
        <v>0.99360669015017977</v>
      </c>
      <c r="AD19" s="500">
        <f>((0.6*'Structural Information'!$AJ$29)+(0.3*'Structural Information'!$AL$30))/(AC19/M19)</f>
        <v>1.0358004283737747</v>
      </c>
      <c r="AE19" s="60">
        <f>(((1.2*SIN(N19)+0.45*COS(N19))*'Structural Information'!$AJ$30)+(0.3*'Structural Information'!$AL$30))/(AC19/M19)</f>
        <v>1.3858602338837633</v>
      </c>
      <c r="AF19" s="60">
        <f>(1.12*'Structural Information'!$AJ$31*COS(N19)*SIN(N19))/((AA19*(Z19^(-0.12)))+(AB19*(Z19^(0.88))))</f>
        <v>2.5663267517666948</v>
      </c>
      <c r="AG19" s="60">
        <f>(1.16*'Structural Information'!$AJ$31*TAN(N19))/((AA19)+(AB19*Z19))</f>
        <v>2.937223393047744</v>
      </c>
      <c r="AH19" s="501">
        <f t="shared" si="7"/>
        <v>1.0358004283737747</v>
      </c>
      <c r="AI19" s="60">
        <f>AH19*AC19*'Structural Information'!$AL$29</f>
        <v>308.75347058778141</v>
      </c>
      <c r="AJ19" s="60">
        <f t="shared" si="8"/>
        <v>247.00277647022514</v>
      </c>
      <c r="AK19" s="128">
        <f t="shared" si="9"/>
        <v>30.875347058778143</v>
      </c>
      <c r="AL19" s="53"/>
      <c r="AM19" s="772">
        <v>1</v>
      </c>
      <c r="AN19" s="59">
        <v>1</v>
      </c>
      <c r="AO19" s="59">
        <v>111</v>
      </c>
      <c r="AP19" s="479">
        <v>2.75</v>
      </c>
      <c r="AQ19" s="478">
        <f t="shared" si="10"/>
        <v>247.00277647022514</v>
      </c>
      <c r="AR19" s="61">
        <f t="shared" si="15"/>
        <v>8.0000000000000004E-4</v>
      </c>
      <c r="AS19" s="60">
        <f>AQ19/(AR19*(SQRT(($F$19^2)+($E$19^2))))</f>
        <v>58545.272784344066</v>
      </c>
      <c r="AT19" s="226">
        <f>AS19*((COS($N$19))^2)</f>
        <v>45490.083114891728</v>
      </c>
      <c r="AU19" s="478">
        <f t="shared" si="11"/>
        <v>308.75347058778141</v>
      </c>
      <c r="AV19" s="61">
        <f t="shared" si="16"/>
        <v>2.2000000000000001E-3</v>
      </c>
      <c r="AW19" s="60">
        <f>AU19/(AV19*(SQRT(($F$19^2)+($E$19^2))))</f>
        <v>26611.487629247302</v>
      </c>
      <c r="AX19" s="137">
        <f>(AU19-AQ19)/((AV19-AR19)*(SQRT(($F$19^2)+($E$19^2))))</f>
        <v>8363.6103977634339</v>
      </c>
      <c r="AY19" s="226">
        <f>AX19*((COS($N$19))^2)</f>
        <v>6498.5833021273866</v>
      </c>
      <c r="AZ19" s="478">
        <f t="shared" si="12"/>
        <v>30.875347058778143</v>
      </c>
      <c r="BA19" s="61">
        <f t="shared" si="17"/>
        <v>8.8999999999999999E-3</v>
      </c>
      <c r="BB19" s="60">
        <f t="shared" si="18"/>
        <v>-12999.330383364188</v>
      </c>
      <c r="BC19" s="128">
        <f t="shared" si="19"/>
        <v>-9657.6002076921595</v>
      </c>
      <c r="BE19" s="818"/>
      <c r="BF19" s="99">
        <v>4</v>
      </c>
      <c r="BG19" s="99">
        <v>7413</v>
      </c>
      <c r="BH19" s="99" t="s">
        <v>27</v>
      </c>
      <c r="BI19" s="81">
        <f>'Structural Information'!$U$9</f>
        <v>3</v>
      </c>
      <c r="BJ19" s="267">
        <f>('Structural Information'!$X$24)*(200)/$BI19</f>
        <v>53616.514621265807</v>
      </c>
      <c r="BK19" s="248">
        <f>'Structural Information'!$T$23*'Structural Information'!$T$24*(4700*SQRT('Structural Information'!$AC$18))/(BI19*1000)</f>
        <v>433495.56258141535</v>
      </c>
      <c r="CF19" s="643">
        <v>1</v>
      </c>
      <c r="CG19" s="231">
        <v>1</v>
      </c>
      <c r="CH19" s="780">
        <f>1/(CD5+CD4)+1/(CD10+CD9)+1/(CD15+CD14)</f>
        <v>104801.84736419223</v>
      </c>
      <c r="CI19" s="780">
        <f>1/(CD6+CD4)+1/(CD11+CD9)+1/(CD16+CD14)</f>
        <v>15220.06630198633</v>
      </c>
      <c r="CJ19" s="783">
        <f>1/(CD7+CD4)+1/(CD12+CD9)+1/(CD17+CD14)</f>
        <v>-24917.302672785183</v>
      </c>
      <c r="CL19" s="51" t="s">
        <v>205</v>
      </c>
      <c r="CM19" s="474">
        <f>AQ19*COS($N19)+AQ20*COS($N20)+AQ21*COS($N21)</f>
        <v>513.21600000000012</v>
      </c>
      <c r="CN19" s="474">
        <f>AU19*COS($N19)+AU20*COS($N20)+AU21*COS($N21)</f>
        <v>641.5200000000001</v>
      </c>
      <c r="CO19" s="474">
        <f>AZ19*COS($N19)+AZ20*COS($N20)+AZ21*COS($N21)</f>
        <v>64.152000000000015</v>
      </c>
      <c r="CP19" s="279">
        <f>AZ19*COS($N19)+AZ20*COS($N20)+AZ21*COS($N21)</f>
        <v>64.152000000000015</v>
      </c>
      <c r="CQ19" s="490">
        <v>618.89103792264314</v>
      </c>
      <c r="CR19" s="51" t="s">
        <v>253</v>
      </c>
      <c r="CS19" s="474">
        <f>CH19</f>
        <v>104801.84736419223</v>
      </c>
      <c r="CT19" s="474">
        <f>CI19</f>
        <v>15220.06630198633</v>
      </c>
      <c r="CU19" s="474">
        <f>CJ19</f>
        <v>-24917.302672785183</v>
      </c>
      <c r="CV19" s="474">
        <v>0</v>
      </c>
      <c r="CW19" s="286">
        <f>CS19</f>
        <v>104801.84736419223</v>
      </c>
      <c r="CX19" s="51" t="s">
        <v>332</v>
      </c>
      <c r="CY19" s="75">
        <f>CM19/(CS19*'Structural Information'!$U$11)</f>
        <v>1.780731968888595E-3</v>
      </c>
      <c r="CZ19" s="75">
        <f>CY19+(((1/CT19)*(CN19-CM19))/'Structural Information'!$U$11)</f>
        <v>4.8461588254004508E-3</v>
      </c>
      <c r="DA19" s="75">
        <f>CZ19+(((1/CU19)*(CO19-CN19))/'Structural Information'!$U$11)</f>
        <v>1.3272110974278538E-2</v>
      </c>
      <c r="DB19" s="75">
        <f t="shared" si="27"/>
        <v>0.08</v>
      </c>
      <c r="DC19" s="492">
        <v>4.3055098348240197E-3</v>
      </c>
    </row>
    <row r="20" spans="2:108" ht="16.5" thickBot="1" x14ac:dyDescent="0.3">
      <c r="B20" s="795"/>
      <c r="C20" s="67">
        <v>2</v>
      </c>
      <c r="D20" s="67">
        <v>211</v>
      </c>
      <c r="E20" s="68">
        <f>'Structural Information'!$U$11</f>
        <v>2.75</v>
      </c>
      <c r="F20" s="68">
        <f>'Structural Information'!$AC$7</f>
        <v>2</v>
      </c>
      <c r="G20" s="68">
        <v>0.5</v>
      </c>
      <c r="H20" s="68">
        <v>0.5</v>
      </c>
      <c r="I20" s="68">
        <v>0.35</v>
      </c>
      <c r="J20" s="223">
        <f t="shared" si="0"/>
        <v>3.645833333333333E-3</v>
      </c>
      <c r="K20" s="68">
        <f t="shared" si="13"/>
        <v>1.5</v>
      </c>
      <c r="L20" s="68">
        <f t="shared" si="1"/>
        <v>2.25</v>
      </c>
      <c r="M20" s="68">
        <f t="shared" si="2"/>
        <v>2.7041634565979922</v>
      </c>
      <c r="N20" s="222">
        <f t="shared" si="14"/>
        <v>0.98279372324732905</v>
      </c>
      <c r="U20" s="772"/>
      <c r="V20" s="499">
        <v>2</v>
      </c>
      <c r="W20" s="499">
        <v>211</v>
      </c>
      <c r="X20" s="60">
        <f>1/((((COS(N20))^4)/'Structural Information'!$AH$29)+(((SIN(N20))^4)/'Structural Information'!$AH$30)+(((SIN(N20))^2)*((COS(N20))^2)*((1/'Structural Information'!$AH$31)-(2*'Structural Information'!$AL$31/'Structural Information'!$AH$30))))</f>
        <v>2658.4269662921347</v>
      </c>
      <c r="Y20" s="60">
        <f>((X20*('Structural Information'!$AL$29/1000)*SIN(2*N20))/(4*'Structural Information'!$AH$32*J20*L20))^(1/4)</f>
        <v>1.0190128648661212</v>
      </c>
      <c r="Z20" s="60">
        <f t="shared" si="3"/>
        <v>2.8022853783818333</v>
      </c>
      <c r="AA20" s="284">
        <f t="shared" si="4"/>
        <v>1.3</v>
      </c>
      <c r="AB20" s="284">
        <f t="shared" si="5"/>
        <v>-0.17799999999999999</v>
      </c>
      <c r="AC20" s="60">
        <f t="shared" si="6"/>
        <v>0.77313945145964802</v>
      </c>
      <c r="AD20" s="500">
        <f>((0.6*'Structural Information'!$AJ$29)+(0.3*'Structural Information'!$AL$30))/(AC20/M20)</f>
        <v>0.75549023597543308</v>
      </c>
      <c r="AE20" s="60">
        <f>(((1.2*SIN(N20)+0.45*COS(N20))*'Structural Information'!$AJ$30)+(0.3*'Structural Information'!$AL$30))/(AC20/M20)</f>
        <v>1.3095955691931791</v>
      </c>
      <c r="AF20" s="60">
        <f>(1.12*'Structural Information'!$AJ$31*COS(N20)*SIN(N20))/((AA20*(Z20^(-0.12)))+(AB20*(Z20^(0.88))))</f>
        <v>2.5626970232772552</v>
      </c>
      <c r="AG20" s="60">
        <f>(1.16*'Structural Information'!$AJ$31*TAN(N20))/((AA20)+(AB20*Z20))</f>
        <v>7.6228804485788872</v>
      </c>
      <c r="AH20" s="501">
        <f t="shared" si="7"/>
        <v>0.75549023597543308</v>
      </c>
      <c r="AI20" s="60">
        <f>AH20*AC20*'Structural Information'!$AL$29</f>
        <v>175.22979198754993</v>
      </c>
      <c r="AJ20" s="60">
        <f t="shared" si="8"/>
        <v>140.18383359003994</v>
      </c>
      <c r="AK20" s="128">
        <f t="shared" si="9"/>
        <v>17.522979198754992</v>
      </c>
      <c r="AL20" s="53"/>
      <c r="AM20" s="772"/>
      <c r="AN20" s="59">
        <v>2</v>
      </c>
      <c r="AO20" s="59">
        <v>211</v>
      </c>
      <c r="AP20" s="479">
        <v>2.75</v>
      </c>
      <c r="AQ20" s="478">
        <f t="shared" si="10"/>
        <v>140.18383359003994</v>
      </c>
      <c r="AR20" s="61">
        <f t="shared" si="15"/>
        <v>8.0000000000000004E-4</v>
      </c>
      <c r="AS20" s="60">
        <f>AQ20/(AR20*(SQRT(($F$20^2)+($E$20^2))))</f>
        <v>51532.602118281218</v>
      </c>
      <c r="AT20" s="226">
        <f>AS20*((COS($N$20))^2)</f>
        <v>15856.185267163453</v>
      </c>
      <c r="AU20" s="478">
        <f t="shared" si="11"/>
        <v>175.22979198754993</v>
      </c>
      <c r="AV20" s="61">
        <f t="shared" si="16"/>
        <v>2.2000000000000001E-3</v>
      </c>
      <c r="AW20" s="60">
        <f>AU20/(AV20*(SQRT(($F$20^2)+($E$20^2))))</f>
        <v>23423.91005376419</v>
      </c>
      <c r="AX20" s="137">
        <f>(AU20-AQ20)/((AV20-AR20)*(SQRT(($F$20^2)+($E$20^2))))</f>
        <v>7361.8003026116039</v>
      </c>
      <c r="AY20" s="226">
        <f>AX20*((COS($N$20))^2)</f>
        <v>2265.1693238804937</v>
      </c>
      <c r="AZ20" s="478">
        <f t="shared" si="12"/>
        <v>17.522979198754992</v>
      </c>
      <c r="BA20" s="61">
        <f t="shared" si="17"/>
        <v>8.8999999999999999E-3</v>
      </c>
      <c r="BB20" s="60">
        <f t="shared" si="18"/>
        <v>-7377.6335362900008</v>
      </c>
      <c r="BC20" s="128">
        <f t="shared" si="19"/>
        <v>-5481.0696452128786</v>
      </c>
      <c r="BE20" s="816">
        <v>2</v>
      </c>
      <c r="BF20" s="93">
        <v>1</v>
      </c>
      <c r="BG20" s="93">
        <v>7112</v>
      </c>
      <c r="BH20" s="93" t="s">
        <v>27</v>
      </c>
      <c r="BI20" s="209">
        <f>'Structural Information'!$U$10</f>
        <v>3</v>
      </c>
      <c r="BJ20" s="253">
        <f>('Structural Information'!$X$24)*(200)/$BI20</f>
        <v>53616.514621265807</v>
      </c>
      <c r="BK20" s="211">
        <f>'Structural Information'!$T$23*'Structural Information'!$T$24*(4700*SQRT('Structural Information'!$AC$18))/(BI20*1000)</f>
        <v>433495.56258141535</v>
      </c>
      <c r="BX20" s="217"/>
      <c r="BY20" s="84"/>
      <c r="BZ20" s="84"/>
      <c r="CA20" s="84"/>
      <c r="CB20" s="84"/>
      <c r="CC20" s="84"/>
      <c r="CD20" s="84"/>
      <c r="CF20" s="673"/>
      <c r="CG20" s="231">
        <v>2</v>
      </c>
      <c r="CH20" s="780"/>
      <c r="CI20" s="780"/>
      <c r="CJ20" s="783"/>
      <c r="CL20" s="56"/>
      <c r="CM20" s="56"/>
      <c r="CN20" s="56"/>
      <c r="CO20" s="56"/>
      <c r="CP20" s="487"/>
      <c r="CQ20" s="487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</row>
    <row r="21" spans="2:108" ht="16.5" thickBot="1" x14ac:dyDescent="0.3">
      <c r="B21" s="796"/>
      <c r="C21" s="233">
        <v>3</v>
      </c>
      <c r="D21" s="233">
        <v>311</v>
      </c>
      <c r="E21" s="104">
        <f>'Structural Information'!$U$11</f>
        <v>2.75</v>
      </c>
      <c r="F21" s="104">
        <f>'Structural Information'!$AC$6</f>
        <v>4.5</v>
      </c>
      <c r="G21" s="104">
        <v>0.5</v>
      </c>
      <c r="H21" s="104">
        <v>0.3</v>
      </c>
      <c r="I21" s="104">
        <v>0.3</v>
      </c>
      <c r="J21" s="234">
        <f t="shared" si="0"/>
        <v>6.7499999999999993E-4</v>
      </c>
      <c r="K21" s="104">
        <f t="shared" si="13"/>
        <v>4.2</v>
      </c>
      <c r="L21" s="104">
        <f t="shared" si="1"/>
        <v>2.25</v>
      </c>
      <c r="M21" s="104">
        <f t="shared" si="2"/>
        <v>4.7647140522805778</v>
      </c>
      <c r="N21" s="235">
        <f t="shared" si="14"/>
        <v>0.49180917598869855</v>
      </c>
      <c r="U21" s="773"/>
      <c r="V21" s="121">
        <v>3</v>
      </c>
      <c r="W21" s="121">
        <v>311</v>
      </c>
      <c r="X21" s="30">
        <f>1/((((COS(N21))^4)/'Structural Information'!$AH$29)+(((SIN(N21))^4)/'Structural Information'!$AH$30)+(((SIN(N21))^2)*((COS(N21))^2)*((1/'Structural Information'!$AH$31)-(2*'Structural Information'!$AL$31/'Structural Information'!$AH$30))))</f>
        <v>1423.2027902620409</v>
      </c>
      <c r="Y21" s="30">
        <f>((X21*('Structural Information'!$AL$29/1000)*SIN(2*N21))/(4*'Structural Information'!$AH$32*J21*L21))^(1/4)</f>
        <v>1.2949440256103686</v>
      </c>
      <c r="Z21" s="30">
        <f t="shared" si="3"/>
        <v>3.5610960704285137</v>
      </c>
      <c r="AA21" s="167">
        <f t="shared" si="4"/>
        <v>0.70699999999999996</v>
      </c>
      <c r="AB21" s="167">
        <f t="shared" si="5"/>
        <v>0.01</v>
      </c>
      <c r="AC21" s="30">
        <f t="shared" si="6"/>
        <v>0.99360669015017977</v>
      </c>
      <c r="AD21" s="31">
        <f>((0.6*'Structural Information'!$AJ$29)+(0.3*'Structural Information'!$AL$30))/(AC21/M21)</f>
        <v>1.0358004283737747</v>
      </c>
      <c r="AE21" s="30">
        <f>(((1.2*SIN(N21)+0.45*COS(N21))*'Structural Information'!$AJ$30)+(0.3*'Structural Information'!$AL$30))/(AC21/M21)</f>
        <v>1.3858602338837633</v>
      </c>
      <c r="AF21" s="30">
        <f>(1.12*'Structural Information'!$AJ$31*COS(N21)*SIN(N21))/((AA21*(Z21^(-0.12)))+(AB21*(Z21^(0.88))))</f>
        <v>2.5663267517666948</v>
      </c>
      <c r="AG21" s="30">
        <f>(1.16*'Structural Information'!$AJ$31*TAN(N21))/((AA21)+(AB21*Z21))</f>
        <v>2.937223393047744</v>
      </c>
      <c r="AH21" s="280">
        <f t="shared" si="7"/>
        <v>1.0358004283737747</v>
      </c>
      <c r="AI21" s="30">
        <f>AH21*AC21*'Structural Information'!$AL$29</f>
        <v>308.75347058778141</v>
      </c>
      <c r="AJ21" s="30">
        <f t="shared" si="8"/>
        <v>247.00277647022514</v>
      </c>
      <c r="AK21" s="136">
        <f t="shared" si="9"/>
        <v>30.875347058778143</v>
      </c>
      <c r="AL21" s="53"/>
      <c r="AM21" s="773"/>
      <c r="AN21" s="121">
        <v>3</v>
      </c>
      <c r="AO21" s="121">
        <v>311</v>
      </c>
      <c r="AP21" s="280">
        <v>2.75</v>
      </c>
      <c r="AQ21" s="31">
        <f t="shared" si="10"/>
        <v>247.00277647022514</v>
      </c>
      <c r="AR21" s="75">
        <f t="shared" si="15"/>
        <v>8.0000000000000004E-4</v>
      </c>
      <c r="AS21" s="30">
        <f>AQ21/(AR21*(SQRT(($F$21^2)+($E$21^2))))</f>
        <v>58545.272784344066</v>
      </c>
      <c r="AT21" s="281">
        <f>AS21*((COS($N$21))^2)</f>
        <v>45490.083114891728</v>
      </c>
      <c r="AU21" s="31">
        <f t="shared" si="11"/>
        <v>308.75347058778141</v>
      </c>
      <c r="AV21" s="75">
        <f t="shared" si="16"/>
        <v>2.2000000000000001E-3</v>
      </c>
      <c r="AW21" s="30">
        <f>AU21/(AV21*(SQRT(($F$21^2)+($E$21^2))))</f>
        <v>26611.487629247302</v>
      </c>
      <c r="AX21" s="35">
        <f>(AU21-AQ21)/((AV21-AR21)*(SQRT(($F$21^2)+($E$21^2))))</f>
        <v>8363.6103977634339</v>
      </c>
      <c r="AY21" s="281">
        <f>AX21*((COS($N$21))^2)</f>
        <v>6498.5833021273866</v>
      </c>
      <c r="AZ21" s="31">
        <f t="shared" si="12"/>
        <v>30.875347058778143</v>
      </c>
      <c r="BA21" s="75">
        <f t="shared" si="17"/>
        <v>8.8999999999999999E-3</v>
      </c>
      <c r="BB21" s="30">
        <f t="shared" si="18"/>
        <v>-12999.330383364188</v>
      </c>
      <c r="BC21" s="136">
        <f t="shared" si="19"/>
        <v>-9657.6002076921595</v>
      </c>
      <c r="BE21" s="817"/>
      <c r="BF21" s="59">
        <v>2</v>
      </c>
      <c r="BG21" s="59">
        <v>7212</v>
      </c>
      <c r="BH21" s="59" t="s">
        <v>28</v>
      </c>
      <c r="BI21" s="209">
        <f>'Structural Information'!$U$10</f>
        <v>3</v>
      </c>
      <c r="BJ21" s="71">
        <f>('Structural Information'!$X$29)*(200)/$BI21</f>
        <v>53616.514621265807</v>
      </c>
      <c r="BK21" s="227">
        <f>'Structural Information'!$T$28*'Structural Information'!$T$29*(4700*SQRT('Structural Information'!$AC$18))/(BI21*1000)</f>
        <v>624233.61011723801</v>
      </c>
      <c r="BX21" s="84"/>
      <c r="BY21" s="84"/>
      <c r="BZ21" s="84"/>
      <c r="CA21" s="84"/>
      <c r="CB21" s="84"/>
      <c r="CC21" s="84"/>
      <c r="CD21" s="158"/>
      <c r="CF21" s="675"/>
      <c r="CG21" s="282">
        <v>3</v>
      </c>
      <c r="CH21" s="785"/>
      <c r="CI21" s="785"/>
      <c r="CJ21" s="78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629" t="s">
        <v>331</v>
      </c>
      <c r="CY21" s="630"/>
      <c r="CZ21" s="630"/>
      <c r="DA21" s="630"/>
      <c r="DB21" s="631"/>
      <c r="DC21" s="483"/>
    </row>
    <row r="22" spans="2:108" x14ac:dyDescent="0.25">
      <c r="B22" s="59"/>
      <c r="C22" s="59"/>
      <c r="D22" s="59"/>
      <c r="E22" s="60"/>
      <c r="F22" s="60"/>
      <c r="G22" s="60"/>
      <c r="H22" s="60"/>
      <c r="I22" s="60"/>
      <c r="J22" s="283"/>
      <c r="K22" s="60"/>
      <c r="L22" s="60"/>
      <c r="M22" s="60"/>
      <c r="N22" s="60"/>
      <c r="U22" s="59"/>
      <c r="V22" s="59"/>
      <c r="W22" s="59"/>
      <c r="X22" s="60"/>
      <c r="Y22" s="60"/>
      <c r="Z22" s="60"/>
      <c r="AA22" s="284"/>
      <c r="AB22" s="284"/>
      <c r="AC22" s="60"/>
      <c r="AD22" s="60"/>
      <c r="AE22" s="60"/>
      <c r="AF22" s="60"/>
      <c r="AG22" s="60"/>
      <c r="AH22" s="60"/>
      <c r="AI22" s="60"/>
      <c r="AJ22" s="60"/>
      <c r="AK22" s="60"/>
      <c r="AL22" s="53"/>
      <c r="AM22" s="59"/>
      <c r="AN22" s="59"/>
      <c r="AO22" s="59"/>
      <c r="AP22" s="60"/>
      <c r="AQ22" s="60"/>
      <c r="AR22" s="61"/>
      <c r="AS22" s="285"/>
      <c r="AT22" s="60"/>
      <c r="AU22" s="60"/>
      <c r="AV22" s="61"/>
      <c r="AW22" s="61"/>
      <c r="AX22" s="285"/>
      <c r="AY22" s="60"/>
      <c r="AZ22" s="60"/>
      <c r="BA22" s="61"/>
      <c r="BB22" s="61"/>
      <c r="BC22" s="60"/>
      <c r="BE22" s="817"/>
      <c r="BF22" s="59">
        <v>3</v>
      </c>
      <c r="BG22" s="59">
        <v>7312</v>
      </c>
      <c r="BH22" s="59" t="s">
        <v>28</v>
      </c>
      <c r="BI22" s="209">
        <f>'Structural Information'!$U$10</f>
        <v>3</v>
      </c>
      <c r="BJ22" s="71">
        <f>('Structural Information'!$X$29)*(200)/$BI22</f>
        <v>53616.514621265807</v>
      </c>
      <c r="BK22" s="227">
        <f>'Structural Information'!$T$28*'Structural Information'!$T$29*(4700*SQRT('Structural Information'!$AC$18))/(BI22*1000)</f>
        <v>624233.61011723801</v>
      </c>
      <c r="BX22" s="84"/>
      <c r="BY22" s="84"/>
      <c r="BZ22" s="84"/>
      <c r="CA22" s="84"/>
      <c r="CB22" s="84"/>
      <c r="CC22" s="84"/>
      <c r="CD22" s="158"/>
      <c r="CF22" s="57"/>
      <c r="CG22" s="59"/>
      <c r="CH22" s="60"/>
      <c r="CI22" s="60"/>
      <c r="CJ22" s="60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654" t="s">
        <v>329</v>
      </c>
      <c r="CY22" s="634" t="s">
        <v>212</v>
      </c>
      <c r="CZ22" s="636" t="s">
        <v>213</v>
      </c>
      <c r="DA22" s="636" t="s">
        <v>214</v>
      </c>
      <c r="DB22" s="632" t="s">
        <v>215</v>
      </c>
      <c r="DC22" s="484"/>
    </row>
    <row r="23" spans="2:108" x14ac:dyDescent="0.25">
      <c r="B23" s="59"/>
      <c r="C23" s="59"/>
      <c r="D23" s="59"/>
      <c r="E23" s="60"/>
      <c r="F23" s="60"/>
      <c r="G23" s="60"/>
      <c r="H23" s="60"/>
      <c r="I23" s="60"/>
      <c r="J23" s="283"/>
      <c r="K23" s="60"/>
      <c r="L23" s="60"/>
      <c r="M23" s="60"/>
      <c r="N23" s="60"/>
      <c r="U23" s="59"/>
      <c r="V23" s="59"/>
      <c r="W23" s="59"/>
      <c r="X23" s="60"/>
      <c r="Y23" s="60"/>
      <c r="Z23" s="60"/>
      <c r="AA23" s="284"/>
      <c r="AB23" s="284"/>
      <c r="AC23" s="60"/>
      <c r="AD23" s="60"/>
      <c r="AE23" s="60"/>
      <c r="AF23" s="60"/>
      <c r="AG23" s="60"/>
      <c r="AH23" s="60"/>
      <c r="AI23" s="60"/>
      <c r="AJ23" s="60"/>
      <c r="AK23" s="60"/>
      <c r="AL23" s="53"/>
      <c r="AM23" s="59"/>
      <c r="AN23" s="59"/>
      <c r="AO23" s="59"/>
      <c r="AP23" s="60"/>
      <c r="AQ23" s="60"/>
      <c r="AR23" s="61"/>
      <c r="AS23" s="285"/>
      <c r="AT23" s="60"/>
      <c r="AU23" s="60"/>
      <c r="AV23" s="61"/>
      <c r="AW23" s="61"/>
      <c r="AX23" s="285"/>
      <c r="AY23" s="60"/>
      <c r="AZ23" s="60"/>
      <c r="BA23" s="61"/>
      <c r="BB23" s="61"/>
      <c r="BC23" s="60"/>
      <c r="BE23" s="818"/>
      <c r="BF23" s="99">
        <v>4</v>
      </c>
      <c r="BG23" s="99">
        <v>7412</v>
      </c>
      <c r="BH23" s="99" t="s">
        <v>27</v>
      </c>
      <c r="BI23" s="209">
        <f>'Structural Information'!$U$10</f>
        <v>3</v>
      </c>
      <c r="BJ23" s="267">
        <f>('Structural Information'!$X$24)*(200)/$BI23</f>
        <v>53616.514621265807</v>
      </c>
      <c r="BK23" s="248">
        <f>'Structural Information'!$T$23*'Structural Information'!$T$24*(4700*SQRT('Structural Information'!$AC$18))/(BI23*1000)</f>
        <v>433495.56258141535</v>
      </c>
      <c r="BX23" s="84"/>
      <c r="BY23" s="84"/>
      <c r="BZ23" s="84"/>
      <c r="CA23" s="84"/>
      <c r="CB23" s="84"/>
      <c r="CC23" s="84"/>
      <c r="CD23" s="158"/>
      <c r="CF23" s="57"/>
      <c r="CG23" s="59"/>
      <c r="CH23" s="60"/>
      <c r="CI23" s="60"/>
      <c r="CJ23" s="60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655"/>
      <c r="CY23" s="635"/>
      <c r="CZ23" s="578"/>
      <c r="DA23" s="578"/>
      <c r="DB23" s="633"/>
      <c r="DC23" s="484"/>
    </row>
    <row r="24" spans="2:108" x14ac:dyDescent="0.25">
      <c r="B24" s="59"/>
      <c r="C24" s="59"/>
      <c r="D24" s="59"/>
      <c r="E24" s="60"/>
      <c r="F24" s="60"/>
      <c r="G24" s="60"/>
      <c r="H24" s="60"/>
      <c r="I24" s="60"/>
      <c r="J24" s="283"/>
      <c r="K24" s="60"/>
      <c r="L24" s="60"/>
      <c r="M24" s="60"/>
      <c r="N24" s="60"/>
      <c r="U24" s="59"/>
      <c r="V24" s="59"/>
      <c r="W24" s="59"/>
      <c r="X24" s="60"/>
      <c r="Y24" s="60"/>
      <c r="Z24" s="60"/>
      <c r="AA24" s="284"/>
      <c r="AB24" s="284"/>
      <c r="AC24" s="60"/>
      <c r="AD24" s="60"/>
      <c r="AE24" s="60"/>
      <c r="AF24" s="60"/>
      <c r="AG24" s="60"/>
      <c r="AH24" s="60"/>
      <c r="AI24" s="60"/>
      <c r="AJ24" s="60"/>
      <c r="AK24" s="60"/>
      <c r="AL24" s="53"/>
      <c r="AM24" s="59"/>
      <c r="AN24" s="59"/>
      <c r="AO24" s="59"/>
      <c r="AP24" s="60"/>
      <c r="AQ24" s="60"/>
      <c r="AR24" s="61"/>
      <c r="AS24" s="285"/>
      <c r="AT24" s="60"/>
      <c r="AU24" s="60"/>
      <c r="AV24" s="61"/>
      <c r="AW24" s="61"/>
      <c r="AX24" s="285"/>
      <c r="AY24" s="60"/>
      <c r="AZ24" s="60"/>
      <c r="BA24" s="61"/>
      <c r="BB24" s="61"/>
      <c r="BC24" s="60"/>
      <c r="BE24" s="816">
        <v>1</v>
      </c>
      <c r="BF24" s="93">
        <v>1</v>
      </c>
      <c r="BG24" s="93">
        <v>7111</v>
      </c>
      <c r="BH24" s="93" t="s">
        <v>28</v>
      </c>
      <c r="BI24" s="252">
        <f>'Structural Information'!$U$11</f>
        <v>2.75</v>
      </c>
      <c r="BJ24" s="253">
        <f>('Structural Information'!$X$29)*(200)/$BI24</f>
        <v>58490.743223199061</v>
      </c>
      <c r="BK24" s="211">
        <f>'Structural Information'!$T$28*'Structural Information'!$T$29*(4700*SQRT('Structural Information'!$AC$18))/(BI24*1000)</f>
        <v>680982.12012789608</v>
      </c>
      <c r="BX24" s="84"/>
      <c r="BY24" s="84"/>
      <c r="BZ24" s="84"/>
      <c r="CA24" s="84"/>
      <c r="CB24" s="84"/>
      <c r="CC24" s="84"/>
      <c r="CD24" s="158"/>
      <c r="CF24" s="57"/>
      <c r="CG24" s="59"/>
      <c r="CH24" s="60"/>
      <c r="CI24" s="60"/>
      <c r="CJ24" s="60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46" t="s">
        <v>445</v>
      </c>
      <c r="CY24" s="60">
        <f t="shared" ref="CY24:DB29" si="29">CY14/$CY14</f>
        <v>1</v>
      </c>
      <c r="CZ24" s="60">
        <f t="shared" si="29"/>
        <v>2.0703609888911223</v>
      </c>
      <c r="DA24" s="60">
        <f t="shared" si="29"/>
        <v>4.2495451944449618</v>
      </c>
      <c r="DB24" s="128">
        <f t="shared" si="29"/>
        <v>26.139201294058804</v>
      </c>
      <c r="DC24" s="60"/>
    </row>
    <row r="25" spans="2:108" x14ac:dyDescent="0.25">
      <c r="B25" s="59"/>
      <c r="C25" s="59"/>
      <c r="D25" s="59"/>
      <c r="E25" s="60"/>
      <c r="F25" s="60"/>
      <c r="G25" s="60"/>
      <c r="H25" s="60"/>
      <c r="I25" s="60"/>
      <c r="J25" s="283"/>
      <c r="K25" s="60"/>
      <c r="L25" s="60"/>
      <c r="M25" s="60"/>
      <c r="N25" s="60"/>
      <c r="U25" s="59"/>
      <c r="V25" s="59"/>
      <c r="W25" s="59"/>
      <c r="X25" s="60"/>
      <c r="Y25" s="60"/>
      <c r="Z25" s="60"/>
      <c r="AA25" s="284"/>
      <c r="AB25" s="284"/>
      <c r="AC25" s="60"/>
      <c r="AD25" s="60"/>
      <c r="AE25" s="60"/>
      <c r="AF25" s="60"/>
      <c r="AG25" s="60"/>
      <c r="AH25" s="60"/>
      <c r="AI25" s="60"/>
      <c r="AJ25" s="60"/>
      <c r="AK25" s="60"/>
      <c r="AL25" s="53"/>
      <c r="AM25" s="59"/>
      <c r="AN25" s="59"/>
      <c r="AO25" s="59"/>
      <c r="AP25" s="60"/>
      <c r="AQ25" s="60"/>
      <c r="AR25" s="61"/>
      <c r="AS25" s="285"/>
      <c r="AT25" s="60"/>
      <c r="AU25" s="60"/>
      <c r="AV25" s="61"/>
      <c r="AW25" s="61"/>
      <c r="AX25" s="285"/>
      <c r="AY25" s="60"/>
      <c r="AZ25" s="60"/>
      <c r="BA25" s="61"/>
      <c r="BB25" s="61"/>
      <c r="BC25" s="60"/>
      <c r="BE25" s="817"/>
      <c r="BF25" s="59">
        <v>2</v>
      </c>
      <c r="BG25" s="59">
        <v>7211</v>
      </c>
      <c r="BH25" s="59" t="s">
        <v>29</v>
      </c>
      <c r="BI25" s="209">
        <f>'Structural Information'!$U$11</f>
        <v>2.75</v>
      </c>
      <c r="BJ25" s="71">
        <f>('Structural Information'!$X$34)*(200)/$BI25</f>
        <v>74027.346891861307</v>
      </c>
      <c r="BK25" s="227">
        <f>'Structural Information'!$T$33*'Structural Information'!$T$34*(4700*SQRT('Structural Information'!$AC$18))/(BI25*1000)</f>
        <v>1324131.9002486868</v>
      </c>
      <c r="BX25" s="84"/>
      <c r="BY25" s="84"/>
      <c r="BZ25" s="84"/>
      <c r="CA25" s="84"/>
      <c r="CB25" s="84"/>
      <c r="CC25" s="84"/>
      <c r="CD25" s="158"/>
      <c r="CF25" s="57"/>
      <c r="CG25" s="59"/>
      <c r="CH25" s="60"/>
      <c r="CI25" s="60"/>
      <c r="CJ25" s="60"/>
      <c r="CL25" s="56"/>
      <c r="CM25" s="56"/>
      <c r="CN25" s="56"/>
      <c r="CO25" s="56"/>
      <c r="CP25" s="56"/>
      <c r="CQ25" s="56"/>
      <c r="CR25" s="56"/>
      <c r="CS25" s="56"/>
      <c r="CT25" s="56"/>
      <c r="CU25" s="56"/>
      <c r="CV25" s="56"/>
      <c r="CW25" s="56"/>
      <c r="CX25" s="46" t="s">
        <v>446</v>
      </c>
      <c r="CY25" s="60">
        <f t="shared" si="29"/>
        <v>1</v>
      </c>
      <c r="CZ25" s="60">
        <f t="shared" si="29"/>
        <v>2.3513827178878444</v>
      </c>
      <c r="DA25" s="60">
        <f t="shared" si="29"/>
        <v>5.6322695655366992</v>
      </c>
      <c r="DB25" s="128">
        <f t="shared" si="29"/>
        <v>35.063132321452542</v>
      </c>
      <c r="DC25" s="60"/>
    </row>
    <row r="26" spans="2:108" x14ac:dyDescent="0.25">
      <c r="B26" s="59"/>
      <c r="C26" s="59"/>
      <c r="D26" s="59"/>
      <c r="E26" s="60"/>
      <c r="F26" s="60"/>
      <c r="G26" s="60"/>
      <c r="H26" s="60"/>
      <c r="I26" s="60"/>
      <c r="J26" s="283"/>
      <c r="K26" s="60"/>
      <c r="L26" s="60"/>
      <c r="M26" s="60"/>
      <c r="N26" s="60"/>
      <c r="U26" s="59"/>
      <c r="V26" s="59"/>
      <c r="W26" s="59"/>
      <c r="X26" s="60"/>
      <c r="Y26" s="60"/>
      <c r="Z26" s="60"/>
      <c r="AA26" s="284"/>
      <c r="AB26" s="284"/>
      <c r="AC26" s="60"/>
      <c r="AD26" s="60"/>
      <c r="AE26" s="60"/>
      <c r="AF26" s="60"/>
      <c r="AG26" s="60"/>
      <c r="AH26" s="60"/>
      <c r="AI26" s="60"/>
      <c r="AJ26" s="60"/>
      <c r="AK26" s="60"/>
      <c r="AL26" s="53"/>
      <c r="AM26" s="59"/>
      <c r="AN26" s="59"/>
      <c r="AO26" s="59"/>
      <c r="AP26" s="60"/>
      <c r="AQ26" s="60"/>
      <c r="AR26" s="61"/>
      <c r="AS26" s="285"/>
      <c r="AT26" s="60"/>
      <c r="AU26" s="60"/>
      <c r="AV26" s="61"/>
      <c r="AW26" s="61"/>
      <c r="AX26" s="285"/>
      <c r="AY26" s="60"/>
      <c r="AZ26" s="60"/>
      <c r="BA26" s="61"/>
      <c r="BB26" s="61"/>
      <c r="BC26" s="60"/>
      <c r="BE26" s="817"/>
      <c r="BF26" s="59">
        <v>3</v>
      </c>
      <c r="BG26" s="59">
        <v>7311</v>
      </c>
      <c r="BH26" s="59" t="s">
        <v>29</v>
      </c>
      <c r="BI26" s="209">
        <f>'Structural Information'!$U$11</f>
        <v>2.75</v>
      </c>
      <c r="BJ26" s="71">
        <f>('Structural Information'!$X$34)*(200)/$BI26</f>
        <v>74027.346891861307</v>
      </c>
      <c r="BK26" s="227">
        <f>'Structural Information'!$T$33*'Structural Information'!$T$34*(4700*SQRT('Structural Information'!$AC$18))/(BI26*1000)</f>
        <v>1324131.9002486868</v>
      </c>
      <c r="BX26" s="84"/>
      <c r="BY26" s="84"/>
      <c r="BZ26" s="84"/>
      <c r="CA26" s="84"/>
      <c r="CB26" s="84"/>
      <c r="CC26" s="84"/>
      <c r="CD26" s="158"/>
      <c r="CF26" s="57"/>
      <c r="CG26" s="59"/>
      <c r="CH26" s="60"/>
      <c r="CI26" s="60"/>
      <c r="CJ26" s="60"/>
      <c r="CL26" s="56"/>
      <c r="CM26" s="56"/>
      <c r="CN26" s="56"/>
      <c r="CO26" s="56"/>
      <c r="CP26" s="56"/>
      <c r="CQ26" s="56"/>
      <c r="CR26" s="56"/>
      <c r="CS26" s="56"/>
      <c r="CT26" s="56"/>
      <c r="CU26" s="56"/>
      <c r="CV26" s="56"/>
      <c r="CW26" s="56"/>
      <c r="CX26" s="46" t="s">
        <v>447</v>
      </c>
      <c r="CY26" s="60">
        <f t="shared" si="29"/>
        <v>1</v>
      </c>
      <c r="CZ26" s="60">
        <f t="shared" si="29"/>
        <v>2.4408513845536741</v>
      </c>
      <c r="DA26" s="60">
        <f t="shared" si="29"/>
        <v>6.1081159897720285</v>
      </c>
      <c r="DB26" s="128">
        <f t="shared" si="29"/>
        <v>37.929022643747182</v>
      </c>
      <c r="DC26" s="60"/>
    </row>
    <row r="27" spans="2:108" ht="16.5" thickBot="1" x14ac:dyDescent="0.3">
      <c r="B27" s="59"/>
      <c r="C27" s="59"/>
      <c r="D27" s="59"/>
      <c r="E27" s="60"/>
      <c r="F27" s="60"/>
      <c r="G27" s="60"/>
      <c r="H27" s="60"/>
      <c r="I27" s="60"/>
      <c r="J27" s="283"/>
      <c r="K27" s="60"/>
      <c r="L27" s="60"/>
      <c r="M27" s="60"/>
      <c r="N27" s="60"/>
      <c r="U27" s="59"/>
      <c r="V27" s="59"/>
      <c r="W27" s="59"/>
      <c r="X27" s="60"/>
      <c r="Y27" s="60"/>
      <c r="Z27" s="60"/>
      <c r="AA27" s="284"/>
      <c r="AB27" s="284"/>
      <c r="AC27" s="60"/>
      <c r="AD27" s="60"/>
      <c r="AE27" s="60"/>
      <c r="AF27" s="60"/>
      <c r="AG27" s="60"/>
      <c r="AH27" s="60"/>
      <c r="AI27" s="60"/>
      <c r="AJ27" s="60"/>
      <c r="AK27" s="60"/>
      <c r="AL27" s="53"/>
      <c r="AM27" s="59"/>
      <c r="AN27" s="59"/>
      <c r="AO27" s="59"/>
      <c r="AP27" s="60"/>
      <c r="AQ27" s="60"/>
      <c r="AR27" s="61"/>
      <c r="AS27" s="285"/>
      <c r="AT27" s="60"/>
      <c r="AU27" s="60"/>
      <c r="AV27" s="61"/>
      <c r="AW27" s="61"/>
      <c r="AX27" s="285"/>
      <c r="AY27" s="60"/>
      <c r="AZ27" s="60"/>
      <c r="BA27" s="61"/>
      <c r="BB27" s="61"/>
      <c r="BC27" s="60"/>
      <c r="BE27" s="819"/>
      <c r="BF27" s="121">
        <v>4</v>
      </c>
      <c r="BG27" s="121">
        <v>7411</v>
      </c>
      <c r="BH27" s="121" t="s">
        <v>28</v>
      </c>
      <c r="BI27" s="265">
        <f>'Structural Information'!$U$11</f>
        <v>2.75</v>
      </c>
      <c r="BJ27" s="73">
        <f>('Structural Information'!$X$29)*(200)/$BI27</f>
        <v>58490.743223199061</v>
      </c>
      <c r="BK27" s="286">
        <f>'Structural Information'!$T$28*'Structural Information'!$T$29*(4700*SQRT('Structural Information'!$AC$18))/(BI27*1000)</f>
        <v>680982.12012789608</v>
      </c>
      <c r="BX27" s="84"/>
      <c r="BY27" s="84"/>
      <c r="BZ27" s="84"/>
      <c r="CA27" s="84"/>
      <c r="CB27" s="84"/>
      <c r="CC27" s="84"/>
      <c r="CD27" s="158"/>
      <c r="CF27" s="57"/>
      <c r="CG27" s="59"/>
      <c r="CH27" s="60"/>
      <c r="CI27" s="60"/>
      <c r="CJ27" s="60"/>
      <c r="CL27" s="56"/>
      <c r="CM27" s="56"/>
      <c r="CN27" s="56"/>
      <c r="CO27" s="56"/>
      <c r="CP27" s="56"/>
      <c r="CQ27" s="56"/>
      <c r="CR27" s="56"/>
      <c r="CS27" s="56"/>
      <c r="CT27" s="56"/>
      <c r="CU27" s="56"/>
      <c r="CV27" s="56"/>
      <c r="CW27" s="56"/>
      <c r="CX27" s="46" t="s">
        <v>448</v>
      </c>
      <c r="CY27" s="60">
        <f t="shared" si="29"/>
        <v>1</v>
      </c>
      <c r="CZ27" s="60">
        <f t="shared" si="29"/>
        <v>2.5390868649694744</v>
      </c>
      <c r="DA27" s="60">
        <f t="shared" si="29"/>
        <v>6.5973601388925482</v>
      </c>
      <c r="DB27" s="128">
        <f t="shared" si="29"/>
        <v>40.937364747059341</v>
      </c>
      <c r="DC27" s="60"/>
    </row>
    <row r="28" spans="2:108" x14ac:dyDescent="0.25">
      <c r="B28" s="59"/>
      <c r="C28" s="59"/>
      <c r="D28" s="59"/>
      <c r="E28" s="60"/>
      <c r="F28" s="60"/>
      <c r="G28" s="60"/>
      <c r="H28" s="60"/>
      <c r="I28" s="60"/>
      <c r="J28" s="283"/>
      <c r="K28" s="60"/>
      <c r="L28" s="60"/>
      <c r="M28" s="60"/>
      <c r="N28" s="60"/>
      <c r="U28" s="59"/>
      <c r="V28" s="59"/>
      <c r="W28" s="59"/>
      <c r="X28" s="60"/>
      <c r="Y28" s="60"/>
      <c r="Z28" s="60"/>
      <c r="AA28" s="284"/>
      <c r="AB28" s="284"/>
      <c r="AC28" s="60"/>
      <c r="AD28" s="60"/>
      <c r="AE28" s="60"/>
      <c r="AF28" s="60"/>
      <c r="AG28" s="60"/>
      <c r="AH28" s="60"/>
      <c r="AI28" s="60"/>
      <c r="AJ28" s="60"/>
      <c r="AK28" s="60"/>
      <c r="AL28" s="53"/>
      <c r="AM28" s="59"/>
      <c r="AN28" s="59"/>
      <c r="AO28" s="59"/>
      <c r="AP28" s="60"/>
      <c r="AQ28" s="60"/>
      <c r="AR28" s="61"/>
      <c r="AS28" s="285"/>
      <c r="AT28" s="60"/>
      <c r="AU28" s="60"/>
      <c r="AV28" s="61"/>
      <c r="AW28" s="61"/>
      <c r="AX28" s="285"/>
      <c r="AY28" s="60"/>
      <c r="AZ28" s="60"/>
      <c r="BA28" s="61"/>
      <c r="BB28" s="61"/>
      <c r="BC28" s="60"/>
      <c r="BX28" s="84"/>
      <c r="BY28" s="84"/>
      <c r="BZ28" s="84"/>
      <c r="CA28" s="84"/>
      <c r="CB28" s="84"/>
      <c r="CC28" s="84"/>
      <c r="CD28" s="158"/>
      <c r="CF28" s="57"/>
      <c r="CG28" s="59"/>
      <c r="CH28" s="60"/>
      <c r="CI28" s="60"/>
      <c r="CJ28" s="60"/>
      <c r="CL28" s="56"/>
      <c r="CM28" s="56"/>
      <c r="CN28" s="56"/>
      <c r="CO28" s="56"/>
      <c r="CP28" s="56"/>
      <c r="CQ28" s="56"/>
      <c r="CR28" s="56"/>
      <c r="CS28" s="56"/>
      <c r="CT28" s="56"/>
      <c r="CU28" s="56"/>
      <c r="CV28" s="56"/>
      <c r="CW28" s="56"/>
      <c r="CX28" s="46" t="s">
        <v>449</v>
      </c>
      <c r="CY28" s="60">
        <f t="shared" si="29"/>
        <v>1</v>
      </c>
      <c r="CZ28" s="60">
        <f t="shared" si="29"/>
        <v>2.6385012635619667</v>
      </c>
      <c r="DA28" s="60">
        <f t="shared" si="29"/>
        <v>7.1105580196386429</v>
      </c>
      <c r="DB28" s="128">
        <f t="shared" si="29"/>
        <v>44.098252287661865</v>
      </c>
      <c r="DC28" s="60"/>
    </row>
    <row r="29" spans="2:108" ht="16.5" thickBot="1" x14ac:dyDescent="0.3">
      <c r="BX29" s="84"/>
      <c r="BY29" s="84"/>
      <c r="BZ29" s="84"/>
      <c r="CA29" s="84"/>
      <c r="CB29" s="84"/>
      <c r="CC29" s="84"/>
      <c r="CD29" s="158"/>
      <c r="CH29" s="53"/>
      <c r="CL29" s="56"/>
      <c r="CM29" s="56"/>
      <c r="CN29" s="56"/>
      <c r="CO29" s="56"/>
      <c r="CP29" s="56"/>
      <c r="CQ29" s="56"/>
      <c r="CR29" s="56"/>
      <c r="CS29" s="56"/>
      <c r="CT29" s="56"/>
      <c r="CU29" s="56"/>
      <c r="CV29" s="56"/>
      <c r="CW29" s="56"/>
      <c r="CX29" s="51" t="s">
        <v>450</v>
      </c>
      <c r="CY29" s="30">
        <f t="shared" si="29"/>
        <v>1</v>
      </c>
      <c r="CZ29" s="30">
        <f t="shared" si="29"/>
        <v>2.7214420306190577</v>
      </c>
      <c r="DA29" s="30">
        <f t="shared" si="29"/>
        <v>7.4531772361912703</v>
      </c>
      <c r="DB29" s="136">
        <f t="shared" si="29"/>
        <v>44.925346092332049</v>
      </c>
      <c r="DC29" s="60"/>
    </row>
    <row r="30" spans="2:108" ht="16.5" customHeight="1" thickBot="1" x14ac:dyDescent="0.3">
      <c r="B30" s="287"/>
      <c r="C30" s="287"/>
      <c r="D30" s="288"/>
      <c r="E30" s="288"/>
      <c r="F30" s="288"/>
      <c r="G30" s="288"/>
      <c r="H30" s="288"/>
      <c r="I30" s="288"/>
      <c r="J30" s="288"/>
      <c r="K30" s="288"/>
      <c r="L30" s="288"/>
      <c r="M30" s="288"/>
      <c r="N30" s="288"/>
      <c r="O30" s="288"/>
      <c r="P30" s="288"/>
      <c r="Q30" s="289"/>
      <c r="R30" s="289"/>
      <c r="T30" s="809" t="s">
        <v>255</v>
      </c>
      <c r="U30" s="810"/>
      <c r="V30" s="810"/>
      <c r="W30" s="810"/>
      <c r="X30" s="810"/>
      <c r="Y30" s="810"/>
      <c r="Z30" s="811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M30" s="181"/>
      <c r="AN30" s="181"/>
      <c r="AO30" s="181"/>
      <c r="AP30" s="181"/>
      <c r="AQ30" s="181"/>
      <c r="AR30" s="181"/>
      <c r="AS30" s="181"/>
      <c r="AT30" s="181"/>
      <c r="AU30" s="181"/>
      <c r="AV30" s="181"/>
      <c r="AW30" s="181"/>
      <c r="AX30" s="181"/>
      <c r="AY30" s="181"/>
      <c r="AZ30" s="181"/>
      <c r="BA30" s="181"/>
      <c r="BB30" s="181"/>
      <c r="BC30" s="181"/>
      <c r="BD30" s="181"/>
      <c r="BE30" s="181"/>
      <c r="BF30" s="181"/>
      <c r="BG30" s="181"/>
      <c r="BH30" s="181"/>
      <c r="BI30" s="181"/>
      <c r="BJ30" s="181"/>
      <c r="BK30" s="181"/>
      <c r="BW30" s="182"/>
      <c r="BX30" s="182"/>
      <c r="BY30" s="182"/>
      <c r="BZ30" s="182"/>
      <c r="CA30" s="182"/>
      <c r="CB30" s="182"/>
      <c r="CC30" s="182"/>
      <c r="CD30" s="182"/>
      <c r="CE30" s="182"/>
      <c r="CF30" s="182"/>
      <c r="CG30" s="182"/>
      <c r="CH30" s="182"/>
      <c r="CI30" s="182"/>
      <c r="CJ30" s="182"/>
      <c r="CL30" s="290"/>
      <c r="CM30" s="290"/>
      <c r="CN30" s="290"/>
      <c r="CO30" s="290"/>
      <c r="CP30" s="290"/>
      <c r="CQ30" s="290"/>
      <c r="CR30" s="290"/>
    </row>
    <row r="31" spans="2:108" ht="16.5" customHeight="1" thickBot="1" x14ac:dyDescent="0.3">
      <c r="B31" s="291"/>
      <c r="C31" s="291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90"/>
      <c r="R31" s="90"/>
      <c r="T31" s="187" t="s">
        <v>9</v>
      </c>
      <c r="U31" s="188" t="s">
        <v>63</v>
      </c>
      <c r="V31" s="189" t="s">
        <v>32</v>
      </c>
      <c r="W31" s="189" t="s">
        <v>30</v>
      </c>
      <c r="X31" s="190" t="s">
        <v>254</v>
      </c>
      <c r="Y31" s="292" t="s">
        <v>245</v>
      </c>
      <c r="Z31" s="293" t="s">
        <v>246</v>
      </c>
      <c r="AA31" s="180"/>
      <c r="AB31" s="180"/>
      <c r="AC31" s="180"/>
      <c r="AD31" s="180"/>
      <c r="AE31" s="180"/>
      <c r="AF31" s="180"/>
      <c r="AG31" s="180"/>
      <c r="AH31" s="180"/>
      <c r="AI31" s="180"/>
      <c r="AJ31" s="180"/>
      <c r="AK31" s="180"/>
      <c r="AM31" s="181"/>
      <c r="AN31" s="181"/>
      <c r="AO31" s="181"/>
      <c r="AP31" s="181"/>
      <c r="AQ31" s="181"/>
      <c r="AR31" s="181"/>
      <c r="AS31" s="181"/>
      <c r="AT31" s="181"/>
      <c r="AU31" s="181"/>
      <c r="AV31" s="181"/>
      <c r="AW31" s="181"/>
      <c r="AX31" s="181"/>
      <c r="AY31" s="181"/>
      <c r="AZ31" s="181"/>
      <c r="BA31" s="181"/>
      <c r="BB31" s="181"/>
      <c r="BC31" s="181"/>
      <c r="BD31" s="181"/>
      <c r="BE31" s="181"/>
      <c r="BF31" s="181"/>
      <c r="BG31" s="181"/>
      <c r="BH31" s="181"/>
      <c r="BI31" s="181"/>
      <c r="BJ31" s="181"/>
      <c r="BK31" s="181"/>
      <c r="BW31" s="182"/>
      <c r="BX31" s="182"/>
      <c r="BY31" s="182"/>
      <c r="BZ31" s="182"/>
      <c r="CA31" s="182"/>
      <c r="CB31" s="182"/>
      <c r="CC31" s="182"/>
      <c r="CD31" s="182"/>
      <c r="CE31" s="182"/>
      <c r="CF31" s="182"/>
      <c r="CG31" s="182"/>
      <c r="CH31" s="182"/>
      <c r="CI31" s="182"/>
      <c r="CJ31" s="182"/>
      <c r="CL31" s="290"/>
      <c r="CM31" s="290"/>
      <c r="CN31" s="290"/>
      <c r="CO31" s="290"/>
      <c r="CP31" s="290"/>
      <c r="CQ31" s="290"/>
      <c r="CR31" s="290"/>
    </row>
    <row r="32" spans="2:108" ht="15" customHeight="1" x14ac:dyDescent="0.25">
      <c r="B32" s="291"/>
      <c r="C32" s="291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90"/>
      <c r="R32" s="90"/>
      <c r="T32" s="802">
        <v>6</v>
      </c>
      <c r="U32" s="202">
        <v>1</v>
      </c>
      <c r="V32" s="202">
        <v>7116</v>
      </c>
      <c r="W32" s="202" t="s">
        <v>12</v>
      </c>
      <c r="X32" s="294">
        <f>'Structural Information'!$AC$8</f>
        <v>4.5</v>
      </c>
      <c r="Y32" s="295">
        <f>2*(SUM('Structural Information'!$X$19:$X$20))*(200)/$X32</f>
        <v>107233.0292425316</v>
      </c>
      <c r="Z32" s="296" t="s">
        <v>83</v>
      </c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M32" s="181"/>
      <c r="AN32" s="181"/>
      <c r="AO32" s="181"/>
      <c r="AP32" s="181"/>
      <c r="AQ32" s="181"/>
      <c r="AR32" s="181"/>
      <c r="AS32" s="181"/>
      <c r="AT32" s="181"/>
      <c r="AU32" s="181"/>
      <c r="AV32" s="181"/>
      <c r="AW32" s="181"/>
      <c r="AX32" s="181"/>
      <c r="AY32" s="181"/>
      <c r="AZ32" s="181"/>
      <c r="BA32" s="181"/>
      <c r="BB32" s="181"/>
      <c r="BC32" s="181"/>
      <c r="BD32" s="181"/>
      <c r="BE32" s="181"/>
      <c r="BF32" s="181"/>
      <c r="BG32" s="181"/>
      <c r="BH32" s="181"/>
      <c r="BI32" s="181"/>
      <c r="BJ32" s="181"/>
      <c r="BK32" s="181"/>
      <c r="BW32" s="182"/>
      <c r="BX32" s="182"/>
      <c r="BY32" s="182"/>
      <c r="BZ32" s="182"/>
      <c r="CA32" s="182"/>
      <c r="CB32" s="182"/>
      <c r="CC32" s="182"/>
      <c r="CD32" s="182"/>
      <c r="CE32" s="182"/>
      <c r="CF32" s="182"/>
      <c r="CG32" s="182"/>
      <c r="CH32" s="182"/>
      <c r="CI32" s="182"/>
      <c r="CJ32" s="182"/>
      <c r="CL32" s="290"/>
      <c r="CM32" s="290"/>
      <c r="CN32" s="290"/>
      <c r="CO32" s="290"/>
      <c r="CP32" s="290"/>
      <c r="CQ32" s="290"/>
      <c r="CR32" s="290"/>
    </row>
    <row r="33" spans="2:107" ht="15" customHeight="1" x14ac:dyDescent="0.25">
      <c r="B33" s="291"/>
      <c r="C33" s="291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90"/>
      <c r="R33" s="90"/>
      <c r="T33" s="803"/>
      <c r="U33" s="67">
        <v>2</v>
      </c>
      <c r="V33" s="67">
        <v>7216</v>
      </c>
      <c r="W33" s="67" t="s">
        <v>12</v>
      </c>
      <c r="X33" s="297">
        <f>'Structural Information'!$AC$7</f>
        <v>2</v>
      </c>
      <c r="Y33" s="298">
        <f>2*(SUM('Structural Information'!$X$19:$X$20))*(200)/$X33</f>
        <v>241274.31579569611</v>
      </c>
      <c r="Z33" s="299" t="s">
        <v>83</v>
      </c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M33" s="181"/>
      <c r="AN33" s="181"/>
      <c r="AO33" s="181"/>
      <c r="AP33" s="181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  <c r="BI33" s="181"/>
      <c r="BJ33" s="181"/>
      <c r="BK33" s="181"/>
      <c r="BW33" s="182"/>
      <c r="BX33" s="182"/>
      <c r="BY33" s="182"/>
      <c r="BZ33" s="182"/>
      <c r="CA33" s="182"/>
      <c r="CB33" s="182"/>
      <c r="CC33" s="182"/>
      <c r="CD33" s="182"/>
      <c r="CE33" s="182"/>
      <c r="CF33" s="182"/>
      <c r="CG33" s="182"/>
      <c r="CH33" s="182"/>
      <c r="CI33" s="182"/>
      <c r="CJ33" s="182"/>
      <c r="CL33" s="290"/>
      <c r="CM33" s="290"/>
      <c r="CN33" s="290"/>
      <c r="CO33" s="290"/>
      <c r="CP33" s="290"/>
      <c r="CQ33" s="290"/>
      <c r="CR33" s="290"/>
      <c r="CS33" s="290"/>
      <c r="CT33" s="290"/>
      <c r="CU33" s="290"/>
      <c r="CV33" s="290"/>
      <c r="CW33" s="290"/>
    </row>
    <row r="34" spans="2:107" ht="15" customHeight="1" thickBot="1" x14ac:dyDescent="0.3">
      <c r="B34" s="291"/>
      <c r="C34" s="291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90"/>
      <c r="R34" s="90"/>
      <c r="T34" s="804"/>
      <c r="U34" s="233">
        <v>3</v>
      </c>
      <c r="V34" s="233">
        <v>7316</v>
      </c>
      <c r="W34" s="233" t="s">
        <v>12</v>
      </c>
      <c r="X34" s="300">
        <f>'Structural Information'!$AC$6</f>
        <v>4.5</v>
      </c>
      <c r="Y34" s="301">
        <f>2*(SUM('Structural Information'!$X$19:$X$20))*(200)/$X34</f>
        <v>107233.0292425316</v>
      </c>
      <c r="Z34" s="302" t="s">
        <v>83</v>
      </c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M34" s="181"/>
      <c r="AN34" s="181"/>
      <c r="AO34" s="181"/>
      <c r="AP34" s="181"/>
      <c r="AQ34" s="181"/>
      <c r="AR34" s="181"/>
      <c r="AS34" s="181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W34" s="182"/>
      <c r="BX34" s="182"/>
      <c r="BY34" s="182"/>
      <c r="BZ34" s="182"/>
      <c r="CA34" s="182"/>
      <c r="CB34" s="182"/>
      <c r="CC34" s="182"/>
      <c r="CD34" s="182"/>
      <c r="CE34" s="182"/>
      <c r="CF34" s="182"/>
      <c r="CG34" s="182"/>
      <c r="CH34" s="182"/>
      <c r="CI34" s="182"/>
      <c r="CJ34" s="182"/>
      <c r="CL34" s="290"/>
      <c r="CM34" s="290"/>
      <c r="CN34" s="290"/>
      <c r="CO34" s="290"/>
      <c r="CP34" s="290"/>
      <c r="CQ34" s="290"/>
      <c r="CR34" s="290"/>
      <c r="CS34" s="290"/>
      <c r="CT34" s="290"/>
      <c r="CU34" s="290"/>
      <c r="CV34" s="290"/>
      <c r="CW34" s="290"/>
    </row>
    <row r="35" spans="2:107" ht="15" customHeight="1" x14ac:dyDescent="0.25">
      <c r="B35" s="291"/>
      <c r="C35" s="291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90"/>
      <c r="R35" s="90"/>
      <c r="T35" s="807">
        <v>5</v>
      </c>
      <c r="U35" s="200">
        <v>1</v>
      </c>
      <c r="V35" s="200">
        <v>7115</v>
      </c>
      <c r="W35" s="200" t="s">
        <v>12</v>
      </c>
      <c r="X35" s="237">
        <f>'Structural Information'!$AC$8</f>
        <v>4.5</v>
      </c>
      <c r="Y35" s="295">
        <f>2*(SUM('Structural Information'!$X$19:$X$20))*(200)/$X35</f>
        <v>107233.0292425316</v>
      </c>
      <c r="Z35" s="239" t="s">
        <v>83</v>
      </c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M35" s="181"/>
      <c r="AN35" s="181"/>
      <c r="AO35" s="181"/>
      <c r="AP35" s="181"/>
      <c r="AQ35" s="181"/>
      <c r="AR35" s="181"/>
      <c r="AS35" s="181"/>
      <c r="AT35" s="181"/>
      <c r="AU35" s="181"/>
      <c r="AV35" s="181"/>
      <c r="AW35" s="181"/>
      <c r="AX35" s="181"/>
      <c r="AY35" s="181"/>
      <c r="AZ35" s="181"/>
      <c r="BA35" s="181"/>
      <c r="BB35" s="181"/>
      <c r="BC35" s="181"/>
      <c r="BD35" s="181"/>
      <c r="BE35" s="181"/>
      <c r="BF35" s="181"/>
      <c r="BG35" s="181"/>
      <c r="BH35" s="181"/>
      <c r="BI35" s="181"/>
      <c r="BJ35" s="181"/>
      <c r="BK35" s="181"/>
      <c r="BW35" s="182"/>
      <c r="BX35" s="182"/>
      <c r="BY35" s="182"/>
      <c r="BZ35" s="182"/>
      <c r="CA35" s="182"/>
      <c r="CB35" s="182"/>
      <c r="CC35" s="182"/>
      <c r="CD35" s="182"/>
      <c r="CE35" s="182"/>
      <c r="CF35" s="182"/>
      <c r="CG35" s="182"/>
      <c r="CH35" s="182"/>
      <c r="CI35" s="182"/>
      <c r="CJ35" s="182"/>
      <c r="CL35" s="290"/>
      <c r="CM35" s="290"/>
      <c r="CN35" s="290"/>
      <c r="CO35" s="290"/>
      <c r="CP35" s="290"/>
      <c r="CQ35" s="290"/>
      <c r="CR35" s="290"/>
      <c r="CS35" s="290"/>
      <c r="CT35" s="290"/>
      <c r="CU35" s="290"/>
      <c r="CV35" s="290"/>
      <c r="CW35" s="290"/>
    </row>
    <row r="36" spans="2:107" ht="15" customHeight="1" x14ac:dyDescent="0.25">
      <c r="B36" s="291"/>
      <c r="C36" s="291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90"/>
      <c r="R36" s="90"/>
      <c r="T36" s="803"/>
      <c r="U36" s="67">
        <v>2</v>
      </c>
      <c r="V36" s="67">
        <v>7215</v>
      </c>
      <c r="W36" s="67" t="s">
        <v>12</v>
      </c>
      <c r="X36" s="297">
        <f>'Structural Information'!$AC$7</f>
        <v>2</v>
      </c>
      <c r="Y36" s="298">
        <f>2*(SUM('Structural Information'!$X$19:$X$20))*(200)/$X36</f>
        <v>241274.31579569611</v>
      </c>
      <c r="Z36" s="299" t="s">
        <v>83</v>
      </c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M36" s="181"/>
      <c r="AN36" s="181"/>
      <c r="AO36" s="181"/>
      <c r="AP36" s="181"/>
      <c r="AQ36" s="181"/>
      <c r="AR36" s="181"/>
      <c r="AS36" s="181"/>
      <c r="AT36" s="181"/>
      <c r="AU36" s="181"/>
      <c r="AV36" s="181"/>
      <c r="AW36" s="181"/>
      <c r="AX36" s="181"/>
      <c r="AY36" s="181"/>
      <c r="AZ36" s="181"/>
      <c r="BA36" s="181"/>
      <c r="BB36" s="181"/>
      <c r="BC36" s="181"/>
      <c r="BD36" s="181"/>
      <c r="BE36" s="181"/>
      <c r="BF36" s="181"/>
      <c r="BG36" s="181"/>
      <c r="BH36" s="181"/>
      <c r="BI36" s="181"/>
      <c r="BJ36" s="181"/>
      <c r="BK36" s="181"/>
      <c r="BW36" s="182"/>
      <c r="BX36" s="182"/>
      <c r="BY36" s="182"/>
      <c r="BZ36" s="182"/>
      <c r="CA36" s="182"/>
      <c r="CB36" s="182"/>
      <c r="CC36" s="182"/>
      <c r="CD36" s="182"/>
      <c r="CE36" s="182"/>
      <c r="CF36" s="182"/>
      <c r="CG36" s="182"/>
      <c r="CH36" s="182"/>
      <c r="CI36" s="182"/>
      <c r="CJ36" s="182"/>
      <c r="CL36" s="290"/>
      <c r="CM36" s="290"/>
      <c r="CN36" s="290"/>
      <c r="CO36" s="290"/>
      <c r="CP36" s="290"/>
      <c r="CQ36" s="290"/>
      <c r="CR36" s="290"/>
      <c r="CS36" s="290"/>
      <c r="CT36" s="290"/>
      <c r="CU36" s="290"/>
      <c r="CV36" s="290"/>
      <c r="CW36" s="290"/>
    </row>
    <row r="37" spans="2:107" ht="15" customHeight="1" thickBot="1" x14ac:dyDescent="0.3">
      <c r="B37" s="291"/>
      <c r="C37" s="291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90"/>
      <c r="R37" s="90"/>
      <c r="T37" s="808"/>
      <c r="U37" s="219">
        <v>3</v>
      </c>
      <c r="V37" s="219">
        <v>7315</v>
      </c>
      <c r="W37" s="219" t="s">
        <v>12</v>
      </c>
      <c r="X37" s="206">
        <f>'Structural Information'!$AC$6</f>
        <v>4.5</v>
      </c>
      <c r="Y37" s="301">
        <f>2*(SUM('Structural Information'!$X$19:$X$20))*(200)/$X37</f>
        <v>107233.0292425316</v>
      </c>
      <c r="Z37" s="208" t="s">
        <v>83</v>
      </c>
      <c r="AA37" s="180"/>
      <c r="AB37" s="180"/>
      <c r="AC37" s="180"/>
      <c r="AD37" s="180"/>
      <c r="AE37" s="180"/>
      <c r="AF37" s="180"/>
      <c r="AG37" s="180"/>
      <c r="AH37" s="180"/>
      <c r="AI37" s="180"/>
      <c r="AJ37" s="180"/>
      <c r="AK37" s="180"/>
      <c r="AM37" s="181"/>
      <c r="AN37" s="181"/>
      <c r="AO37" s="181"/>
      <c r="AP37" s="181"/>
      <c r="AQ37" s="181"/>
      <c r="AR37" s="181"/>
      <c r="AS37" s="181"/>
      <c r="AT37" s="181"/>
      <c r="AU37" s="181"/>
      <c r="AV37" s="181"/>
      <c r="AW37" s="181"/>
      <c r="AX37" s="181"/>
      <c r="AY37" s="181"/>
      <c r="AZ37" s="181"/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W37" s="182"/>
      <c r="BX37" s="182"/>
      <c r="BY37" s="182"/>
      <c r="BZ37" s="182"/>
      <c r="CA37" s="182"/>
      <c r="CB37" s="182"/>
      <c r="CC37" s="182"/>
      <c r="CD37" s="182"/>
      <c r="CE37" s="182"/>
      <c r="CF37" s="182"/>
      <c r="CG37" s="182"/>
      <c r="CH37" s="182"/>
      <c r="CI37" s="182"/>
      <c r="CJ37" s="182"/>
      <c r="CL37" s="303"/>
      <c r="CM37" s="303"/>
      <c r="CN37" s="303"/>
      <c r="CO37" s="303"/>
      <c r="CP37" s="303"/>
      <c r="CQ37" s="303"/>
      <c r="CR37" s="303"/>
      <c r="CS37" s="303"/>
      <c r="CT37" s="303"/>
      <c r="CU37" s="303"/>
      <c r="CV37" s="303"/>
      <c r="CW37" s="303"/>
      <c r="CX37" s="303"/>
      <c r="CY37" s="56"/>
      <c r="CZ37" s="56"/>
      <c r="DA37" s="56"/>
      <c r="DB37" s="56"/>
      <c r="DC37" s="56"/>
    </row>
    <row r="38" spans="2:107" ht="15.75" customHeight="1" x14ac:dyDescent="0.25">
      <c r="B38" s="291"/>
      <c r="C38" s="291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90"/>
      <c r="R38" s="90"/>
      <c r="T38" s="802">
        <v>4</v>
      </c>
      <c r="U38" s="202">
        <v>1</v>
      </c>
      <c r="V38" s="202">
        <v>7114</v>
      </c>
      <c r="W38" s="202" t="s">
        <v>12</v>
      </c>
      <c r="X38" s="294">
        <f>'Structural Information'!$AC$8</f>
        <v>4.5</v>
      </c>
      <c r="Y38" s="295">
        <f>2*(SUM('Structural Information'!$X$19:$X$20))*(200)/$X38</f>
        <v>107233.0292425316</v>
      </c>
      <c r="Z38" s="296" t="s">
        <v>83</v>
      </c>
      <c r="AA38" s="180"/>
      <c r="AB38" s="180"/>
      <c r="AC38" s="180"/>
      <c r="AD38" s="180"/>
      <c r="AE38" s="180"/>
      <c r="AF38" s="180"/>
      <c r="AG38" s="180"/>
      <c r="AH38" s="180"/>
      <c r="AI38" s="180"/>
      <c r="AJ38" s="180"/>
      <c r="AK38" s="180"/>
      <c r="AM38" s="181"/>
      <c r="AN38" s="181"/>
      <c r="AO38" s="181"/>
      <c r="AP38" s="181"/>
      <c r="AQ38" s="181"/>
      <c r="AR38" s="181"/>
      <c r="AS38" s="181"/>
      <c r="AT38" s="181"/>
      <c r="AU38" s="181"/>
      <c r="AV38" s="181"/>
      <c r="AW38" s="181"/>
      <c r="AX38" s="181"/>
      <c r="AY38" s="181"/>
      <c r="AZ38" s="181"/>
      <c r="BA38" s="181"/>
      <c r="BB38" s="181"/>
      <c r="BC38" s="181"/>
      <c r="BD38" s="181"/>
      <c r="BE38" s="181"/>
      <c r="BF38" s="181"/>
      <c r="BG38" s="181"/>
      <c r="BH38" s="181"/>
      <c r="BI38" s="181"/>
      <c r="BJ38" s="181"/>
      <c r="BK38" s="181"/>
      <c r="BW38" s="182"/>
      <c r="BX38" s="182"/>
      <c r="BY38" s="182"/>
      <c r="BZ38" s="182"/>
      <c r="CA38" s="182"/>
      <c r="CB38" s="182"/>
      <c r="CC38" s="182"/>
      <c r="CD38" s="182"/>
      <c r="CE38" s="182"/>
      <c r="CF38" s="182"/>
      <c r="CG38" s="182"/>
      <c r="CH38" s="182"/>
      <c r="CI38" s="182"/>
      <c r="CJ38" s="182"/>
      <c r="CL38" s="303"/>
      <c r="CM38" s="303"/>
      <c r="CN38" s="303"/>
      <c r="CO38" s="303"/>
      <c r="CP38" s="303"/>
      <c r="CQ38" s="303"/>
      <c r="CR38" s="303"/>
      <c r="CS38" s="303"/>
      <c r="CT38" s="303"/>
      <c r="CU38" s="303"/>
      <c r="CV38" s="303"/>
      <c r="CW38" s="303"/>
      <c r="CX38" s="303"/>
      <c r="CY38" s="56"/>
      <c r="CZ38" s="56"/>
      <c r="DA38" s="56"/>
      <c r="DB38" s="56"/>
      <c r="DC38" s="56"/>
    </row>
    <row r="39" spans="2:107" ht="15.75" customHeight="1" x14ac:dyDescent="0.25">
      <c r="B39" s="291"/>
      <c r="C39" s="291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90"/>
      <c r="R39" s="90"/>
      <c r="T39" s="803"/>
      <c r="U39" s="67">
        <v>2</v>
      </c>
      <c r="V39" s="67">
        <v>7214</v>
      </c>
      <c r="W39" s="67" t="s">
        <v>12</v>
      </c>
      <c r="X39" s="297">
        <f>'Structural Information'!$AC$7</f>
        <v>2</v>
      </c>
      <c r="Y39" s="298">
        <f>2*(SUM('Structural Information'!$X$19:$X$20))*(200)/$X39</f>
        <v>241274.31579569611</v>
      </c>
      <c r="Z39" s="299" t="s">
        <v>83</v>
      </c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M39" s="181"/>
      <c r="AN39" s="181"/>
      <c r="AO39" s="181"/>
      <c r="AP39" s="181"/>
      <c r="AQ39" s="181"/>
      <c r="AR39" s="181"/>
      <c r="AS39" s="181"/>
      <c r="AT39" s="181"/>
      <c r="AU39" s="181"/>
      <c r="AV39" s="181"/>
      <c r="AW39" s="181"/>
      <c r="AX39" s="181"/>
      <c r="AY39" s="181"/>
      <c r="AZ39" s="181"/>
      <c r="BA39" s="181"/>
      <c r="BB39" s="181"/>
      <c r="BC39" s="181"/>
      <c r="BD39" s="181"/>
      <c r="BE39" s="181"/>
      <c r="BF39" s="181"/>
      <c r="BG39" s="181"/>
      <c r="BH39" s="181"/>
      <c r="BI39" s="181"/>
      <c r="BJ39" s="181"/>
      <c r="BK39" s="181"/>
      <c r="BW39" s="182"/>
      <c r="BX39" s="182"/>
      <c r="BY39" s="182"/>
      <c r="BZ39" s="182"/>
      <c r="CA39" s="182"/>
      <c r="CB39" s="182"/>
      <c r="CC39" s="182"/>
      <c r="CD39" s="182"/>
      <c r="CE39" s="182"/>
      <c r="CF39" s="182"/>
      <c r="CG39" s="182"/>
      <c r="CH39" s="182"/>
      <c r="CI39" s="182"/>
      <c r="CJ39" s="182"/>
      <c r="CL39" s="183"/>
      <c r="CM39" s="183"/>
      <c r="CN39" s="183"/>
      <c r="CO39" s="183"/>
      <c r="CP39" s="183"/>
      <c r="CQ39" s="183"/>
      <c r="CR39" s="183"/>
      <c r="CS39" s="183"/>
      <c r="CT39" s="183"/>
      <c r="CU39" s="183"/>
      <c r="CV39" s="183"/>
      <c r="CW39" s="183"/>
      <c r="CX39" s="183"/>
      <c r="CY39" s="183"/>
      <c r="CZ39" s="183"/>
      <c r="DA39" s="183"/>
      <c r="DB39" s="183"/>
      <c r="DC39" s="183"/>
    </row>
    <row r="40" spans="2:107" ht="15" customHeight="1" thickBot="1" x14ac:dyDescent="0.3">
      <c r="B40" s="291"/>
      <c r="C40" s="291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90"/>
      <c r="R40" s="90"/>
      <c r="T40" s="804"/>
      <c r="U40" s="233">
        <v>3</v>
      </c>
      <c r="V40" s="233">
        <v>7314</v>
      </c>
      <c r="W40" s="233" t="s">
        <v>12</v>
      </c>
      <c r="X40" s="300">
        <f>'Structural Information'!$AC$6</f>
        <v>4.5</v>
      </c>
      <c r="Y40" s="301">
        <f>2*(SUM('Structural Information'!$X$19:$X$20))*(200)/$X40</f>
        <v>107233.0292425316</v>
      </c>
      <c r="Z40" s="302" t="s">
        <v>83</v>
      </c>
      <c r="AA40" s="180"/>
      <c r="AB40" s="180"/>
      <c r="AC40" s="180"/>
      <c r="AD40" s="180"/>
      <c r="AE40" s="180"/>
      <c r="AF40" s="180"/>
      <c r="AG40" s="180"/>
      <c r="AH40" s="180"/>
      <c r="AI40" s="180"/>
      <c r="AJ40" s="180"/>
      <c r="AK40" s="180"/>
      <c r="AM40" s="181"/>
      <c r="AN40" s="181"/>
      <c r="AO40" s="181"/>
      <c r="AP40" s="181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W40" s="182"/>
      <c r="BX40" s="182"/>
      <c r="BY40" s="182"/>
      <c r="BZ40" s="182"/>
      <c r="CA40" s="182"/>
      <c r="CB40" s="182"/>
      <c r="CC40" s="182"/>
      <c r="CD40" s="182"/>
      <c r="CE40" s="182"/>
      <c r="CF40" s="182"/>
      <c r="CG40" s="182"/>
      <c r="CH40" s="182"/>
      <c r="CI40" s="182"/>
      <c r="CJ40" s="182"/>
      <c r="CL40" s="183"/>
      <c r="CM40" s="183"/>
      <c r="CN40" s="183"/>
      <c r="CO40" s="183"/>
      <c r="CP40" s="183"/>
      <c r="CQ40" s="183"/>
      <c r="CR40" s="183"/>
      <c r="CS40" s="183"/>
      <c r="CT40" s="183"/>
      <c r="CU40" s="183"/>
      <c r="CV40" s="183"/>
      <c r="CW40" s="183"/>
      <c r="CX40" s="183"/>
      <c r="CY40" s="183"/>
      <c r="CZ40" s="183"/>
      <c r="DA40" s="183"/>
      <c r="DB40" s="183"/>
      <c r="DC40" s="183"/>
    </row>
    <row r="41" spans="2:107" ht="15" customHeight="1" x14ac:dyDescent="0.25">
      <c r="B41" s="291"/>
      <c r="C41" s="291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90"/>
      <c r="R41" s="90"/>
      <c r="T41" s="807">
        <v>3</v>
      </c>
      <c r="U41" s="200">
        <v>1</v>
      </c>
      <c r="V41" s="200">
        <v>7113</v>
      </c>
      <c r="W41" s="200" t="s">
        <v>12</v>
      </c>
      <c r="X41" s="237">
        <f>'Structural Information'!$AC$8</f>
        <v>4.5</v>
      </c>
      <c r="Y41" s="295">
        <f>2*(SUM('Structural Information'!$X$19:$X$20))*(200)/$X41</f>
        <v>107233.0292425316</v>
      </c>
      <c r="Z41" s="239" t="s">
        <v>83</v>
      </c>
      <c r="AA41" s="180"/>
      <c r="AB41" s="180"/>
      <c r="AC41" s="180"/>
      <c r="AD41" s="180"/>
      <c r="AE41" s="180"/>
      <c r="AF41" s="180"/>
      <c r="AG41" s="180"/>
      <c r="AH41" s="180"/>
      <c r="AI41" s="180"/>
      <c r="AJ41" s="180"/>
      <c r="AK41" s="180"/>
      <c r="AM41" s="181"/>
      <c r="AN41" s="181"/>
      <c r="AO41" s="181"/>
      <c r="AP41" s="181"/>
      <c r="AQ41" s="181"/>
      <c r="AR41" s="181"/>
      <c r="AS41" s="181"/>
      <c r="AT41" s="181"/>
      <c r="AU41" s="181"/>
      <c r="AV41" s="181"/>
      <c r="AW41" s="181"/>
      <c r="AX41" s="181"/>
      <c r="AY41" s="181"/>
      <c r="AZ41" s="181"/>
      <c r="BA41" s="181"/>
      <c r="BB41" s="181"/>
      <c r="BC41" s="181"/>
      <c r="BD41" s="181"/>
      <c r="BE41" s="181"/>
      <c r="BF41" s="181"/>
      <c r="BG41" s="181"/>
      <c r="BH41" s="181"/>
      <c r="BI41" s="181"/>
      <c r="BJ41" s="181"/>
      <c r="BK41" s="181"/>
      <c r="BW41" s="182"/>
      <c r="BX41" s="182"/>
      <c r="BY41" s="182"/>
      <c r="BZ41" s="182"/>
      <c r="CA41" s="182"/>
      <c r="CB41" s="182"/>
      <c r="CC41" s="182"/>
      <c r="CD41" s="182"/>
      <c r="CE41" s="182"/>
      <c r="CF41" s="182"/>
      <c r="CG41" s="182"/>
      <c r="CH41" s="182"/>
      <c r="CI41" s="182"/>
      <c r="CJ41" s="182"/>
      <c r="CL41" s="183"/>
      <c r="CM41" s="183"/>
      <c r="CN41" s="183"/>
      <c r="CO41" s="183"/>
      <c r="CP41" s="183"/>
      <c r="CQ41" s="183"/>
      <c r="CR41" s="183"/>
      <c r="CS41" s="183"/>
      <c r="CT41" s="183"/>
      <c r="CU41" s="183"/>
      <c r="CV41" s="183"/>
      <c r="CW41" s="183"/>
      <c r="CX41" s="183"/>
      <c r="CY41" s="183"/>
      <c r="CZ41" s="183"/>
      <c r="DA41" s="183"/>
      <c r="DB41" s="183"/>
      <c r="DC41" s="183"/>
    </row>
    <row r="42" spans="2:107" ht="15" customHeight="1" x14ac:dyDescent="0.25">
      <c r="B42" s="291"/>
      <c r="C42" s="291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90"/>
      <c r="R42" s="90"/>
      <c r="T42" s="803"/>
      <c r="U42" s="67">
        <v>2</v>
      </c>
      <c r="V42" s="67">
        <v>7213</v>
      </c>
      <c r="W42" s="67" t="s">
        <v>12</v>
      </c>
      <c r="X42" s="297">
        <f>'Structural Information'!$AC$7</f>
        <v>2</v>
      </c>
      <c r="Y42" s="298">
        <f>2*(SUM('Structural Information'!$X$19:$X$20))*(200)/$X42</f>
        <v>241274.31579569611</v>
      </c>
      <c r="Z42" s="299" t="s">
        <v>83</v>
      </c>
      <c r="AA42" s="180"/>
      <c r="AB42" s="180"/>
      <c r="AC42" s="180"/>
      <c r="AD42" s="180"/>
      <c r="AE42" s="180"/>
      <c r="AF42" s="180"/>
      <c r="AG42" s="180"/>
      <c r="AH42" s="180"/>
      <c r="AI42" s="180"/>
      <c r="AJ42" s="180"/>
      <c r="AK42" s="180"/>
      <c r="AM42" s="181"/>
      <c r="AN42" s="181"/>
      <c r="AO42" s="181"/>
      <c r="AP42" s="181"/>
      <c r="AQ42" s="181"/>
      <c r="AR42" s="181"/>
      <c r="AS42" s="181"/>
      <c r="AT42" s="181"/>
      <c r="AU42" s="181"/>
      <c r="AV42" s="181"/>
      <c r="AW42" s="181"/>
      <c r="AX42" s="181"/>
      <c r="AY42" s="181"/>
      <c r="AZ42" s="181"/>
      <c r="BA42" s="181"/>
      <c r="BB42" s="181"/>
      <c r="BC42" s="181"/>
      <c r="BD42" s="181"/>
      <c r="BE42" s="181"/>
      <c r="BF42" s="181"/>
      <c r="BG42" s="181"/>
      <c r="BH42" s="181"/>
      <c r="BI42" s="181"/>
      <c r="BJ42" s="181"/>
      <c r="BK42" s="181"/>
      <c r="BW42" s="182"/>
      <c r="BX42" s="182"/>
      <c r="BY42" s="182"/>
      <c r="BZ42" s="182"/>
      <c r="CA42" s="182"/>
      <c r="CB42" s="182"/>
      <c r="CC42" s="182"/>
      <c r="CD42" s="182"/>
      <c r="CE42" s="182"/>
      <c r="CF42" s="182"/>
      <c r="CG42" s="182"/>
      <c r="CH42" s="182"/>
      <c r="CI42" s="182"/>
      <c r="CJ42" s="182"/>
      <c r="CL42" s="183"/>
      <c r="CM42" s="183"/>
      <c r="CN42" s="183"/>
      <c r="CO42" s="183"/>
      <c r="CP42" s="183"/>
      <c r="CQ42" s="183"/>
      <c r="CR42" s="183"/>
      <c r="CS42" s="183"/>
      <c r="CT42" s="183"/>
      <c r="CU42" s="183"/>
      <c r="CV42" s="183"/>
      <c r="CW42" s="183"/>
      <c r="CX42" s="183"/>
      <c r="CY42" s="183"/>
      <c r="CZ42" s="183"/>
      <c r="DA42" s="183"/>
      <c r="DB42" s="183"/>
      <c r="DC42" s="183"/>
    </row>
    <row r="43" spans="2:107" ht="15" customHeight="1" thickBot="1" x14ac:dyDescent="0.3">
      <c r="B43" s="291"/>
      <c r="C43" s="291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90"/>
      <c r="R43" s="90"/>
      <c r="T43" s="808"/>
      <c r="U43" s="219">
        <v>3</v>
      </c>
      <c r="V43" s="219">
        <v>7313</v>
      </c>
      <c r="W43" s="219" t="s">
        <v>12</v>
      </c>
      <c r="X43" s="206">
        <f>'Structural Information'!$AC$6</f>
        <v>4.5</v>
      </c>
      <c r="Y43" s="301">
        <f>2*(SUM('Structural Information'!$X$19:$X$20))*(200)/$X43</f>
        <v>107233.0292425316</v>
      </c>
      <c r="Z43" s="208" t="s">
        <v>83</v>
      </c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  <c r="BI43" s="181"/>
      <c r="BJ43" s="181"/>
      <c r="BK43" s="181"/>
      <c r="BW43" s="182"/>
      <c r="BX43" s="182"/>
      <c r="BY43" s="182"/>
      <c r="BZ43" s="182"/>
      <c r="CA43" s="182"/>
      <c r="CB43" s="182"/>
      <c r="CC43" s="182"/>
      <c r="CD43" s="182"/>
      <c r="CE43" s="182"/>
      <c r="CF43" s="182"/>
      <c r="CG43" s="182"/>
      <c r="CH43" s="182"/>
      <c r="CI43" s="182"/>
      <c r="CJ43" s="182"/>
      <c r="CL43" s="183"/>
      <c r="CM43" s="183"/>
      <c r="CN43" s="183"/>
      <c r="CO43" s="183"/>
      <c r="CP43" s="183"/>
      <c r="CQ43" s="183"/>
      <c r="CR43" s="183"/>
      <c r="CS43" s="183"/>
      <c r="CT43" s="183"/>
      <c r="CU43" s="183"/>
      <c r="CV43" s="183"/>
      <c r="CW43" s="183"/>
      <c r="CX43" s="183"/>
      <c r="CY43" s="183"/>
      <c r="CZ43" s="183"/>
      <c r="DA43" s="183"/>
      <c r="DB43" s="183"/>
      <c r="DC43" s="183"/>
    </row>
    <row r="44" spans="2:107" ht="15" customHeight="1" x14ac:dyDescent="0.25">
      <c r="B44" s="291"/>
      <c r="C44" s="291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90"/>
      <c r="R44" s="90"/>
      <c r="T44" s="802">
        <v>2</v>
      </c>
      <c r="U44" s="202">
        <v>1</v>
      </c>
      <c r="V44" s="202">
        <v>7112</v>
      </c>
      <c r="W44" s="202" t="s">
        <v>12</v>
      </c>
      <c r="X44" s="294">
        <f>'Structural Information'!$AC$8</f>
        <v>4.5</v>
      </c>
      <c r="Y44" s="295">
        <f>2*(SUM('Structural Information'!$X$19:$X$20))*(200)/$X44</f>
        <v>107233.0292425316</v>
      </c>
      <c r="Z44" s="296" t="s">
        <v>83</v>
      </c>
      <c r="AA44" s="180"/>
      <c r="AB44" s="180"/>
      <c r="AC44" s="180"/>
      <c r="AD44" s="180"/>
      <c r="AE44" s="180"/>
      <c r="AF44" s="180"/>
      <c r="AG44" s="180"/>
      <c r="AH44" s="180"/>
      <c r="AI44" s="180"/>
      <c r="AJ44" s="180"/>
      <c r="AK44" s="180"/>
      <c r="AM44" s="181"/>
      <c r="AN44" s="181"/>
      <c r="AO44" s="181"/>
      <c r="AP44" s="181"/>
      <c r="AQ44" s="181"/>
      <c r="AR44" s="181"/>
      <c r="AS44" s="181"/>
      <c r="AT44" s="181"/>
      <c r="AU44" s="181"/>
      <c r="AV44" s="181"/>
      <c r="AW44" s="181"/>
      <c r="AX44" s="181"/>
      <c r="AY44" s="181"/>
      <c r="AZ44" s="181"/>
      <c r="BA44" s="181"/>
      <c r="BB44" s="181"/>
      <c r="BC44" s="181"/>
      <c r="BD44" s="181"/>
      <c r="BE44" s="181"/>
      <c r="BF44" s="181"/>
      <c r="BG44" s="181"/>
      <c r="BH44" s="181"/>
      <c r="BI44" s="181"/>
      <c r="BJ44" s="181"/>
      <c r="BK44" s="181"/>
      <c r="BW44" s="182"/>
      <c r="BX44" s="182"/>
      <c r="BY44" s="182"/>
      <c r="BZ44" s="182"/>
      <c r="CA44" s="182"/>
      <c r="CB44" s="182"/>
      <c r="CC44" s="182"/>
      <c r="CD44" s="182"/>
      <c r="CE44" s="182"/>
      <c r="CF44" s="182"/>
      <c r="CG44" s="182"/>
      <c r="CH44" s="182"/>
      <c r="CI44" s="182"/>
      <c r="CJ44" s="182"/>
      <c r="CL44" s="183"/>
      <c r="CM44" s="183"/>
      <c r="CN44" s="183"/>
      <c r="CO44" s="183"/>
      <c r="CP44" s="183"/>
      <c r="CQ44" s="183"/>
      <c r="CR44" s="183"/>
      <c r="CS44" s="183"/>
      <c r="CT44" s="183"/>
      <c r="CU44" s="183"/>
      <c r="CV44" s="183"/>
      <c r="CW44" s="183"/>
      <c r="CX44" s="183"/>
      <c r="CY44" s="183"/>
      <c r="CZ44" s="183"/>
      <c r="DA44" s="183"/>
      <c r="DB44" s="183"/>
      <c r="DC44" s="183"/>
    </row>
    <row r="45" spans="2:107" ht="15" customHeight="1" x14ac:dyDescent="0.25">
      <c r="B45" s="291"/>
      <c r="C45" s="291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90"/>
      <c r="R45" s="90"/>
      <c r="T45" s="803"/>
      <c r="U45" s="67">
        <v>2</v>
      </c>
      <c r="V45" s="67">
        <v>7212</v>
      </c>
      <c r="W45" s="67" t="s">
        <v>12</v>
      </c>
      <c r="X45" s="297">
        <f>'Structural Information'!$AC$7</f>
        <v>2</v>
      </c>
      <c r="Y45" s="298">
        <f>2*(SUM('Structural Information'!$X$19:$X$20))*(200)/$X45</f>
        <v>241274.31579569611</v>
      </c>
      <c r="Z45" s="299" t="s">
        <v>83</v>
      </c>
      <c r="AA45" s="180"/>
      <c r="AB45" s="180"/>
      <c r="AC45" s="180"/>
      <c r="AD45" s="180"/>
      <c r="AE45" s="180"/>
      <c r="AF45" s="180"/>
      <c r="AG45" s="180"/>
      <c r="AH45" s="180"/>
      <c r="AI45" s="180"/>
      <c r="AJ45" s="180"/>
      <c r="AK45" s="180"/>
      <c r="AM45" s="181"/>
      <c r="AN45" s="181"/>
      <c r="AO45" s="181"/>
      <c r="AP45" s="181"/>
      <c r="AQ45" s="181"/>
      <c r="AR45" s="181"/>
      <c r="AS45" s="181"/>
      <c r="AT45" s="181"/>
      <c r="AU45" s="181"/>
      <c r="AV45" s="181"/>
      <c r="AW45" s="181"/>
      <c r="AX45" s="181"/>
      <c r="AY45" s="181"/>
      <c r="AZ45" s="181"/>
      <c r="BA45" s="181"/>
      <c r="BB45" s="181"/>
      <c r="BC45" s="181"/>
      <c r="BD45" s="181"/>
      <c r="BE45" s="181"/>
      <c r="BF45" s="181"/>
      <c r="BG45" s="181"/>
      <c r="BH45" s="181"/>
      <c r="BI45" s="181"/>
      <c r="BJ45" s="181"/>
      <c r="BK45" s="181"/>
      <c r="BW45" s="182"/>
      <c r="BX45" s="182"/>
      <c r="BY45" s="182"/>
      <c r="BZ45" s="182"/>
      <c r="CA45" s="182"/>
      <c r="CB45" s="182"/>
      <c r="CC45" s="182"/>
      <c r="CD45" s="182"/>
      <c r="CE45" s="182"/>
      <c r="CF45" s="182"/>
      <c r="CG45" s="182"/>
      <c r="CH45" s="182"/>
      <c r="CI45" s="182"/>
      <c r="CJ45" s="182"/>
      <c r="CL45" s="183"/>
      <c r="CM45" s="183"/>
      <c r="CN45" s="183"/>
      <c r="CO45" s="183"/>
      <c r="CP45" s="183"/>
      <c r="CQ45" s="183"/>
      <c r="CR45" s="183"/>
      <c r="CS45" s="183"/>
      <c r="CT45" s="183"/>
      <c r="CU45" s="183"/>
      <c r="CV45" s="183"/>
      <c r="CW45" s="183"/>
      <c r="CX45" s="183"/>
      <c r="CY45" s="183"/>
      <c r="CZ45" s="183"/>
      <c r="DA45" s="183"/>
      <c r="DB45" s="183"/>
      <c r="DC45" s="183"/>
    </row>
    <row r="46" spans="2:107" ht="15.75" customHeight="1" thickBot="1" x14ac:dyDescent="0.3">
      <c r="B46" s="291"/>
      <c r="C46" s="291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90"/>
      <c r="R46" s="90"/>
      <c r="T46" s="804"/>
      <c r="U46" s="233">
        <v>3</v>
      </c>
      <c r="V46" s="233">
        <v>7312</v>
      </c>
      <c r="W46" s="233" t="s">
        <v>12</v>
      </c>
      <c r="X46" s="300">
        <f>'Structural Information'!$AC$6</f>
        <v>4.5</v>
      </c>
      <c r="Y46" s="301">
        <f>2*(SUM('Structural Information'!$X$19:$X$20))*(200)/$X46</f>
        <v>107233.0292425316</v>
      </c>
      <c r="Z46" s="302" t="s">
        <v>83</v>
      </c>
      <c r="AA46" s="180"/>
      <c r="AB46" s="180"/>
      <c r="AC46" s="180"/>
      <c r="AD46" s="180"/>
      <c r="AE46" s="180"/>
      <c r="AF46" s="180"/>
      <c r="AG46" s="180"/>
      <c r="AH46" s="180"/>
      <c r="AI46" s="180"/>
      <c r="AJ46" s="180"/>
      <c r="AK46" s="180"/>
      <c r="AM46" s="181"/>
      <c r="AN46" s="181"/>
      <c r="AO46" s="181"/>
      <c r="AP46" s="181"/>
      <c r="AQ46" s="181"/>
      <c r="AR46" s="181"/>
      <c r="AS46" s="181"/>
      <c r="AT46" s="181"/>
      <c r="AU46" s="181"/>
      <c r="AV46" s="181"/>
      <c r="AW46" s="181"/>
      <c r="AX46" s="181"/>
      <c r="AY46" s="181"/>
      <c r="AZ46" s="181"/>
      <c r="BA46" s="181"/>
      <c r="BB46" s="181"/>
      <c r="BC46" s="181"/>
      <c r="BD46" s="181"/>
      <c r="BE46" s="181"/>
      <c r="BF46" s="181"/>
      <c r="BG46" s="181"/>
      <c r="BH46" s="181"/>
      <c r="BI46" s="181"/>
      <c r="BJ46" s="181"/>
      <c r="BK46" s="181"/>
      <c r="BW46" s="182"/>
      <c r="BX46" s="182"/>
      <c r="BY46" s="182"/>
      <c r="BZ46" s="182"/>
      <c r="CA46" s="182"/>
      <c r="CB46" s="182"/>
      <c r="CC46" s="182"/>
      <c r="CD46" s="182"/>
      <c r="CE46" s="182"/>
      <c r="CF46" s="182"/>
      <c r="CG46" s="182"/>
      <c r="CH46" s="182"/>
      <c r="CI46" s="182"/>
      <c r="CJ46" s="182"/>
      <c r="CL46" s="183"/>
      <c r="CM46" s="183"/>
      <c r="CN46" s="183"/>
      <c r="CO46" s="183"/>
      <c r="CP46" s="183"/>
      <c r="CQ46" s="183"/>
      <c r="CR46" s="183"/>
      <c r="CS46" s="183"/>
      <c r="CT46" s="183"/>
      <c r="CU46" s="183"/>
      <c r="CV46" s="183"/>
      <c r="CW46" s="183"/>
      <c r="CX46" s="183"/>
      <c r="CY46" s="183"/>
      <c r="CZ46" s="183"/>
      <c r="DA46" s="183"/>
      <c r="DB46" s="183"/>
      <c r="DC46" s="183"/>
    </row>
    <row r="47" spans="2:107" ht="15.75" customHeight="1" x14ac:dyDescent="0.25">
      <c r="B47" s="291"/>
      <c r="C47" s="291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90"/>
      <c r="R47" s="90"/>
      <c r="T47" s="807">
        <v>1</v>
      </c>
      <c r="U47" s="200">
        <v>1</v>
      </c>
      <c r="V47" s="202">
        <v>7111</v>
      </c>
      <c r="W47" s="202" t="s">
        <v>12</v>
      </c>
      <c r="X47" s="237">
        <f>'Structural Information'!$AC$8</f>
        <v>4.5</v>
      </c>
      <c r="Y47" s="295">
        <f>2*(SUM('Structural Information'!$X$19:$X$20))*(200)/$X47</f>
        <v>107233.0292425316</v>
      </c>
      <c r="Z47" s="296" t="s">
        <v>83</v>
      </c>
      <c r="AA47" s="180"/>
      <c r="AB47" s="180"/>
      <c r="AC47" s="180"/>
      <c r="AD47" s="180"/>
      <c r="AE47" s="180"/>
      <c r="AF47" s="180"/>
      <c r="AG47" s="180"/>
      <c r="AH47" s="180"/>
      <c r="AI47" s="180"/>
      <c r="AJ47" s="180"/>
      <c r="AK47" s="180"/>
      <c r="AM47" s="181"/>
      <c r="AN47" s="181"/>
      <c r="AO47" s="181"/>
      <c r="AP47" s="181"/>
      <c r="AQ47" s="181"/>
      <c r="AR47" s="181"/>
      <c r="AS47" s="181"/>
      <c r="AT47" s="181"/>
      <c r="AU47" s="181"/>
      <c r="AV47" s="181"/>
      <c r="AW47" s="181"/>
      <c r="AX47" s="181"/>
      <c r="AY47" s="181"/>
      <c r="AZ47" s="181"/>
      <c r="BA47" s="181"/>
      <c r="BB47" s="181"/>
      <c r="BC47" s="181"/>
      <c r="BD47" s="181"/>
      <c r="BE47" s="181"/>
      <c r="BF47" s="181"/>
      <c r="BG47" s="181"/>
      <c r="BH47" s="181"/>
      <c r="BI47" s="181"/>
      <c r="BJ47" s="181"/>
      <c r="BK47" s="181"/>
      <c r="BW47" s="182"/>
      <c r="BX47" s="182"/>
      <c r="BY47" s="182"/>
      <c r="BZ47" s="182"/>
      <c r="CA47" s="182"/>
      <c r="CB47" s="182"/>
      <c r="CC47" s="182"/>
      <c r="CD47" s="182"/>
      <c r="CE47" s="182"/>
      <c r="CF47" s="182"/>
      <c r="CG47" s="182"/>
      <c r="CH47" s="182"/>
      <c r="CI47" s="182"/>
      <c r="CJ47" s="182"/>
      <c r="CL47" s="183"/>
      <c r="CM47" s="183"/>
      <c r="CN47" s="183"/>
      <c r="CO47" s="183"/>
      <c r="CP47" s="183"/>
      <c r="CQ47" s="183"/>
      <c r="CR47" s="183"/>
      <c r="CS47" s="183"/>
      <c r="CT47" s="183"/>
      <c r="CU47" s="183"/>
      <c r="CV47" s="183"/>
      <c r="CW47" s="183"/>
      <c r="CX47" s="183"/>
      <c r="CY47" s="183"/>
      <c r="CZ47" s="183"/>
      <c r="DA47" s="183"/>
      <c r="DB47" s="183"/>
      <c r="DC47" s="183"/>
    </row>
    <row r="48" spans="2:107" ht="15.75" customHeight="1" x14ac:dyDescent="0.25">
      <c r="B48" s="291"/>
      <c r="C48" s="291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90"/>
      <c r="R48" s="90"/>
      <c r="T48" s="803"/>
      <c r="U48" s="67">
        <v>2</v>
      </c>
      <c r="V48" s="67">
        <v>7211</v>
      </c>
      <c r="W48" s="67" t="s">
        <v>12</v>
      </c>
      <c r="X48" s="297">
        <f>'Structural Information'!$AC$7</f>
        <v>2</v>
      </c>
      <c r="Y48" s="298">
        <f>2*(SUM('Structural Information'!$X$19:$X$20))*(200)/$X48</f>
        <v>241274.31579569611</v>
      </c>
      <c r="Z48" s="299" t="s">
        <v>83</v>
      </c>
      <c r="AA48" s="180"/>
      <c r="AB48" s="180"/>
      <c r="AC48" s="180"/>
      <c r="AD48" s="180"/>
      <c r="AE48" s="180"/>
      <c r="AF48" s="180"/>
      <c r="AG48" s="180"/>
      <c r="AH48" s="180"/>
      <c r="AI48" s="180"/>
      <c r="AJ48" s="180"/>
      <c r="AK48" s="180"/>
      <c r="AM48" s="181"/>
      <c r="AN48" s="181"/>
      <c r="AO48" s="181"/>
      <c r="AP48" s="181"/>
      <c r="AQ48" s="181"/>
      <c r="AR48" s="181"/>
      <c r="AS48" s="181"/>
      <c r="AT48" s="181"/>
      <c r="AU48" s="181"/>
      <c r="AV48" s="181"/>
      <c r="AW48" s="181"/>
      <c r="AX48" s="181"/>
      <c r="AY48" s="181"/>
      <c r="AZ48" s="181"/>
      <c r="BA48" s="181"/>
      <c r="BB48" s="181"/>
      <c r="BC48" s="181"/>
      <c r="BD48" s="181"/>
      <c r="BE48" s="181"/>
      <c r="BF48" s="181"/>
      <c r="BG48" s="181"/>
      <c r="BH48" s="181"/>
      <c r="BI48" s="181"/>
      <c r="BJ48" s="181"/>
      <c r="BK48" s="181"/>
      <c r="BW48" s="182"/>
      <c r="BX48" s="182"/>
      <c r="BY48" s="182"/>
      <c r="BZ48" s="182"/>
      <c r="CA48" s="182"/>
      <c r="CB48" s="182"/>
      <c r="CC48" s="182"/>
      <c r="CD48" s="182"/>
      <c r="CE48" s="182"/>
      <c r="CF48" s="182"/>
      <c r="CG48" s="182"/>
      <c r="CH48" s="182"/>
      <c r="CI48" s="182"/>
      <c r="CJ48" s="182"/>
      <c r="CL48" s="183"/>
      <c r="CM48" s="183"/>
      <c r="CN48" s="183"/>
      <c r="CO48" s="183"/>
      <c r="CP48" s="183"/>
      <c r="CQ48" s="183"/>
      <c r="CR48" s="183"/>
      <c r="CS48" s="183"/>
      <c r="CT48" s="183"/>
      <c r="CU48" s="183"/>
      <c r="CV48" s="183"/>
      <c r="CW48" s="183"/>
      <c r="CX48" s="183"/>
      <c r="CY48" s="183"/>
      <c r="CZ48" s="183"/>
      <c r="DA48" s="183"/>
      <c r="DB48" s="183"/>
      <c r="DC48" s="183"/>
    </row>
    <row r="49" spans="2:107" ht="16.5" thickBot="1" x14ac:dyDescent="0.3">
      <c r="B49" s="291"/>
      <c r="C49" s="291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90"/>
      <c r="R49" s="90"/>
      <c r="T49" s="804"/>
      <c r="U49" s="233">
        <v>3</v>
      </c>
      <c r="V49" s="233">
        <v>7311</v>
      </c>
      <c r="W49" s="233" t="s">
        <v>12</v>
      </c>
      <c r="X49" s="300">
        <f>'Structural Information'!$AC$6</f>
        <v>4.5</v>
      </c>
      <c r="Y49" s="301">
        <f>2*(SUM('Structural Information'!$X$19:$X$20))*(200)/$X49</f>
        <v>107233.0292425316</v>
      </c>
      <c r="Z49" s="302" t="s">
        <v>83</v>
      </c>
      <c r="AA49" s="180"/>
      <c r="AB49" s="180"/>
      <c r="AC49" s="180"/>
      <c r="AD49" s="180"/>
      <c r="AE49" s="180"/>
      <c r="AF49" s="180"/>
      <c r="AG49" s="180"/>
      <c r="AH49" s="180"/>
      <c r="AI49" s="180"/>
      <c r="AJ49" s="180"/>
      <c r="AK49" s="180"/>
      <c r="AM49" s="181"/>
      <c r="AN49" s="181"/>
      <c r="AO49" s="181"/>
      <c r="AP49" s="181"/>
      <c r="AQ49" s="181"/>
      <c r="AR49" s="181"/>
      <c r="AS49" s="181"/>
      <c r="AT49" s="181"/>
      <c r="AU49" s="181"/>
      <c r="AV49" s="181"/>
      <c r="AW49" s="181"/>
      <c r="AX49" s="181"/>
      <c r="AY49" s="181"/>
      <c r="AZ49" s="181"/>
      <c r="BA49" s="181"/>
      <c r="BB49" s="181"/>
      <c r="BC49" s="181"/>
      <c r="BD49" s="181"/>
      <c r="BE49" s="181"/>
      <c r="BF49" s="181"/>
      <c r="BG49" s="181"/>
      <c r="BH49" s="181"/>
      <c r="BI49" s="181"/>
      <c r="BJ49" s="181"/>
      <c r="BK49" s="181"/>
      <c r="BW49" s="182"/>
      <c r="BX49" s="182"/>
      <c r="BY49" s="182"/>
      <c r="BZ49" s="182"/>
      <c r="CA49" s="182"/>
      <c r="CB49" s="182"/>
      <c r="CC49" s="182"/>
      <c r="CD49" s="182"/>
      <c r="CE49" s="182"/>
      <c r="CF49" s="182"/>
      <c r="CG49" s="182"/>
      <c r="CH49" s="182"/>
      <c r="CI49" s="182"/>
      <c r="CJ49" s="182"/>
      <c r="CL49" s="183"/>
      <c r="CM49" s="183"/>
      <c r="CN49" s="183"/>
      <c r="CO49" s="183"/>
      <c r="CP49" s="183"/>
      <c r="CQ49" s="183"/>
      <c r="CR49" s="183"/>
      <c r="CS49" s="183"/>
      <c r="CT49" s="183"/>
      <c r="CU49" s="183"/>
      <c r="CV49" s="183"/>
      <c r="CW49" s="183"/>
      <c r="CX49" s="183"/>
      <c r="CY49" s="183"/>
      <c r="CZ49" s="183"/>
      <c r="DA49" s="183"/>
      <c r="DB49" s="183"/>
      <c r="DC49" s="183"/>
    </row>
    <row r="50" spans="2:107" ht="15" customHeight="1" x14ac:dyDescent="0.25">
      <c r="B50" s="291"/>
      <c r="C50" s="291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90"/>
      <c r="R50" s="9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180"/>
      <c r="AI50" s="180"/>
      <c r="AJ50" s="180"/>
      <c r="AK50" s="180"/>
      <c r="AM50" s="181"/>
      <c r="AN50" s="181"/>
      <c r="AO50" s="181"/>
      <c r="AP50" s="181"/>
      <c r="AQ50" s="181"/>
      <c r="AR50" s="181"/>
      <c r="AS50" s="181"/>
      <c r="AT50" s="181"/>
      <c r="AU50" s="181"/>
      <c r="AV50" s="181"/>
      <c r="AW50" s="181"/>
      <c r="AX50" s="181"/>
      <c r="AY50" s="181"/>
      <c r="AZ50" s="181"/>
      <c r="BA50" s="181"/>
      <c r="BB50" s="181"/>
      <c r="BC50" s="181"/>
      <c r="BD50" s="181"/>
      <c r="BE50" s="181"/>
      <c r="BF50" s="181"/>
      <c r="BG50" s="181"/>
      <c r="BH50" s="181"/>
      <c r="BI50" s="181"/>
      <c r="BJ50" s="181"/>
      <c r="BK50" s="181"/>
      <c r="BW50" s="182"/>
      <c r="BX50" s="182"/>
      <c r="BY50" s="182"/>
      <c r="BZ50" s="182"/>
      <c r="CA50" s="182"/>
      <c r="CB50" s="182"/>
      <c r="CC50" s="182"/>
      <c r="CD50" s="182"/>
      <c r="CE50" s="182"/>
      <c r="CF50" s="182"/>
      <c r="CG50" s="182"/>
      <c r="CH50" s="182"/>
      <c r="CI50" s="182"/>
      <c r="CJ50" s="182"/>
      <c r="CL50" s="183"/>
      <c r="CM50" s="183"/>
      <c r="CN50" s="183"/>
      <c r="CO50" s="183"/>
      <c r="CP50" s="183"/>
      <c r="CQ50" s="183"/>
      <c r="CR50" s="183"/>
      <c r="CS50" s="183"/>
      <c r="CT50" s="183"/>
      <c r="CU50" s="183"/>
      <c r="CV50" s="183"/>
      <c r="CW50" s="183"/>
      <c r="CX50" s="183"/>
      <c r="CY50" s="183"/>
      <c r="CZ50" s="183"/>
      <c r="DA50" s="183"/>
      <c r="DB50" s="183"/>
      <c r="DC50" s="183"/>
    </row>
    <row r="51" spans="2:107" ht="15" customHeight="1" x14ac:dyDescent="0.25">
      <c r="B51" s="291"/>
      <c r="C51" s="291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90"/>
      <c r="R51" s="90"/>
      <c r="U51" s="180"/>
      <c r="V51" s="180"/>
      <c r="W51" s="180"/>
      <c r="X51" s="180"/>
      <c r="Y51" s="180"/>
      <c r="Z51" s="180"/>
      <c r="AA51" s="180"/>
      <c r="AB51" s="180"/>
      <c r="AC51" s="180"/>
      <c r="AD51" s="180"/>
      <c r="AE51" s="180"/>
      <c r="AF51" s="180"/>
      <c r="AG51" s="180"/>
      <c r="AH51" s="180"/>
      <c r="AI51" s="180"/>
      <c r="AJ51" s="180"/>
      <c r="AK51" s="180"/>
      <c r="AM51" s="181"/>
      <c r="AN51" s="181"/>
      <c r="AO51" s="181"/>
      <c r="AP51" s="181"/>
      <c r="AQ51" s="181"/>
      <c r="AR51" s="181"/>
      <c r="AS51" s="181"/>
      <c r="AT51" s="181"/>
      <c r="AU51" s="181"/>
      <c r="AV51" s="181"/>
      <c r="AW51" s="181"/>
      <c r="AX51" s="181"/>
      <c r="AY51" s="181"/>
      <c r="AZ51" s="181"/>
      <c r="BA51" s="181"/>
      <c r="BB51" s="181"/>
      <c r="BC51" s="181"/>
      <c r="BD51" s="181"/>
      <c r="BE51" s="181"/>
      <c r="BF51" s="181"/>
      <c r="BG51" s="181"/>
      <c r="BH51" s="181"/>
      <c r="BI51" s="181"/>
      <c r="BJ51" s="181"/>
      <c r="BK51" s="181"/>
      <c r="BW51" s="182"/>
      <c r="BX51" s="182"/>
      <c r="BY51" s="182"/>
      <c r="BZ51" s="182"/>
      <c r="CA51" s="182"/>
      <c r="CB51" s="182"/>
      <c r="CC51" s="182"/>
      <c r="CD51" s="182"/>
      <c r="CE51" s="182"/>
      <c r="CF51" s="182"/>
      <c r="CG51" s="182"/>
      <c r="CH51" s="182"/>
      <c r="CI51" s="182"/>
      <c r="CJ51" s="182"/>
      <c r="CL51" s="183"/>
      <c r="CM51" s="183"/>
      <c r="CN51" s="183"/>
      <c r="CO51" s="183"/>
      <c r="CP51" s="183"/>
      <c r="CQ51" s="183"/>
      <c r="CR51" s="183"/>
      <c r="CS51" s="183"/>
      <c r="CT51" s="183"/>
      <c r="CU51" s="183"/>
      <c r="CV51" s="183"/>
      <c r="CW51" s="183"/>
      <c r="CX51" s="183"/>
      <c r="CY51" s="183"/>
      <c r="CZ51" s="183"/>
      <c r="DA51" s="183"/>
      <c r="DB51" s="183"/>
      <c r="DC51" s="183"/>
    </row>
    <row r="52" spans="2:107" ht="15" customHeight="1" x14ac:dyDescent="0.25">
      <c r="B52" s="291"/>
      <c r="C52" s="291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90"/>
      <c r="R52" s="9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  <c r="AI52" s="180"/>
      <c r="AJ52" s="180"/>
      <c r="AK52" s="180"/>
      <c r="AM52" s="181"/>
      <c r="AN52" s="181"/>
      <c r="AO52" s="181"/>
      <c r="AP52" s="181"/>
      <c r="AQ52" s="181"/>
      <c r="AR52" s="181"/>
      <c r="AS52" s="181"/>
      <c r="AT52" s="181"/>
      <c r="AU52" s="181"/>
      <c r="AV52" s="181"/>
      <c r="AW52" s="181"/>
      <c r="AX52" s="181"/>
      <c r="AY52" s="181"/>
      <c r="AZ52" s="181"/>
      <c r="BA52" s="181"/>
      <c r="BB52" s="181"/>
      <c r="BC52" s="181"/>
      <c r="BD52" s="181"/>
      <c r="BE52" s="181"/>
      <c r="BF52" s="181"/>
      <c r="BG52" s="181"/>
      <c r="BH52" s="181"/>
      <c r="BI52" s="181"/>
      <c r="BJ52" s="181"/>
      <c r="BK52" s="181"/>
      <c r="BW52" s="182"/>
      <c r="BX52" s="182"/>
      <c r="BY52" s="182"/>
      <c r="BZ52" s="182"/>
      <c r="CA52" s="182"/>
      <c r="CB52" s="182"/>
      <c r="CC52" s="182"/>
      <c r="CD52" s="182"/>
      <c r="CE52" s="182"/>
      <c r="CF52" s="182"/>
      <c r="CG52" s="182"/>
      <c r="CH52" s="182"/>
      <c r="CI52" s="182"/>
      <c r="CJ52" s="182"/>
      <c r="CL52" s="183"/>
      <c r="CM52" s="183"/>
      <c r="CN52" s="183"/>
      <c r="CO52" s="183"/>
      <c r="CP52" s="183"/>
      <c r="CQ52" s="183"/>
      <c r="CR52" s="183"/>
      <c r="CS52" s="183"/>
      <c r="CT52" s="183"/>
      <c r="CU52" s="183"/>
      <c r="CV52" s="183"/>
      <c r="CW52" s="183"/>
      <c r="CX52" s="183"/>
      <c r="CY52" s="183"/>
      <c r="CZ52" s="183"/>
      <c r="DA52" s="183"/>
      <c r="DB52" s="183"/>
      <c r="DC52" s="183"/>
    </row>
    <row r="53" spans="2:107" ht="15" customHeight="1" x14ac:dyDescent="0.25">
      <c r="B53" s="291"/>
      <c r="C53" s="291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90"/>
      <c r="R53" s="90"/>
      <c r="U53" s="180"/>
      <c r="V53" s="180"/>
      <c r="W53" s="180"/>
      <c r="X53" s="180"/>
      <c r="Y53" s="180"/>
      <c r="Z53" s="180"/>
      <c r="AA53" s="180"/>
      <c r="AB53" s="180"/>
      <c r="AC53" s="180"/>
      <c r="AD53" s="180"/>
      <c r="AE53" s="180"/>
      <c r="AF53" s="180"/>
      <c r="AG53" s="180"/>
      <c r="AH53" s="180"/>
      <c r="AI53" s="180"/>
      <c r="AJ53" s="180"/>
      <c r="AK53" s="180"/>
      <c r="AM53" s="181"/>
      <c r="AN53" s="181"/>
      <c r="AO53" s="181"/>
      <c r="AP53" s="181"/>
      <c r="AQ53" s="181"/>
      <c r="AR53" s="181"/>
      <c r="AS53" s="181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W53" s="182"/>
      <c r="BX53" s="182"/>
      <c r="BY53" s="182"/>
      <c r="BZ53" s="182"/>
      <c r="CA53" s="182"/>
      <c r="CB53" s="182"/>
      <c r="CC53" s="182"/>
      <c r="CD53" s="182"/>
      <c r="CE53" s="182"/>
      <c r="CF53" s="182"/>
      <c r="CG53" s="182"/>
      <c r="CH53" s="182"/>
      <c r="CI53" s="182"/>
      <c r="CJ53" s="182"/>
      <c r="CL53" s="183"/>
      <c r="CM53" s="183"/>
      <c r="CN53" s="183"/>
      <c r="CO53" s="183"/>
      <c r="CP53" s="183"/>
      <c r="CQ53" s="183"/>
      <c r="CR53" s="183"/>
      <c r="CS53" s="183"/>
      <c r="CT53" s="183"/>
      <c r="CU53" s="183"/>
      <c r="CV53" s="183"/>
      <c r="CW53" s="183"/>
      <c r="CX53" s="183"/>
      <c r="CY53" s="183"/>
      <c r="CZ53" s="183"/>
      <c r="DA53" s="183"/>
      <c r="DB53" s="183"/>
      <c r="DC53" s="183"/>
    </row>
    <row r="54" spans="2:107" ht="15" customHeight="1" x14ac:dyDescent="0.25">
      <c r="B54" s="291"/>
      <c r="C54" s="291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90"/>
      <c r="R54" s="90"/>
      <c r="U54" s="180"/>
      <c r="V54" s="180"/>
      <c r="W54" s="180"/>
      <c r="X54" s="180"/>
      <c r="Y54" s="180"/>
      <c r="Z54" s="180"/>
      <c r="AA54" s="180"/>
      <c r="AB54" s="180"/>
      <c r="AC54" s="180"/>
      <c r="AD54" s="180"/>
      <c r="AE54" s="180"/>
      <c r="AF54" s="180"/>
      <c r="AG54" s="180"/>
      <c r="AH54" s="180"/>
      <c r="AI54" s="180"/>
      <c r="AJ54" s="180"/>
      <c r="AK54" s="180"/>
      <c r="AM54" s="181"/>
      <c r="AN54" s="181"/>
      <c r="AO54" s="181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W54" s="182"/>
      <c r="BX54" s="182"/>
      <c r="BY54" s="182"/>
      <c r="BZ54" s="182"/>
      <c r="CA54" s="182"/>
      <c r="CB54" s="182"/>
      <c r="CC54" s="182"/>
      <c r="CD54" s="182"/>
      <c r="CE54" s="182"/>
      <c r="CF54" s="182"/>
      <c r="CG54" s="182"/>
      <c r="CH54" s="182"/>
      <c r="CI54" s="182"/>
      <c r="CJ54" s="182"/>
      <c r="CL54" s="183"/>
      <c r="CM54" s="183"/>
      <c r="CN54" s="183"/>
      <c r="CO54" s="183"/>
      <c r="CP54" s="183"/>
      <c r="CQ54" s="183"/>
      <c r="CR54" s="183"/>
      <c r="CS54" s="183"/>
      <c r="CT54" s="183"/>
      <c r="CU54" s="183"/>
      <c r="CV54" s="183"/>
      <c r="CW54" s="183"/>
      <c r="CX54" s="183"/>
      <c r="CY54" s="183"/>
      <c r="CZ54" s="183"/>
      <c r="DA54" s="183"/>
      <c r="DB54" s="183"/>
      <c r="DC54" s="183"/>
    </row>
    <row r="55" spans="2:107" ht="15.75" customHeight="1" thickBot="1" x14ac:dyDescent="0.3">
      <c r="B55" s="304"/>
      <c r="C55" s="304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127"/>
      <c r="R55" s="127"/>
      <c r="U55" s="180"/>
      <c r="V55" s="180"/>
      <c r="W55" s="180"/>
      <c r="X55" s="180"/>
      <c r="Y55" s="180"/>
      <c r="Z55" s="180"/>
      <c r="AA55" s="180"/>
      <c r="AB55" s="180"/>
      <c r="AC55" s="180"/>
      <c r="AD55" s="180"/>
      <c r="AE55" s="180"/>
      <c r="AF55" s="180"/>
      <c r="AG55" s="180"/>
      <c r="AH55" s="180"/>
      <c r="AI55" s="180"/>
      <c r="AJ55" s="180"/>
      <c r="AK55" s="180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  <c r="AY55" s="181"/>
      <c r="AZ55" s="181"/>
      <c r="BA55" s="181"/>
      <c r="BB55" s="181"/>
      <c r="BC55" s="181"/>
      <c r="BD55" s="181"/>
      <c r="BE55" s="181"/>
      <c r="BF55" s="181"/>
      <c r="BG55" s="181"/>
      <c r="BH55" s="181"/>
      <c r="BI55" s="181"/>
      <c r="BJ55" s="181"/>
      <c r="BK55" s="181"/>
      <c r="BW55" s="182"/>
      <c r="BX55" s="182"/>
      <c r="BY55" s="182"/>
      <c r="BZ55" s="182"/>
      <c r="CA55" s="182"/>
      <c r="CB55" s="182"/>
      <c r="CC55" s="182"/>
      <c r="CD55" s="182"/>
      <c r="CE55" s="182"/>
      <c r="CF55" s="182"/>
      <c r="CG55" s="182"/>
      <c r="CH55" s="182"/>
      <c r="CI55" s="182"/>
      <c r="CJ55" s="182"/>
      <c r="CL55" s="183"/>
      <c r="CM55" s="183"/>
      <c r="CN55" s="183"/>
      <c r="CO55" s="183"/>
      <c r="CP55" s="183"/>
      <c r="CQ55" s="183"/>
      <c r="CR55" s="183"/>
      <c r="CS55" s="183"/>
      <c r="CT55" s="183"/>
      <c r="CU55" s="183"/>
      <c r="CV55" s="183"/>
      <c r="CW55" s="183"/>
      <c r="CX55" s="183"/>
      <c r="CY55" s="183"/>
      <c r="CZ55" s="183"/>
      <c r="DA55" s="183"/>
      <c r="DB55" s="183"/>
      <c r="DC55" s="183"/>
    </row>
    <row r="56" spans="2:107" ht="15" customHeight="1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U56" s="180"/>
      <c r="V56" s="180"/>
      <c r="W56" s="180"/>
      <c r="X56" s="180"/>
      <c r="Y56" s="180"/>
      <c r="Z56" s="180"/>
      <c r="AA56" s="180"/>
      <c r="AB56" s="180"/>
      <c r="AC56" s="180"/>
      <c r="AD56" s="180"/>
      <c r="AE56" s="180"/>
      <c r="AF56" s="180"/>
      <c r="AG56" s="180"/>
      <c r="AH56" s="180"/>
      <c r="AI56" s="180"/>
      <c r="AJ56" s="180"/>
      <c r="AK56" s="180"/>
      <c r="AM56" s="181"/>
      <c r="AN56" s="181"/>
      <c r="AO56" s="181"/>
      <c r="AP56" s="181"/>
      <c r="AQ56" s="181"/>
      <c r="AR56" s="181"/>
      <c r="AS56" s="181"/>
      <c r="AT56" s="181"/>
      <c r="AU56" s="181"/>
      <c r="AV56" s="181"/>
      <c r="AW56" s="181"/>
      <c r="AX56" s="181"/>
      <c r="AY56" s="181"/>
      <c r="AZ56" s="181"/>
      <c r="BA56" s="181"/>
      <c r="BB56" s="181"/>
      <c r="BC56" s="181"/>
      <c r="BD56" s="181"/>
      <c r="BE56" s="181"/>
      <c r="BF56" s="181"/>
      <c r="BG56" s="181"/>
      <c r="BH56" s="181"/>
      <c r="BI56" s="181"/>
      <c r="BJ56" s="181"/>
      <c r="BK56" s="181"/>
      <c r="BW56" s="182"/>
      <c r="BX56" s="182"/>
      <c r="BY56" s="182"/>
      <c r="BZ56" s="182"/>
      <c r="CA56" s="182"/>
      <c r="CB56" s="182"/>
      <c r="CC56" s="182"/>
      <c r="CD56" s="182"/>
      <c r="CE56" s="182"/>
      <c r="CF56" s="182"/>
      <c r="CG56" s="182"/>
      <c r="CH56" s="182"/>
      <c r="CI56" s="182"/>
      <c r="CJ56" s="182"/>
      <c r="CL56" s="183"/>
      <c r="CM56" s="183"/>
      <c r="CN56" s="183"/>
      <c r="CO56" s="183"/>
      <c r="CP56" s="183"/>
      <c r="CQ56" s="183"/>
      <c r="CR56" s="183"/>
      <c r="CS56" s="183"/>
      <c r="CT56" s="183"/>
      <c r="CU56" s="183"/>
      <c r="CV56" s="183"/>
      <c r="CW56" s="183"/>
      <c r="CX56" s="183"/>
      <c r="CY56" s="183"/>
      <c r="CZ56" s="183"/>
      <c r="DA56" s="183"/>
      <c r="DB56" s="183"/>
      <c r="DC56" s="183"/>
    </row>
    <row r="57" spans="2:107" ht="15.75" customHeight="1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306"/>
      <c r="O57" s="56"/>
      <c r="P57" s="56"/>
      <c r="Q57" s="56"/>
      <c r="R57" s="56"/>
      <c r="U57" s="180"/>
      <c r="V57" s="180"/>
      <c r="W57" s="180"/>
      <c r="X57" s="180"/>
      <c r="Y57" s="180"/>
      <c r="Z57" s="180"/>
      <c r="AA57" s="180"/>
      <c r="AB57" s="180"/>
      <c r="AC57" s="180"/>
      <c r="AD57" s="180"/>
      <c r="AE57" s="180"/>
      <c r="AF57" s="180"/>
      <c r="AG57" s="180"/>
      <c r="AH57" s="180"/>
      <c r="AI57" s="180"/>
      <c r="AJ57" s="180"/>
      <c r="AK57" s="180"/>
      <c r="AM57" s="181"/>
      <c r="AN57" s="181"/>
      <c r="AO57" s="181"/>
      <c r="AP57" s="181"/>
      <c r="AQ57" s="181"/>
      <c r="AR57" s="181"/>
      <c r="AS57" s="181"/>
      <c r="AT57" s="181"/>
      <c r="AU57" s="181"/>
      <c r="AV57" s="181"/>
      <c r="AW57" s="181"/>
      <c r="AX57" s="181"/>
      <c r="AY57" s="181"/>
      <c r="AZ57" s="181"/>
      <c r="BA57" s="181"/>
      <c r="BB57" s="181"/>
      <c r="BC57" s="181"/>
      <c r="BD57" s="181"/>
      <c r="BE57" s="181"/>
      <c r="BF57" s="181"/>
      <c r="BG57" s="181"/>
      <c r="BH57" s="181"/>
      <c r="BI57" s="181"/>
      <c r="BJ57" s="181"/>
      <c r="BK57" s="181"/>
      <c r="BW57" s="182"/>
      <c r="BX57" s="182"/>
      <c r="BY57" s="182"/>
      <c r="BZ57" s="182"/>
      <c r="CA57" s="182"/>
      <c r="CB57" s="182"/>
      <c r="CC57" s="182"/>
      <c r="CD57" s="182"/>
      <c r="CE57" s="182"/>
      <c r="CF57" s="182"/>
      <c r="CG57" s="182"/>
      <c r="CH57" s="182"/>
      <c r="CI57" s="182"/>
      <c r="CJ57" s="182"/>
      <c r="CL57" s="183"/>
      <c r="CM57" s="183"/>
      <c r="CN57" s="183"/>
      <c r="CO57" s="183"/>
      <c r="CP57" s="183"/>
      <c r="CQ57" s="183"/>
      <c r="CR57" s="183"/>
      <c r="CS57" s="183"/>
      <c r="CT57" s="183"/>
      <c r="CU57" s="183"/>
      <c r="CV57" s="183"/>
      <c r="CW57" s="183"/>
      <c r="CX57" s="183"/>
      <c r="CY57" s="183"/>
      <c r="CZ57" s="183"/>
      <c r="DA57" s="183"/>
      <c r="DB57" s="183"/>
      <c r="DC57" s="183"/>
    </row>
    <row r="58" spans="2:107" ht="16.5" customHeight="1" x14ac:dyDescent="0.25">
      <c r="I58" s="56"/>
      <c r="J58" s="56"/>
      <c r="K58" s="56"/>
      <c r="L58" s="56"/>
      <c r="M58" s="56"/>
      <c r="N58" s="57"/>
      <c r="O58" s="56"/>
      <c r="P58" s="56"/>
      <c r="Q58" s="56"/>
      <c r="R58" s="56"/>
      <c r="U58" s="180"/>
      <c r="V58" s="180"/>
      <c r="W58" s="180"/>
      <c r="X58" s="180"/>
      <c r="Y58" s="180"/>
      <c r="Z58" s="180"/>
      <c r="AA58" s="180"/>
      <c r="AB58" s="180"/>
      <c r="AC58" s="180"/>
      <c r="AD58" s="180"/>
      <c r="AE58" s="180"/>
      <c r="AF58" s="180"/>
      <c r="AG58" s="180"/>
      <c r="AH58" s="180"/>
      <c r="AI58" s="180"/>
      <c r="AJ58" s="180"/>
      <c r="AK58" s="180"/>
      <c r="AM58" s="181"/>
      <c r="AN58" s="181"/>
      <c r="AO58" s="181"/>
      <c r="AP58" s="181"/>
      <c r="AQ58" s="181"/>
      <c r="AR58" s="181"/>
      <c r="AS58" s="181"/>
      <c r="AT58" s="181"/>
      <c r="AU58" s="181"/>
      <c r="AV58" s="181"/>
      <c r="AW58" s="181"/>
      <c r="AX58" s="181"/>
      <c r="AY58" s="181"/>
      <c r="AZ58" s="181"/>
      <c r="BA58" s="181"/>
      <c r="BB58" s="181"/>
      <c r="BC58" s="181"/>
      <c r="BD58" s="181"/>
      <c r="BE58" s="181"/>
      <c r="BF58" s="181"/>
      <c r="BG58" s="181"/>
      <c r="BH58" s="181"/>
      <c r="BI58" s="181"/>
      <c r="BJ58" s="181"/>
      <c r="BK58" s="181"/>
      <c r="BW58" s="182"/>
      <c r="BX58" s="182"/>
      <c r="BY58" s="182"/>
      <c r="BZ58" s="182"/>
      <c r="CA58" s="182"/>
      <c r="CB58" s="182"/>
      <c r="CC58" s="182"/>
      <c r="CD58" s="182"/>
      <c r="CE58" s="182"/>
      <c r="CF58" s="182"/>
      <c r="CG58" s="182"/>
      <c r="CH58" s="182"/>
      <c r="CI58" s="182"/>
      <c r="CJ58" s="182"/>
      <c r="CL58" s="183"/>
      <c r="CM58" s="183"/>
      <c r="CN58" s="183"/>
      <c r="CO58" s="183"/>
      <c r="CP58" s="183"/>
      <c r="CQ58" s="183"/>
      <c r="CR58" s="183"/>
      <c r="CS58" s="183"/>
      <c r="CT58" s="183"/>
      <c r="CU58" s="183"/>
      <c r="CV58" s="183"/>
      <c r="CW58" s="183"/>
      <c r="CX58" s="183"/>
      <c r="CY58" s="183"/>
      <c r="CZ58" s="183"/>
      <c r="DA58" s="183"/>
      <c r="DB58" s="183"/>
      <c r="DC58" s="183"/>
    </row>
    <row r="59" spans="2:107" ht="16.5" customHeight="1" x14ac:dyDescent="0.25">
      <c r="I59" s="56"/>
      <c r="J59" s="56"/>
      <c r="K59" s="56"/>
      <c r="L59" s="56"/>
      <c r="U59" s="180"/>
      <c r="V59" s="180"/>
      <c r="W59" s="180"/>
      <c r="X59" s="180"/>
      <c r="Y59" s="180"/>
      <c r="Z59" s="180"/>
      <c r="AA59" s="180"/>
      <c r="AB59" s="180"/>
      <c r="AC59" s="180"/>
      <c r="AD59" s="180"/>
      <c r="AE59" s="180"/>
      <c r="AF59" s="180"/>
      <c r="AG59" s="180"/>
      <c r="AH59" s="180"/>
      <c r="AI59" s="180"/>
      <c r="AJ59" s="180"/>
      <c r="AK59" s="180"/>
      <c r="AM59" s="181"/>
      <c r="AN59" s="181"/>
      <c r="AO59" s="181"/>
      <c r="AP59" s="181"/>
      <c r="AQ59" s="181"/>
      <c r="AR59" s="181"/>
      <c r="AS59" s="181"/>
      <c r="AT59" s="181"/>
      <c r="AU59" s="181"/>
      <c r="AV59" s="181"/>
      <c r="AW59" s="181"/>
      <c r="AX59" s="181"/>
      <c r="AY59" s="181"/>
      <c r="AZ59" s="181"/>
      <c r="BA59" s="181"/>
      <c r="BB59" s="181"/>
      <c r="BC59" s="181"/>
      <c r="BD59" s="181"/>
      <c r="BE59" s="181"/>
      <c r="BF59" s="181"/>
      <c r="BG59" s="181"/>
      <c r="BH59" s="181"/>
      <c r="BI59" s="181"/>
      <c r="BJ59" s="181"/>
      <c r="BK59" s="181"/>
      <c r="BW59" s="182"/>
      <c r="BX59" s="182"/>
      <c r="BY59" s="182"/>
      <c r="BZ59" s="182"/>
      <c r="CA59" s="182"/>
      <c r="CB59" s="182"/>
      <c r="CC59" s="182"/>
      <c r="CD59" s="182"/>
      <c r="CE59" s="182"/>
      <c r="CF59" s="182"/>
      <c r="CG59" s="182"/>
      <c r="CH59" s="182"/>
      <c r="CI59" s="182"/>
      <c r="CJ59" s="182"/>
      <c r="CL59" s="183"/>
      <c r="CM59" s="183"/>
      <c r="CN59" s="183"/>
      <c r="CO59" s="183"/>
      <c r="CP59" s="183"/>
      <c r="CQ59" s="183"/>
      <c r="CR59" s="183"/>
      <c r="CS59" s="183"/>
      <c r="CT59" s="183"/>
      <c r="CU59" s="183"/>
      <c r="CV59" s="183"/>
      <c r="CW59" s="183"/>
      <c r="CX59" s="183"/>
      <c r="CY59" s="183"/>
      <c r="CZ59" s="183"/>
      <c r="DA59" s="183"/>
      <c r="DB59" s="183"/>
      <c r="DC59" s="183"/>
    </row>
    <row r="60" spans="2:107" ht="15" customHeight="1" x14ac:dyDescent="0.25">
      <c r="I60" s="56"/>
      <c r="J60" s="56"/>
      <c r="K60" s="56"/>
      <c r="L60" s="56"/>
      <c r="U60" s="180"/>
      <c r="V60" s="180"/>
      <c r="W60" s="180"/>
      <c r="X60" s="180"/>
      <c r="Y60" s="180"/>
      <c r="Z60" s="180"/>
      <c r="AA60" s="180"/>
      <c r="AB60" s="180"/>
      <c r="AC60" s="180"/>
      <c r="AD60" s="180"/>
      <c r="AE60" s="180"/>
      <c r="AF60" s="180"/>
      <c r="AG60" s="180"/>
      <c r="AH60" s="180"/>
      <c r="AI60" s="180"/>
      <c r="AJ60" s="180"/>
      <c r="AK60" s="180"/>
      <c r="AM60" s="181"/>
      <c r="AN60" s="181"/>
      <c r="AO60" s="181"/>
      <c r="AP60" s="181"/>
      <c r="AQ60" s="181"/>
      <c r="AR60" s="181"/>
      <c r="AS60" s="181"/>
      <c r="AT60" s="181"/>
      <c r="AU60" s="181"/>
      <c r="AV60" s="181"/>
      <c r="AW60" s="181"/>
      <c r="AX60" s="181"/>
      <c r="AY60" s="181"/>
      <c r="AZ60" s="181"/>
      <c r="BA60" s="181"/>
      <c r="BB60" s="181"/>
      <c r="BC60" s="181"/>
      <c r="BD60" s="181"/>
      <c r="BE60" s="181"/>
      <c r="BF60" s="181"/>
      <c r="BG60" s="181"/>
      <c r="BH60" s="181"/>
      <c r="BI60" s="181"/>
      <c r="BJ60" s="181"/>
      <c r="BK60" s="181"/>
      <c r="BW60" s="182"/>
      <c r="BX60" s="182"/>
      <c r="BY60" s="182"/>
      <c r="BZ60" s="182"/>
      <c r="CA60" s="182"/>
      <c r="CB60" s="182"/>
      <c r="CC60" s="182"/>
      <c r="CD60" s="182"/>
      <c r="CE60" s="182"/>
      <c r="CF60" s="182"/>
      <c r="CG60" s="182"/>
      <c r="CH60" s="182"/>
      <c r="CI60" s="182"/>
      <c r="CJ60" s="182"/>
      <c r="CL60" s="183"/>
      <c r="CM60" s="183"/>
      <c r="CN60" s="183"/>
      <c r="CO60" s="183"/>
      <c r="CP60" s="183"/>
      <c r="CQ60" s="183"/>
      <c r="CR60" s="183"/>
      <c r="CS60" s="183"/>
      <c r="CT60" s="183"/>
      <c r="CU60" s="183"/>
      <c r="CV60" s="183"/>
      <c r="CW60" s="183"/>
      <c r="CX60" s="183"/>
      <c r="CY60" s="183"/>
      <c r="CZ60" s="183"/>
      <c r="DA60" s="183"/>
      <c r="DB60" s="183"/>
      <c r="DC60" s="183"/>
    </row>
    <row r="61" spans="2:107" ht="15" customHeight="1" x14ac:dyDescent="0.25">
      <c r="I61" s="56"/>
      <c r="J61" s="56"/>
      <c r="K61" s="56"/>
      <c r="L61" s="56"/>
      <c r="U61" s="180"/>
      <c r="V61" s="180"/>
      <c r="W61" s="180"/>
      <c r="X61" s="180"/>
      <c r="Y61" s="180"/>
      <c r="Z61" s="180"/>
      <c r="AA61" s="180"/>
      <c r="AB61" s="180"/>
      <c r="AC61" s="180"/>
      <c r="AD61" s="180"/>
      <c r="AE61" s="180"/>
      <c r="AF61" s="180"/>
      <c r="AG61" s="180"/>
      <c r="AH61" s="180"/>
      <c r="AI61" s="180"/>
      <c r="AJ61" s="180"/>
      <c r="AK61" s="180"/>
      <c r="AM61" s="181"/>
      <c r="AN61" s="181"/>
      <c r="AO61" s="181"/>
      <c r="AP61" s="181"/>
      <c r="AQ61" s="181"/>
      <c r="AR61" s="181"/>
      <c r="AS61" s="181"/>
      <c r="AT61" s="181"/>
      <c r="AU61" s="181"/>
      <c r="AV61" s="181"/>
      <c r="AW61" s="181"/>
      <c r="AX61" s="181"/>
      <c r="AY61" s="181"/>
      <c r="AZ61" s="181"/>
      <c r="BA61" s="181"/>
      <c r="BB61" s="181"/>
      <c r="BC61" s="181"/>
      <c r="BD61" s="181"/>
      <c r="BE61" s="181"/>
      <c r="BF61" s="181"/>
      <c r="BG61" s="181"/>
      <c r="BH61" s="181"/>
      <c r="BI61" s="181"/>
      <c r="BJ61" s="181"/>
      <c r="BK61" s="181"/>
      <c r="BW61" s="182"/>
      <c r="BX61" s="182"/>
      <c r="BY61" s="182"/>
      <c r="BZ61" s="182"/>
      <c r="CA61" s="182"/>
      <c r="CB61" s="182"/>
      <c r="CC61" s="182"/>
      <c r="CD61" s="182"/>
      <c r="CE61" s="182"/>
      <c r="CF61" s="182"/>
      <c r="CG61" s="182"/>
      <c r="CH61" s="182"/>
      <c r="CI61" s="182"/>
      <c r="CJ61" s="182"/>
      <c r="CL61" s="183"/>
      <c r="CM61" s="183"/>
      <c r="CN61" s="183"/>
      <c r="CO61" s="183"/>
      <c r="CP61" s="183"/>
      <c r="CQ61" s="183"/>
      <c r="CR61" s="183"/>
      <c r="CS61" s="183"/>
      <c r="CT61" s="183"/>
      <c r="CU61" s="183"/>
      <c r="CV61" s="183"/>
      <c r="CW61" s="183"/>
      <c r="CX61" s="183"/>
      <c r="CY61" s="183"/>
      <c r="CZ61" s="183"/>
      <c r="DA61" s="183"/>
      <c r="DB61" s="183"/>
      <c r="DC61" s="183"/>
    </row>
    <row r="62" spans="2:107" ht="15.75" customHeight="1" x14ac:dyDescent="0.25">
      <c r="I62" s="56"/>
      <c r="J62" s="56"/>
      <c r="K62" s="56"/>
      <c r="L62" s="56"/>
      <c r="U62" s="180"/>
      <c r="V62" s="180"/>
      <c r="W62" s="180"/>
      <c r="X62" s="180"/>
      <c r="Y62" s="180"/>
      <c r="Z62" s="180"/>
      <c r="AA62" s="180"/>
      <c r="AB62" s="180"/>
      <c r="AC62" s="180"/>
      <c r="AD62" s="180"/>
      <c r="AE62" s="180"/>
      <c r="AF62" s="180"/>
      <c r="AG62" s="180"/>
      <c r="AH62" s="180"/>
      <c r="AI62" s="180"/>
      <c r="AJ62" s="180"/>
      <c r="AK62" s="180"/>
      <c r="AM62" s="181"/>
      <c r="AN62" s="181"/>
      <c r="AO62" s="181"/>
      <c r="AP62" s="181"/>
      <c r="AQ62" s="181"/>
      <c r="AR62" s="181"/>
      <c r="AS62" s="181"/>
      <c r="AT62" s="181"/>
      <c r="AU62" s="181"/>
      <c r="AV62" s="181"/>
      <c r="AW62" s="181"/>
      <c r="AX62" s="181"/>
      <c r="AY62" s="181"/>
      <c r="AZ62" s="181"/>
      <c r="BA62" s="181"/>
      <c r="BB62" s="181"/>
      <c r="BC62" s="181"/>
      <c r="BD62" s="181"/>
      <c r="BE62" s="181"/>
      <c r="BF62" s="181"/>
      <c r="BG62" s="181"/>
      <c r="BH62" s="181"/>
      <c r="BI62" s="181"/>
      <c r="BJ62" s="181"/>
      <c r="BK62" s="181"/>
      <c r="BW62" s="182"/>
      <c r="BX62" s="182"/>
      <c r="BY62" s="182"/>
      <c r="BZ62" s="182"/>
      <c r="CA62" s="182"/>
      <c r="CB62" s="182"/>
      <c r="CC62" s="182"/>
      <c r="CD62" s="182"/>
      <c r="CE62" s="182"/>
      <c r="CF62" s="182"/>
      <c r="CG62" s="182"/>
      <c r="CH62" s="182"/>
      <c r="CI62" s="182"/>
      <c r="CJ62" s="182"/>
      <c r="CL62" s="183"/>
      <c r="CM62" s="183"/>
      <c r="CN62" s="183"/>
      <c r="CO62" s="183"/>
      <c r="CP62" s="183"/>
      <c r="CQ62" s="183"/>
      <c r="CR62" s="183"/>
      <c r="CS62" s="183"/>
      <c r="CT62" s="183"/>
      <c r="CU62" s="183"/>
      <c r="CV62" s="183"/>
      <c r="CW62" s="183"/>
      <c r="CX62" s="183"/>
      <c r="CY62" s="183"/>
      <c r="CZ62" s="183"/>
      <c r="DA62" s="183"/>
      <c r="DB62" s="183"/>
      <c r="DC62" s="183"/>
    </row>
    <row r="63" spans="2:107" ht="15.75" customHeight="1" x14ac:dyDescent="0.25">
      <c r="U63" s="180"/>
      <c r="V63" s="180"/>
      <c r="W63" s="180"/>
      <c r="X63" s="180"/>
      <c r="Y63" s="180"/>
      <c r="Z63" s="180"/>
      <c r="AA63" s="180"/>
      <c r="AB63" s="180"/>
      <c r="AC63" s="180"/>
      <c r="AD63" s="180"/>
      <c r="AE63" s="180"/>
      <c r="AF63" s="180"/>
      <c r="AG63" s="180"/>
      <c r="AH63" s="180"/>
      <c r="AI63" s="180"/>
      <c r="AJ63" s="180"/>
      <c r="AK63" s="180"/>
      <c r="AM63" s="181"/>
      <c r="AN63" s="181"/>
      <c r="AO63" s="181"/>
      <c r="AP63" s="181"/>
      <c r="AQ63" s="181"/>
      <c r="AR63" s="181"/>
      <c r="AS63" s="181"/>
      <c r="AT63" s="181"/>
      <c r="AU63" s="181"/>
      <c r="AV63" s="181"/>
      <c r="AW63" s="181"/>
      <c r="AX63" s="181"/>
      <c r="AY63" s="181"/>
      <c r="AZ63" s="181"/>
      <c r="BA63" s="181"/>
      <c r="BB63" s="181"/>
      <c r="BC63" s="181"/>
      <c r="BD63" s="181"/>
      <c r="BE63" s="181"/>
      <c r="BF63" s="181"/>
      <c r="BG63" s="181"/>
      <c r="BH63" s="181"/>
      <c r="BI63" s="181"/>
      <c r="BJ63" s="181"/>
      <c r="BK63" s="181"/>
      <c r="BW63" s="182"/>
      <c r="BX63" s="182"/>
      <c r="BY63" s="182"/>
      <c r="BZ63" s="182"/>
      <c r="CA63" s="182"/>
      <c r="CB63" s="182"/>
      <c r="CC63" s="182"/>
      <c r="CD63" s="182"/>
      <c r="CE63" s="182"/>
      <c r="CF63" s="182"/>
      <c r="CG63" s="182"/>
      <c r="CH63" s="182"/>
      <c r="CI63" s="182"/>
      <c r="CJ63" s="182"/>
      <c r="CL63" s="183"/>
      <c r="CM63" s="183"/>
      <c r="CN63" s="183"/>
      <c r="CO63" s="183"/>
      <c r="CP63" s="183"/>
      <c r="CQ63" s="183"/>
      <c r="CR63" s="183"/>
      <c r="CS63" s="183"/>
      <c r="CT63" s="183"/>
      <c r="CU63" s="183"/>
      <c r="CV63" s="183"/>
      <c r="CW63" s="183"/>
      <c r="CX63" s="183"/>
      <c r="CY63" s="183"/>
      <c r="CZ63" s="183"/>
      <c r="DA63" s="183"/>
      <c r="DB63" s="183"/>
      <c r="DC63" s="183"/>
    </row>
    <row r="64" spans="2:107" ht="15" customHeight="1" x14ac:dyDescent="0.25">
      <c r="U64" s="180"/>
      <c r="V64" s="180"/>
      <c r="W64" s="180"/>
      <c r="X64" s="180"/>
      <c r="Y64" s="180"/>
      <c r="Z64" s="180"/>
      <c r="AA64" s="180"/>
      <c r="AB64" s="180"/>
      <c r="AC64" s="180"/>
      <c r="AD64" s="180"/>
      <c r="AE64" s="180"/>
      <c r="AF64" s="180"/>
      <c r="AG64" s="180"/>
      <c r="AH64" s="180"/>
      <c r="AI64" s="180"/>
      <c r="AJ64" s="180"/>
      <c r="AK64" s="180"/>
      <c r="AM64" s="181"/>
      <c r="AN64" s="181"/>
      <c r="AO64" s="181"/>
      <c r="AP64" s="181"/>
      <c r="AQ64" s="181"/>
      <c r="AR64" s="181"/>
      <c r="AS64" s="181"/>
      <c r="AT64" s="181"/>
      <c r="AU64" s="181"/>
      <c r="AV64" s="181"/>
      <c r="AW64" s="181"/>
      <c r="AX64" s="181"/>
      <c r="AY64" s="181"/>
      <c r="AZ64" s="181"/>
      <c r="BA64" s="181"/>
      <c r="BB64" s="181"/>
      <c r="BC64" s="181"/>
      <c r="BD64" s="181"/>
      <c r="BE64" s="181"/>
      <c r="BF64" s="181"/>
      <c r="BG64" s="181"/>
      <c r="BH64" s="181"/>
      <c r="BI64" s="181"/>
      <c r="BJ64" s="181"/>
      <c r="BK64" s="181"/>
      <c r="BW64" s="182"/>
      <c r="BX64" s="182"/>
      <c r="BY64" s="182"/>
      <c r="BZ64" s="182"/>
      <c r="CA64" s="182"/>
      <c r="CB64" s="182"/>
      <c r="CC64" s="182"/>
      <c r="CD64" s="182"/>
      <c r="CE64" s="182"/>
      <c r="CF64" s="182"/>
      <c r="CG64" s="182"/>
      <c r="CH64" s="182"/>
      <c r="CI64" s="182"/>
      <c r="CJ64" s="182"/>
      <c r="CL64" s="183"/>
      <c r="CM64" s="183"/>
      <c r="CN64" s="183"/>
      <c r="CO64" s="183"/>
      <c r="CP64" s="183"/>
      <c r="CQ64" s="183"/>
      <c r="CR64" s="183"/>
      <c r="CS64" s="183"/>
      <c r="CT64" s="183"/>
      <c r="CU64" s="183"/>
      <c r="CV64" s="183"/>
      <c r="CW64" s="183"/>
      <c r="CX64" s="183"/>
      <c r="CY64" s="183"/>
      <c r="CZ64" s="183"/>
      <c r="DA64" s="183"/>
      <c r="DB64" s="183"/>
      <c r="DC64" s="183"/>
    </row>
    <row r="65" spans="21:107" ht="15.75" customHeight="1" x14ac:dyDescent="0.25">
      <c r="U65" s="180"/>
      <c r="V65" s="180"/>
      <c r="W65" s="180"/>
      <c r="X65" s="180"/>
      <c r="Y65" s="180"/>
      <c r="Z65" s="180"/>
      <c r="AA65" s="180"/>
      <c r="AB65" s="180"/>
      <c r="AC65" s="180"/>
      <c r="AD65" s="180"/>
      <c r="AE65" s="180"/>
      <c r="AF65" s="180"/>
      <c r="AG65" s="180"/>
      <c r="AH65" s="180"/>
      <c r="AI65" s="180"/>
      <c r="AJ65" s="180"/>
      <c r="AK65" s="180"/>
      <c r="AM65" s="181"/>
      <c r="AN65" s="181"/>
      <c r="AO65" s="181"/>
      <c r="AP65" s="181"/>
      <c r="AQ65" s="181"/>
      <c r="AR65" s="181"/>
      <c r="AS65" s="181"/>
      <c r="AT65" s="181"/>
      <c r="AU65" s="181"/>
      <c r="AV65" s="181"/>
      <c r="AW65" s="181"/>
      <c r="AX65" s="181"/>
      <c r="AY65" s="181"/>
      <c r="AZ65" s="181"/>
      <c r="BA65" s="181"/>
      <c r="BB65" s="181"/>
      <c r="BC65" s="181"/>
      <c r="BD65" s="181"/>
      <c r="BE65" s="181"/>
      <c r="BF65" s="181"/>
      <c r="BG65" s="181"/>
      <c r="BH65" s="181"/>
      <c r="BI65" s="181"/>
      <c r="BJ65" s="181"/>
      <c r="BK65" s="181"/>
      <c r="BW65" s="182"/>
      <c r="BX65" s="182"/>
      <c r="BY65" s="182"/>
      <c r="BZ65" s="182"/>
      <c r="CA65" s="182"/>
      <c r="CB65" s="182"/>
      <c r="CC65" s="182"/>
      <c r="CD65" s="182"/>
      <c r="CE65" s="182"/>
      <c r="CF65" s="182"/>
      <c r="CG65" s="182"/>
      <c r="CH65" s="182"/>
      <c r="CI65" s="182"/>
      <c r="CJ65" s="182"/>
      <c r="CL65" s="183"/>
      <c r="CM65" s="183"/>
      <c r="CN65" s="183"/>
      <c r="CO65" s="183"/>
      <c r="CP65" s="183"/>
      <c r="CQ65" s="183"/>
      <c r="CR65" s="183"/>
      <c r="CS65" s="183"/>
      <c r="CT65" s="183"/>
      <c r="CU65" s="183"/>
      <c r="CV65" s="183"/>
      <c r="CW65" s="183"/>
      <c r="CX65" s="183"/>
      <c r="CY65" s="183"/>
      <c r="CZ65" s="183"/>
      <c r="DA65" s="183"/>
      <c r="DB65" s="183"/>
      <c r="DC65" s="183"/>
    </row>
    <row r="66" spans="21:107" ht="15.75" customHeight="1" x14ac:dyDescent="0.25">
      <c r="U66" s="180"/>
      <c r="V66" s="180"/>
      <c r="W66" s="180"/>
      <c r="X66" s="180"/>
      <c r="Y66" s="180"/>
      <c r="Z66" s="180"/>
      <c r="AA66" s="180"/>
      <c r="AB66" s="180"/>
      <c r="AC66" s="180"/>
      <c r="AD66" s="180"/>
      <c r="AE66" s="180"/>
      <c r="AF66" s="180"/>
      <c r="AG66" s="180"/>
      <c r="AH66" s="180"/>
      <c r="AI66" s="180"/>
      <c r="AJ66" s="180"/>
      <c r="AK66" s="180"/>
      <c r="AM66" s="181"/>
      <c r="AN66" s="181"/>
      <c r="AO66" s="181"/>
      <c r="AP66" s="181"/>
      <c r="AQ66" s="181"/>
      <c r="AR66" s="181"/>
      <c r="AS66" s="181"/>
      <c r="AT66" s="181"/>
      <c r="AU66" s="181"/>
      <c r="AV66" s="181"/>
      <c r="AW66" s="181"/>
      <c r="AX66" s="181"/>
      <c r="AY66" s="181"/>
      <c r="AZ66" s="181"/>
      <c r="BA66" s="181"/>
      <c r="BB66" s="181"/>
      <c r="BC66" s="181"/>
      <c r="BD66" s="181"/>
      <c r="BE66" s="181"/>
      <c r="BF66" s="181"/>
      <c r="BG66" s="181"/>
      <c r="BH66" s="181"/>
      <c r="BI66" s="181"/>
      <c r="BJ66" s="181"/>
      <c r="BK66" s="181"/>
      <c r="BW66" s="182"/>
      <c r="BX66" s="182"/>
      <c r="BY66" s="182"/>
      <c r="BZ66" s="182"/>
      <c r="CA66" s="182"/>
      <c r="CB66" s="182"/>
      <c r="CC66" s="182"/>
      <c r="CD66" s="182"/>
      <c r="CE66" s="182"/>
      <c r="CF66" s="182"/>
      <c r="CG66" s="182"/>
      <c r="CH66" s="182"/>
      <c r="CI66" s="182"/>
      <c r="CJ66" s="182"/>
      <c r="CL66" s="183"/>
      <c r="CM66" s="183"/>
      <c r="CN66" s="183"/>
      <c r="CO66" s="183"/>
      <c r="CP66" s="183"/>
      <c r="CQ66" s="183"/>
      <c r="CR66" s="183"/>
      <c r="CS66" s="183"/>
      <c r="CT66" s="183"/>
      <c r="CU66" s="183"/>
      <c r="CV66" s="183"/>
      <c r="CW66" s="183"/>
      <c r="CX66" s="183"/>
      <c r="CY66" s="183"/>
      <c r="CZ66" s="183"/>
      <c r="DA66" s="183"/>
      <c r="DB66" s="183"/>
      <c r="DC66" s="183"/>
    </row>
    <row r="67" spans="21:107" ht="15.75" customHeight="1" x14ac:dyDescent="0.25">
      <c r="U67" s="180"/>
      <c r="V67" s="180"/>
      <c r="W67" s="180"/>
      <c r="X67" s="180"/>
      <c r="Y67" s="180"/>
      <c r="Z67" s="180"/>
      <c r="AA67" s="180"/>
      <c r="AB67" s="180"/>
      <c r="AC67" s="180"/>
      <c r="AD67" s="180"/>
      <c r="AE67" s="180"/>
      <c r="AF67" s="180"/>
      <c r="AG67" s="180"/>
      <c r="AH67" s="180"/>
      <c r="AI67" s="180"/>
      <c r="AJ67" s="180"/>
      <c r="AK67" s="180"/>
      <c r="AM67" s="181"/>
      <c r="AN67" s="181"/>
      <c r="AO67" s="181"/>
      <c r="AP67" s="181"/>
      <c r="AQ67" s="181"/>
      <c r="AR67" s="181"/>
      <c r="AS67" s="181"/>
      <c r="AT67" s="181"/>
      <c r="AU67" s="181"/>
      <c r="AV67" s="181"/>
      <c r="AW67" s="181"/>
      <c r="AX67" s="181"/>
      <c r="AY67" s="181"/>
      <c r="AZ67" s="181"/>
      <c r="BA67" s="181"/>
      <c r="BB67" s="181"/>
      <c r="BC67" s="181"/>
      <c r="BD67" s="181"/>
      <c r="BE67" s="181"/>
      <c r="BF67" s="181"/>
      <c r="BG67" s="181"/>
      <c r="BH67" s="181"/>
      <c r="BI67" s="181"/>
      <c r="BJ67" s="181"/>
      <c r="BK67" s="181"/>
      <c r="BW67" s="182"/>
      <c r="BX67" s="182"/>
      <c r="BY67" s="182"/>
      <c r="BZ67" s="182"/>
      <c r="CA67" s="182"/>
      <c r="CB67" s="182"/>
      <c r="CC67" s="182"/>
      <c r="CD67" s="182"/>
      <c r="CE67" s="182"/>
      <c r="CF67" s="182"/>
      <c r="CG67" s="182"/>
      <c r="CH67" s="182"/>
      <c r="CI67" s="182"/>
      <c r="CJ67" s="182"/>
      <c r="CL67" s="183"/>
      <c r="CM67" s="183"/>
      <c r="CN67" s="183"/>
      <c r="CO67" s="183"/>
      <c r="CP67" s="183"/>
      <c r="CQ67" s="183"/>
      <c r="CR67" s="183"/>
      <c r="CS67" s="183"/>
      <c r="CT67" s="183"/>
      <c r="CU67" s="183"/>
      <c r="CV67" s="183"/>
      <c r="CW67" s="183"/>
      <c r="CX67" s="183"/>
      <c r="CY67" s="183"/>
      <c r="CZ67" s="183"/>
      <c r="DA67" s="183"/>
      <c r="DB67" s="183"/>
      <c r="DC67" s="183"/>
    </row>
    <row r="68" spans="21:107" ht="15.75" customHeight="1" x14ac:dyDescent="0.25">
      <c r="U68" s="180"/>
      <c r="V68" s="180"/>
      <c r="W68" s="180"/>
      <c r="X68" s="180"/>
      <c r="Y68" s="180"/>
      <c r="Z68" s="180"/>
      <c r="AA68" s="180"/>
      <c r="AB68" s="180"/>
      <c r="AC68" s="180"/>
      <c r="AD68" s="180"/>
      <c r="AE68" s="180"/>
      <c r="AF68" s="180"/>
      <c r="AG68" s="180"/>
      <c r="AH68" s="180"/>
      <c r="AI68" s="180"/>
      <c r="AJ68" s="180"/>
      <c r="AK68" s="180"/>
      <c r="AM68" s="181"/>
      <c r="AN68" s="181"/>
      <c r="AO68" s="181"/>
      <c r="AP68" s="181"/>
      <c r="AQ68" s="181"/>
      <c r="AR68" s="181"/>
      <c r="AS68" s="181"/>
      <c r="AT68" s="181"/>
      <c r="AU68" s="181"/>
      <c r="AV68" s="181"/>
      <c r="AW68" s="181"/>
      <c r="AX68" s="181"/>
      <c r="AY68" s="181"/>
      <c r="AZ68" s="181"/>
      <c r="BA68" s="181"/>
      <c r="BB68" s="181"/>
      <c r="BC68" s="181"/>
      <c r="BD68" s="181"/>
      <c r="BE68" s="181"/>
      <c r="BF68" s="181"/>
      <c r="BG68" s="181"/>
      <c r="BH68" s="181"/>
      <c r="BI68" s="181"/>
      <c r="BJ68" s="181"/>
      <c r="BK68" s="181"/>
      <c r="BW68" s="182"/>
      <c r="BX68" s="182"/>
      <c r="BY68" s="182"/>
      <c r="BZ68" s="182"/>
      <c r="CA68" s="182"/>
      <c r="CB68" s="182"/>
      <c r="CC68" s="182"/>
      <c r="CD68" s="182"/>
      <c r="CE68" s="182"/>
      <c r="CF68" s="182"/>
      <c r="CG68" s="182"/>
      <c r="CH68" s="182"/>
      <c r="CI68" s="182"/>
      <c r="CJ68" s="182"/>
      <c r="CL68" s="183"/>
      <c r="CM68" s="183"/>
      <c r="CN68" s="183"/>
      <c r="CO68" s="183"/>
      <c r="CP68" s="183"/>
      <c r="CQ68" s="183"/>
      <c r="CR68" s="183"/>
      <c r="CS68" s="183"/>
      <c r="CT68" s="183"/>
      <c r="CU68" s="183"/>
      <c r="CV68" s="183"/>
      <c r="CW68" s="183"/>
      <c r="CX68" s="183"/>
      <c r="CY68" s="183"/>
      <c r="CZ68" s="183"/>
      <c r="DA68" s="183"/>
      <c r="DB68" s="183"/>
      <c r="DC68" s="183"/>
    </row>
    <row r="69" spans="21:107" ht="15" customHeight="1" x14ac:dyDescent="0.25">
      <c r="U69" s="180"/>
      <c r="V69" s="180"/>
      <c r="W69" s="180"/>
      <c r="X69" s="180"/>
      <c r="Y69" s="180"/>
      <c r="Z69" s="180"/>
      <c r="AA69" s="180"/>
      <c r="AB69" s="180"/>
      <c r="AC69" s="180"/>
      <c r="AD69" s="180"/>
      <c r="AE69" s="180"/>
      <c r="AF69" s="180"/>
      <c r="AG69" s="180"/>
      <c r="AH69" s="180"/>
      <c r="AI69" s="180"/>
      <c r="AJ69" s="180"/>
      <c r="AK69" s="180"/>
      <c r="AM69" s="181"/>
      <c r="AN69" s="181"/>
      <c r="AO69" s="181"/>
      <c r="AP69" s="181"/>
      <c r="AQ69" s="181"/>
      <c r="AR69" s="181"/>
      <c r="AS69" s="181"/>
      <c r="AT69" s="181"/>
      <c r="AU69" s="181"/>
      <c r="AV69" s="181"/>
      <c r="AW69" s="181"/>
      <c r="AX69" s="181"/>
      <c r="AY69" s="181"/>
      <c r="AZ69" s="181"/>
      <c r="BA69" s="181"/>
      <c r="BB69" s="181"/>
      <c r="BC69" s="181"/>
      <c r="BD69" s="181"/>
      <c r="BE69" s="181"/>
      <c r="BF69" s="181"/>
      <c r="BG69" s="181"/>
      <c r="BH69" s="181"/>
      <c r="BI69" s="181"/>
      <c r="BJ69" s="181"/>
      <c r="BK69" s="181"/>
      <c r="BW69" s="182"/>
      <c r="BX69" s="182"/>
      <c r="BY69" s="182"/>
      <c r="BZ69" s="182"/>
      <c r="CA69" s="182"/>
      <c r="CB69" s="182"/>
      <c r="CC69" s="182"/>
      <c r="CD69" s="182"/>
      <c r="CE69" s="182"/>
      <c r="CF69" s="182"/>
      <c r="CG69" s="182"/>
      <c r="CH69" s="182"/>
      <c r="CI69" s="182"/>
      <c r="CJ69" s="182"/>
      <c r="CL69" s="183"/>
      <c r="CM69" s="183"/>
      <c r="CN69" s="183"/>
      <c r="CO69" s="183"/>
      <c r="CP69" s="183"/>
      <c r="CQ69" s="183"/>
      <c r="CR69" s="183"/>
      <c r="CS69" s="183"/>
      <c r="CT69" s="183"/>
      <c r="CU69" s="183"/>
      <c r="CV69" s="183"/>
      <c r="CW69" s="183"/>
      <c r="CX69" s="183"/>
      <c r="CY69" s="183"/>
      <c r="CZ69" s="183"/>
      <c r="DA69" s="183"/>
      <c r="DB69" s="183"/>
      <c r="DC69" s="183"/>
    </row>
    <row r="70" spans="21:107" ht="15" customHeight="1" x14ac:dyDescent="0.25">
      <c r="U70" s="180"/>
      <c r="V70" s="180"/>
      <c r="W70" s="180"/>
      <c r="X70" s="180"/>
      <c r="Y70" s="180"/>
      <c r="Z70" s="180"/>
      <c r="AA70" s="180"/>
      <c r="AB70" s="180"/>
      <c r="AC70" s="180"/>
      <c r="AD70" s="180"/>
      <c r="AE70" s="180"/>
      <c r="AF70" s="180"/>
      <c r="AG70" s="180"/>
      <c r="AH70" s="180"/>
      <c r="AI70" s="180"/>
      <c r="AJ70" s="180"/>
      <c r="AK70" s="180"/>
      <c r="AM70" s="181"/>
      <c r="AN70" s="181"/>
      <c r="AO70" s="181"/>
      <c r="AP70" s="181"/>
      <c r="AQ70" s="181"/>
      <c r="AR70" s="181"/>
      <c r="AS70" s="181"/>
      <c r="AT70" s="181"/>
      <c r="AU70" s="181"/>
      <c r="AV70" s="181"/>
      <c r="AW70" s="181"/>
      <c r="AX70" s="181"/>
      <c r="AY70" s="181"/>
      <c r="AZ70" s="181"/>
      <c r="BA70" s="181"/>
      <c r="BB70" s="181"/>
      <c r="BC70" s="181"/>
      <c r="BD70" s="181"/>
      <c r="BE70" s="181"/>
      <c r="BF70" s="181"/>
      <c r="BG70" s="181"/>
      <c r="BH70" s="181"/>
      <c r="BI70" s="181"/>
      <c r="BJ70" s="181"/>
      <c r="BK70" s="181"/>
      <c r="BW70" s="182"/>
      <c r="BX70" s="182"/>
      <c r="BY70" s="182"/>
      <c r="BZ70" s="182"/>
      <c r="CA70" s="182"/>
      <c r="CB70" s="182"/>
      <c r="CC70" s="182"/>
      <c r="CD70" s="182"/>
      <c r="CE70" s="182"/>
      <c r="CF70" s="182"/>
      <c r="CG70" s="182"/>
      <c r="CH70" s="182"/>
      <c r="CI70" s="182"/>
      <c r="CJ70" s="182"/>
      <c r="CL70" s="183"/>
      <c r="CM70" s="183"/>
      <c r="CN70" s="183"/>
      <c r="CO70" s="183"/>
      <c r="CP70" s="183"/>
      <c r="CQ70" s="183"/>
      <c r="CR70" s="183"/>
      <c r="CS70" s="183"/>
      <c r="CT70" s="183"/>
      <c r="CU70" s="183"/>
      <c r="CV70" s="183"/>
      <c r="CW70" s="183"/>
      <c r="CX70" s="183"/>
      <c r="CY70" s="183"/>
      <c r="CZ70" s="183"/>
      <c r="DA70" s="183"/>
      <c r="DB70" s="183"/>
      <c r="DC70" s="183"/>
    </row>
    <row r="71" spans="21:107" ht="15.75" customHeight="1" x14ac:dyDescent="0.25">
      <c r="U71" s="180"/>
      <c r="V71" s="180"/>
      <c r="W71" s="180"/>
      <c r="X71" s="180"/>
      <c r="Y71" s="180"/>
      <c r="Z71" s="180"/>
      <c r="AA71" s="180"/>
      <c r="AB71" s="180"/>
      <c r="AC71" s="180"/>
      <c r="AD71" s="180"/>
      <c r="AE71" s="180"/>
      <c r="AF71" s="180"/>
      <c r="AG71" s="180"/>
      <c r="AH71" s="180"/>
      <c r="AI71" s="180"/>
      <c r="AJ71" s="180"/>
      <c r="AK71" s="180"/>
      <c r="AM71" s="181"/>
      <c r="AN71" s="181"/>
      <c r="AO71" s="181"/>
      <c r="AP71" s="181"/>
      <c r="AQ71" s="181"/>
      <c r="AR71" s="181"/>
      <c r="AS71" s="181"/>
      <c r="AT71" s="181"/>
      <c r="AU71" s="181"/>
      <c r="AV71" s="181"/>
      <c r="AW71" s="181"/>
      <c r="AX71" s="181"/>
      <c r="AY71" s="181"/>
      <c r="AZ71" s="181"/>
      <c r="BA71" s="181"/>
      <c r="BB71" s="181"/>
      <c r="BC71" s="181"/>
      <c r="BD71" s="181"/>
      <c r="BE71" s="181"/>
      <c r="BF71" s="181"/>
      <c r="BG71" s="181"/>
      <c r="BH71" s="181"/>
      <c r="BI71" s="181"/>
      <c r="BJ71" s="181"/>
      <c r="BK71" s="181"/>
      <c r="BW71" s="182"/>
      <c r="BX71" s="182"/>
      <c r="BY71" s="182"/>
      <c r="BZ71" s="182"/>
      <c r="CA71" s="182"/>
      <c r="CB71" s="182"/>
      <c r="CC71" s="182"/>
      <c r="CD71" s="182"/>
      <c r="CE71" s="182"/>
      <c r="CF71" s="182"/>
      <c r="CG71" s="182"/>
      <c r="CH71" s="182"/>
      <c r="CI71" s="182"/>
      <c r="CJ71" s="182"/>
      <c r="CL71" s="183"/>
      <c r="CM71" s="183"/>
      <c r="CN71" s="183"/>
      <c r="CO71" s="183"/>
      <c r="CP71" s="183"/>
      <c r="CQ71" s="183"/>
      <c r="CR71" s="183"/>
      <c r="CS71" s="183"/>
      <c r="CT71" s="183"/>
      <c r="CU71" s="183"/>
      <c r="CV71" s="183"/>
      <c r="CW71" s="183"/>
      <c r="CX71" s="183"/>
      <c r="CY71" s="183"/>
      <c r="CZ71" s="183"/>
      <c r="DA71" s="183"/>
      <c r="DB71" s="183"/>
      <c r="DC71" s="183"/>
    </row>
    <row r="72" spans="21:107" ht="15" customHeight="1" x14ac:dyDescent="0.25">
      <c r="U72" s="180"/>
      <c r="V72" s="180"/>
      <c r="W72" s="180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  <c r="AI72" s="180"/>
      <c r="AJ72" s="180"/>
      <c r="AK72" s="180"/>
      <c r="AM72" s="181"/>
      <c r="AN72" s="181"/>
      <c r="AO72" s="181"/>
      <c r="AP72" s="181"/>
      <c r="AQ72" s="181"/>
      <c r="AR72" s="181"/>
      <c r="AS72" s="181"/>
      <c r="AT72" s="181"/>
      <c r="AU72" s="181"/>
      <c r="AV72" s="181"/>
      <c r="AW72" s="181"/>
      <c r="AX72" s="181"/>
      <c r="AY72" s="181"/>
      <c r="AZ72" s="181"/>
      <c r="BA72" s="181"/>
      <c r="BB72" s="181"/>
      <c r="BC72" s="181"/>
      <c r="BD72" s="181"/>
      <c r="BE72" s="181"/>
      <c r="BF72" s="181"/>
      <c r="BG72" s="181"/>
      <c r="BH72" s="181"/>
      <c r="BI72" s="181"/>
      <c r="BJ72" s="181"/>
      <c r="BK72" s="181"/>
      <c r="BW72" s="182"/>
      <c r="BX72" s="182"/>
      <c r="BY72" s="182"/>
      <c r="BZ72" s="182"/>
      <c r="CA72" s="182"/>
      <c r="CB72" s="182"/>
      <c r="CC72" s="182"/>
      <c r="CD72" s="182"/>
      <c r="CE72" s="182"/>
      <c r="CF72" s="182"/>
      <c r="CG72" s="182"/>
      <c r="CH72" s="182"/>
      <c r="CI72" s="182"/>
      <c r="CJ72" s="182"/>
      <c r="CL72" s="183"/>
      <c r="CM72" s="183"/>
      <c r="CN72" s="183"/>
      <c r="CO72" s="183"/>
      <c r="CP72" s="183"/>
      <c r="CQ72" s="183"/>
      <c r="CR72" s="183"/>
      <c r="CS72" s="183"/>
      <c r="CT72" s="183"/>
      <c r="CU72" s="183"/>
      <c r="CV72" s="183"/>
      <c r="CW72" s="183"/>
      <c r="CX72" s="183"/>
      <c r="CY72" s="183"/>
      <c r="CZ72" s="183"/>
      <c r="DA72" s="183"/>
      <c r="DB72" s="183"/>
      <c r="DC72" s="183"/>
    </row>
    <row r="73" spans="21:107" ht="15" customHeight="1" x14ac:dyDescent="0.25">
      <c r="U73" s="180"/>
      <c r="V73" s="180"/>
      <c r="W73" s="180"/>
      <c r="X73" s="180"/>
      <c r="Y73" s="180"/>
      <c r="Z73" s="180"/>
      <c r="AA73" s="180"/>
      <c r="AB73" s="180"/>
      <c r="AC73" s="180"/>
      <c r="AD73" s="180"/>
      <c r="AE73" s="180"/>
      <c r="AF73" s="180"/>
      <c r="AG73" s="180"/>
      <c r="AH73" s="180"/>
      <c r="AI73" s="180"/>
      <c r="AJ73" s="180"/>
      <c r="AK73" s="180"/>
      <c r="AM73" s="181"/>
      <c r="AN73" s="181"/>
      <c r="AO73" s="181"/>
      <c r="AP73" s="181"/>
      <c r="AQ73" s="181"/>
      <c r="AR73" s="181"/>
      <c r="AS73" s="181"/>
      <c r="AT73" s="181"/>
      <c r="AU73" s="181"/>
      <c r="AV73" s="181"/>
      <c r="AW73" s="181"/>
      <c r="AX73" s="181"/>
      <c r="AY73" s="181"/>
      <c r="AZ73" s="181"/>
      <c r="BA73" s="181"/>
      <c r="BB73" s="181"/>
      <c r="BC73" s="181"/>
      <c r="BD73" s="181"/>
      <c r="BE73" s="181"/>
      <c r="BF73" s="181"/>
      <c r="BG73" s="181"/>
      <c r="BH73" s="181"/>
      <c r="BI73" s="181"/>
      <c r="BJ73" s="181"/>
      <c r="BK73" s="181"/>
      <c r="BW73" s="182"/>
      <c r="BX73" s="182"/>
      <c r="BY73" s="182"/>
      <c r="BZ73" s="182"/>
      <c r="CA73" s="182"/>
      <c r="CB73" s="182"/>
      <c r="CC73" s="182"/>
      <c r="CD73" s="182"/>
      <c r="CE73" s="182"/>
      <c r="CF73" s="182"/>
      <c r="CG73" s="182"/>
      <c r="CH73" s="182"/>
      <c r="CI73" s="182"/>
      <c r="CJ73" s="182"/>
      <c r="CL73" s="183"/>
      <c r="CM73" s="183"/>
      <c r="CN73" s="183"/>
      <c r="CO73" s="183"/>
      <c r="CP73" s="183"/>
      <c r="CQ73" s="183"/>
      <c r="CR73" s="183"/>
      <c r="CS73" s="183"/>
      <c r="CT73" s="183"/>
      <c r="CU73" s="183"/>
      <c r="CV73" s="183"/>
      <c r="CW73" s="183"/>
      <c r="CX73" s="183"/>
      <c r="CY73" s="183"/>
      <c r="CZ73" s="183"/>
      <c r="DA73" s="183"/>
      <c r="DB73" s="183"/>
      <c r="DC73" s="183"/>
    </row>
    <row r="74" spans="21:107" ht="15.75" customHeight="1" x14ac:dyDescent="0.25">
      <c r="U74" s="180"/>
      <c r="V74" s="180"/>
      <c r="W74" s="180"/>
      <c r="X74" s="180"/>
      <c r="Y74" s="180"/>
      <c r="Z74" s="180"/>
      <c r="AA74" s="180"/>
      <c r="AB74" s="180"/>
      <c r="AC74" s="180"/>
      <c r="AD74" s="180"/>
      <c r="AE74" s="180"/>
      <c r="AF74" s="180"/>
      <c r="AG74" s="180"/>
      <c r="AH74" s="180"/>
      <c r="AI74" s="180"/>
      <c r="AJ74" s="180"/>
      <c r="AK74" s="180"/>
      <c r="AM74" s="181"/>
      <c r="AN74" s="181"/>
      <c r="AO74" s="181"/>
      <c r="AP74" s="181"/>
      <c r="AQ74" s="181"/>
      <c r="AR74" s="181"/>
      <c r="AS74" s="181"/>
      <c r="AT74" s="181"/>
      <c r="AU74" s="181"/>
      <c r="AV74" s="181"/>
      <c r="AW74" s="181"/>
      <c r="AX74" s="181"/>
      <c r="AY74" s="181"/>
      <c r="AZ74" s="181"/>
      <c r="BA74" s="181"/>
      <c r="BB74" s="181"/>
      <c r="BC74" s="181"/>
      <c r="BD74" s="181"/>
      <c r="BE74" s="181"/>
      <c r="BF74" s="181"/>
      <c r="BG74" s="181"/>
      <c r="BH74" s="181"/>
      <c r="BI74" s="181"/>
      <c r="BJ74" s="181"/>
      <c r="BK74" s="181"/>
      <c r="BW74" s="182"/>
      <c r="BX74" s="182"/>
      <c r="BY74" s="182"/>
      <c r="BZ74" s="182"/>
      <c r="CA74" s="182"/>
      <c r="CB74" s="182"/>
      <c r="CC74" s="182"/>
      <c r="CD74" s="182"/>
      <c r="CE74" s="182"/>
      <c r="CF74" s="182"/>
      <c r="CG74" s="182"/>
      <c r="CH74" s="182"/>
      <c r="CI74" s="182"/>
      <c r="CJ74" s="182"/>
      <c r="CL74" s="183"/>
      <c r="CM74" s="183"/>
      <c r="CN74" s="183"/>
      <c r="CO74" s="183"/>
      <c r="CP74" s="183"/>
      <c r="CQ74" s="183"/>
      <c r="CR74" s="183"/>
      <c r="CS74" s="183"/>
      <c r="CT74" s="183"/>
      <c r="CU74" s="183"/>
      <c r="CV74" s="183"/>
      <c r="CW74" s="183"/>
      <c r="CX74" s="183"/>
      <c r="CY74" s="183"/>
      <c r="CZ74" s="183"/>
      <c r="DA74" s="183"/>
      <c r="DB74" s="183"/>
      <c r="DC74" s="183"/>
    </row>
    <row r="75" spans="21:107" ht="15.75" customHeight="1" x14ac:dyDescent="0.25">
      <c r="U75" s="180"/>
      <c r="V75" s="180"/>
      <c r="W75" s="180"/>
      <c r="X75" s="180"/>
      <c r="Y75" s="180"/>
      <c r="Z75" s="180"/>
      <c r="AA75" s="180"/>
      <c r="AB75" s="180"/>
      <c r="AC75" s="180"/>
      <c r="AD75" s="180"/>
      <c r="AE75" s="180"/>
      <c r="AF75" s="180"/>
      <c r="AG75" s="180"/>
      <c r="AH75" s="180"/>
      <c r="AI75" s="180"/>
      <c r="AJ75" s="180"/>
      <c r="AK75" s="180"/>
      <c r="AM75" s="181"/>
      <c r="AN75" s="181"/>
      <c r="AO75" s="181"/>
      <c r="AP75" s="181"/>
      <c r="AQ75" s="181"/>
      <c r="AR75" s="181"/>
      <c r="AS75" s="181"/>
      <c r="AT75" s="181"/>
      <c r="AU75" s="181"/>
      <c r="AV75" s="181"/>
      <c r="AW75" s="181"/>
      <c r="AX75" s="181"/>
      <c r="AY75" s="181"/>
      <c r="AZ75" s="181"/>
      <c r="BA75" s="181"/>
      <c r="BB75" s="181"/>
      <c r="BC75" s="181"/>
      <c r="BD75" s="181"/>
      <c r="BE75" s="181"/>
      <c r="BF75" s="181"/>
      <c r="BG75" s="181"/>
      <c r="BH75" s="181"/>
      <c r="BI75" s="181"/>
      <c r="BJ75" s="181"/>
      <c r="BK75" s="181"/>
      <c r="BW75" s="182"/>
      <c r="BX75" s="182"/>
      <c r="BY75" s="182"/>
      <c r="BZ75" s="182"/>
      <c r="CA75" s="182"/>
      <c r="CB75" s="182"/>
      <c r="CC75" s="182"/>
      <c r="CD75" s="182"/>
      <c r="CE75" s="182"/>
      <c r="CF75" s="182"/>
      <c r="CG75" s="182"/>
      <c r="CH75" s="182"/>
      <c r="CI75" s="182"/>
      <c r="CJ75" s="182"/>
      <c r="CL75" s="183"/>
      <c r="CM75" s="183"/>
      <c r="CN75" s="183"/>
      <c r="CO75" s="183"/>
      <c r="CP75" s="183"/>
      <c r="CQ75" s="183"/>
      <c r="CR75" s="183"/>
      <c r="CS75" s="183"/>
      <c r="CT75" s="183"/>
      <c r="CU75" s="183"/>
      <c r="CV75" s="183"/>
      <c r="CW75" s="183"/>
      <c r="CX75" s="183"/>
      <c r="CY75" s="183"/>
      <c r="CZ75" s="183"/>
      <c r="DA75" s="183"/>
      <c r="DB75" s="183"/>
      <c r="DC75" s="183"/>
    </row>
    <row r="76" spans="21:107" ht="15.75" customHeight="1" x14ac:dyDescent="0.25">
      <c r="U76" s="180"/>
      <c r="V76" s="180"/>
      <c r="W76" s="180"/>
      <c r="X76" s="180"/>
      <c r="Y76" s="180"/>
      <c r="Z76" s="180"/>
      <c r="AA76" s="180"/>
      <c r="AB76" s="180"/>
      <c r="AC76" s="180"/>
      <c r="AD76" s="180"/>
      <c r="AE76" s="180"/>
      <c r="AF76" s="180"/>
      <c r="AG76" s="180"/>
      <c r="AH76" s="180"/>
      <c r="AI76" s="180"/>
      <c r="AJ76" s="180"/>
      <c r="AK76" s="180"/>
      <c r="AM76" s="181"/>
      <c r="AN76" s="181"/>
      <c r="AO76" s="181"/>
      <c r="AP76" s="181"/>
      <c r="AQ76" s="181"/>
      <c r="AR76" s="181"/>
      <c r="AS76" s="181"/>
      <c r="AT76" s="181"/>
      <c r="AU76" s="181"/>
      <c r="AV76" s="181"/>
      <c r="AW76" s="181"/>
      <c r="AX76" s="181"/>
      <c r="AY76" s="181"/>
      <c r="AZ76" s="181"/>
      <c r="BA76" s="181"/>
      <c r="BB76" s="181"/>
      <c r="BC76" s="181"/>
      <c r="BD76" s="181"/>
      <c r="BE76" s="181"/>
      <c r="BF76" s="181"/>
      <c r="BG76" s="181"/>
      <c r="BH76" s="181"/>
      <c r="BI76" s="181"/>
      <c r="BJ76" s="181"/>
      <c r="BK76" s="181"/>
      <c r="BW76" s="182"/>
      <c r="BX76" s="182"/>
      <c r="BY76" s="182"/>
      <c r="BZ76" s="182"/>
      <c r="CA76" s="182"/>
      <c r="CB76" s="182"/>
      <c r="CC76" s="182"/>
      <c r="CD76" s="182"/>
      <c r="CE76" s="182"/>
      <c r="CF76" s="182"/>
      <c r="CG76" s="182"/>
      <c r="CH76" s="182"/>
      <c r="CI76" s="182"/>
      <c r="CJ76" s="182"/>
      <c r="CL76" s="183"/>
      <c r="CM76" s="183"/>
      <c r="CN76" s="183"/>
      <c r="CO76" s="183"/>
      <c r="CP76" s="183"/>
      <c r="CQ76" s="183"/>
      <c r="CR76" s="183"/>
      <c r="CS76" s="183"/>
      <c r="CT76" s="183"/>
      <c r="CU76" s="183"/>
      <c r="CV76" s="183"/>
      <c r="CW76" s="183"/>
      <c r="CX76" s="183"/>
      <c r="CY76" s="183"/>
      <c r="CZ76" s="183"/>
      <c r="DA76" s="183"/>
      <c r="DB76" s="183"/>
      <c r="DC76" s="183"/>
    </row>
    <row r="77" spans="21:107" x14ac:dyDescent="0.25">
      <c r="U77" s="180"/>
      <c r="V77" s="180"/>
      <c r="W77" s="180"/>
      <c r="X77" s="180"/>
      <c r="Y77" s="180"/>
      <c r="Z77" s="180"/>
      <c r="AA77" s="180"/>
      <c r="AB77" s="180"/>
      <c r="AC77" s="180"/>
      <c r="AD77" s="180"/>
      <c r="AE77" s="180"/>
      <c r="AF77" s="180"/>
      <c r="AG77" s="180"/>
      <c r="AH77" s="180"/>
      <c r="AI77" s="180"/>
      <c r="AJ77" s="180"/>
      <c r="AK77" s="180"/>
      <c r="AM77" s="181"/>
      <c r="AN77" s="181"/>
      <c r="AO77" s="181"/>
      <c r="AP77" s="181"/>
      <c r="AQ77" s="181"/>
      <c r="AR77" s="181"/>
      <c r="AS77" s="181"/>
      <c r="AT77" s="181"/>
      <c r="AU77" s="181"/>
      <c r="AV77" s="181"/>
      <c r="AW77" s="181"/>
      <c r="AX77" s="181"/>
      <c r="AY77" s="181"/>
      <c r="AZ77" s="181"/>
      <c r="BA77" s="181"/>
      <c r="BB77" s="181"/>
      <c r="BC77" s="181"/>
      <c r="BD77" s="181"/>
      <c r="BE77" s="181"/>
      <c r="BF77" s="181"/>
      <c r="BG77" s="181"/>
      <c r="BH77" s="181"/>
      <c r="BI77" s="181"/>
      <c r="BJ77" s="181"/>
      <c r="BK77" s="181"/>
      <c r="BW77" s="182"/>
      <c r="BX77" s="182"/>
      <c r="BY77" s="182"/>
      <c r="BZ77" s="182"/>
      <c r="CA77" s="182"/>
      <c r="CB77" s="182"/>
      <c r="CC77" s="182"/>
      <c r="CD77" s="182"/>
      <c r="CE77" s="182"/>
      <c r="CF77" s="182"/>
      <c r="CG77" s="182"/>
      <c r="CH77" s="182"/>
      <c r="CI77" s="182"/>
      <c r="CJ77" s="182"/>
      <c r="CL77" s="183"/>
      <c r="CM77" s="183"/>
      <c r="CN77" s="183"/>
      <c r="CO77" s="183"/>
      <c r="CP77" s="183"/>
      <c r="CQ77" s="183"/>
      <c r="CR77" s="183"/>
      <c r="CS77" s="183"/>
      <c r="CT77" s="183"/>
      <c r="CU77" s="183"/>
      <c r="CV77" s="183"/>
      <c r="CW77" s="183"/>
      <c r="CX77" s="183"/>
      <c r="CY77" s="183"/>
      <c r="CZ77" s="183"/>
      <c r="DA77" s="183"/>
      <c r="DB77" s="183"/>
      <c r="DC77" s="183"/>
    </row>
    <row r="78" spans="21:107" ht="15" customHeight="1" x14ac:dyDescent="0.25">
      <c r="AM78" s="181"/>
      <c r="AN78" s="181"/>
      <c r="AO78" s="181"/>
      <c r="AP78" s="181"/>
      <c r="AQ78" s="181"/>
      <c r="AR78" s="181"/>
      <c r="AS78" s="181"/>
      <c r="AT78" s="181"/>
      <c r="AU78" s="181"/>
      <c r="AV78" s="181"/>
      <c r="AW78" s="181"/>
      <c r="AX78" s="181"/>
      <c r="AY78" s="181"/>
      <c r="AZ78" s="181"/>
      <c r="BA78" s="181"/>
      <c r="BB78" s="181"/>
      <c r="BC78" s="181"/>
      <c r="BD78" s="181"/>
      <c r="BE78" s="181"/>
      <c r="BF78" s="181"/>
      <c r="BG78" s="181"/>
      <c r="BH78" s="181"/>
      <c r="BI78" s="181"/>
      <c r="BJ78" s="181"/>
      <c r="BK78" s="181"/>
      <c r="CL78" s="183"/>
      <c r="CM78" s="183"/>
      <c r="CN78" s="183"/>
      <c r="CO78" s="183"/>
      <c r="CP78" s="183"/>
      <c r="CQ78" s="183"/>
      <c r="CR78" s="183"/>
      <c r="CS78" s="183"/>
      <c r="CT78" s="183"/>
      <c r="CU78" s="183"/>
      <c r="CV78" s="183"/>
      <c r="CW78" s="183"/>
      <c r="CX78" s="183"/>
      <c r="CY78" s="183"/>
      <c r="CZ78" s="183"/>
      <c r="DA78" s="183"/>
      <c r="DB78" s="183"/>
      <c r="DC78" s="183"/>
    </row>
    <row r="79" spans="21:107" ht="15" customHeight="1" x14ac:dyDescent="0.25">
      <c r="AM79" s="181"/>
      <c r="AN79" s="181"/>
      <c r="AO79" s="181"/>
      <c r="AP79" s="181"/>
      <c r="AQ79" s="181"/>
      <c r="AR79" s="181"/>
      <c r="AS79" s="181"/>
      <c r="AT79" s="181"/>
      <c r="AU79" s="181"/>
      <c r="AV79" s="181"/>
      <c r="AW79" s="181"/>
      <c r="AX79" s="181"/>
      <c r="AY79" s="181"/>
      <c r="AZ79" s="181"/>
      <c r="BA79" s="181"/>
      <c r="BB79" s="181"/>
      <c r="BC79" s="181"/>
      <c r="BD79" s="181"/>
      <c r="BE79" s="181"/>
      <c r="BF79" s="181"/>
      <c r="BG79" s="181"/>
      <c r="BH79" s="181"/>
      <c r="BI79" s="181"/>
      <c r="BJ79" s="181"/>
      <c r="BK79" s="181"/>
      <c r="CL79" s="183"/>
      <c r="CM79" s="183"/>
      <c r="CN79" s="183"/>
      <c r="CO79" s="183"/>
      <c r="CP79" s="183"/>
      <c r="CQ79" s="183"/>
      <c r="CR79" s="183"/>
      <c r="CS79" s="183"/>
      <c r="CT79" s="183"/>
      <c r="CU79" s="183"/>
      <c r="CV79" s="183"/>
      <c r="CW79" s="183"/>
      <c r="CX79" s="183"/>
      <c r="CY79" s="183"/>
      <c r="CZ79" s="183"/>
      <c r="DA79" s="183"/>
      <c r="DB79" s="183"/>
      <c r="DC79" s="183"/>
    </row>
    <row r="80" spans="21:107" ht="15" customHeight="1" x14ac:dyDescent="0.25">
      <c r="AM80" s="181"/>
      <c r="AN80" s="181"/>
      <c r="AO80" s="181"/>
      <c r="AP80" s="181"/>
      <c r="AQ80" s="181"/>
      <c r="AR80" s="181"/>
      <c r="AS80" s="181"/>
      <c r="AT80" s="181"/>
      <c r="AU80" s="181"/>
      <c r="AV80" s="181"/>
      <c r="AW80" s="181"/>
      <c r="AX80" s="181"/>
      <c r="AY80" s="181"/>
      <c r="AZ80" s="181"/>
      <c r="BA80" s="181"/>
      <c r="BB80" s="181"/>
      <c r="BC80" s="181"/>
      <c r="BD80" s="181"/>
      <c r="BE80" s="181"/>
      <c r="BF80" s="181"/>
      <c r="BG80" s="181"/>
      <c r="BH80" s="181"/>
      <c r="BI80" s="181"/>
      <c r="BJ80" s="181"/>
      <c r="BK80" s="181"/>
      <c r="CL80" s="183"/>
      <c r="CM80" s="183"/>
      <c r="CN80" s="183"/>
      <c r="CO80" s="183"/>
      <c r="CP80" s="183"/>
      <c r="CQ80" s="183"/>
      <c r="CR80" s="183"/>
      <c r="CS80" s="183"/>
      <c r="CT80" s="183"/>
      <c r="CU80" s="183"/>
      <c r="CV80" s="183"/>
      <c r="CW80" s="183"/>
      <c r="CX80" s="183"/>
      <c r="CY80" s="183"/>
      <c r="CZ80" s="183"/>
      <c r="DA80" s="183"/>
      <c r="DB80" s="183"/>
      <c r="DC80" s="183"/>
    </row>
    <row r="81" spans="39:107" ht="15" customHeight="1" x14ac:dyDescent="0.25">
      <c r="AM81" s="181"/>
      <c r="AN81" s="181"/>
      <c r="AO81" s="181"/>
      <c r="AP81" s="181"/>
      <c r="AQ81" s="181"/>
      <c r="AR81" s="181"/>
      <c r="AS81" s="181"/>
      <c r="AT81" s="181"/>
      <c r="AU81" s="181"/>
      <c r="AV81" s="181"/>
      <c r="AW81" s="181"/>
      <c r="AX81" s="181"/>
      <c r="AY81" s="181"/>
      <c r="AZ81" s="181"/>
      <c r="BA81" s="181"/>
      <c r="BB81" s="181"/>
      <c r="BC81" s="181"/>
      <c r="BD81" s="181"/>
      <c r="BE81" s="181"/>
      <c r="BF81" s="181"/>
      <c r="BG81" s="181"/>
      <c r="BH81" s="181"/>
      <c r="BI81" s="181"/>
      <c r="BJ81" s="181"/>
      <c r="BK81" s="181"/>
      <c r="CL81" s="183"/>
      <c r="CM81" s="183"/>
      <c r="CN81" s="183"/>
      <c r="CO81" s="183"/>
      <c r="CP81" s="183"/>
      <c r="CQ81" s="183"/>
      <c r="CR81" s="183"/>
      <c r="CS81" s="183"/>
      <c r="CT81" s="183"/>
      <c r="CU81" s="183"/>
      <c r="CV81" s="183"/>
      <c r="CW81" s="183"/>
      <c r="CX81" s="183"/>
      <c r="CY81" s="183"/>
      <c r="CZ81" s="183"/>
      <c r="DA81" s="183"/>
      <c r="DB81" s="183"/>
      <c r="DC81" s="183"/>
    </row>
    <row r="82" spans="39:107" ht="15" customHeight="1" x14ac:dyDescent="0.25">
      <c r="AM82" s="181"/>
      <c r="AN82" s="181"/>
      <c r="AO82" s="181"/>
      <c r="AP82" s="181"/>
      <c r="AQ82" s="181"/>
      <c r="AR82" s="181"/>
      <c r="AS82" s="181"/>
      <c r="AT82" s="181"/>
      <c r="AU82" s="181"/>
      <c r="AV82" s="181"/>
      <c r="AW82" s="181"/>
      <c r="AX82" s="181"/>
      <c r="AY82" s="181"/>
      <c r="AZ82" s="181"/>
      <c r="BA82" s="181"/>
      <c r="BB82" s="181"/>
      <c r="BC82" s="181"/>
      <c r="BD82" s="181"/>
      <c r="BE82" s="181"/>
      <c r="BF82" s="181"/>
      <c r="BG82" s="181"/>
      <c r="BH82" s="181"/>
      <c r="BI82" s="181"/>
      <c r="BJ82" s="181"/>
      <c r="BK82" s="181"/>
      <c r="CL82" s="183"/>
      <c r="CM82" s="183"/>
      <c r="CN82" s="183"/>
      <c r="CO82" s="183"/>
      <c r="CP82" s="183"/>
      <c r="CQ82" s="183"/>
      <c r="CR82" s="183"/>
      <c r="CS82" s="183"/>
      <c r="CT82" s="183"/>
      <c r="CU82" s="183"/>
      <c r="CV82" s="183"/>
      <c r="CW82" s="183"/>
      <c r="CX82" s="183"/>
      <c r="CY82" s="183"/>
      <c r="CZ82" s="183"/>
      <c r="DA82" s="183"/>
      <c r="DB82" s="183"/>
      <c r="DC82" s="183"/>
    </row>
    <row r="83" spans="39:107" ht="15" customHeight="1" x14ac:dyDescent="0.25">
      <c r="AM83" s="181"/>
      <c r="AN83" s="181"/>
      <c r="AO83" s="181"/>
      <c r="AP83" s="181"/>
      <c r="AQ83" s="181"/>
      <c r="AR83" s="181"/>
      <c r="AS83" s="181"/>
      <c r="AT83" s="181"/>
      <c r="AU83" s="181"/>
      <c r="AV83" s="181"/>
      <c r="AW83" s="181"/>
      <c r="AX83" s="181"/>
      <c r="AY83" s="181"/>
      <c r="AZ83" s="181"/>
      <c r="BA83" s="181"/>
      <c r="BB83" s="181"/>
      <c r="BC83" s="181"/>
      <c r="BD83" s="181"/>
      <c r="BE83" s="181"/>
      <c r="BF83" s="181"/>
      <c r="BG83" s="181"/>
      <c r="BH83" s="181"/>
      <c r="BI83" s="181"/>
      <c r="BJ83" s="181"/>
      <c r="BK83" s="181"/>
      <c r="CL83" s="183"/>
      <c r="CM83" s="183"/>
      <c r="CN83" s="183"/>
      <c r="CO83" s="183"/>
      <c r="CP83" s="183"/>
      <c r="CQ83" s="183"/>
      <c r="CR83" s="183"/>
      <c r="CS83" s="183"/>
      <c r="CT83" s="183"/>
      <c r="CU83" s="183"/>
      <c r="CV83" s="183"/>
      <c r="CW83" s="183"/>
      <c r="CX83" s="183"/>
      <c r="CY83" s="183"/>
      <c r="CZ83" s="183"/>
      <c r="DA83" s="183"/>
      <c r="DB83" s="183"/>
      <c r="DC83" s="183"/>
    </row>
    <row r="84" spans="39:107" ht="15" customHeight="1" x14ac:dyDescent="0.25">
      <c r="CL84" s="183"/>
      <c r="CM84" s="183"/>
      <c r="CN84" s="183"/>
      <c r="CO84" s="183"/>
      <c r="CP84" s="183"/>
      <c r="CQ84" s="183"/>
      <c r="CR84" s="183"/>
      <c r="CS84" s="183"/>
      <c r="CT84" s="183"/>
      <c r="CU84" s="183"/>
      <c r="CV84" s="183"/>
      <c r="CW84" s="183"/>
      <c r="CX84" s="183"/>
      <c r="CY84" s="183"/>
      <c r="CZ84" s="183"/>
      <c r="DA84" s="183"/>
      <c r="DB84" s="183"/>
      <c r="DC84" s="183"/>
    </row>
    <row r="85" spans="39:107" ht="15" customHeight="1" x14ac:dyDescent="0.25">
      <c r="CL85" s="183"/>
      <c r="CM85" s="183"/>
      <c r="CN85" s="183"/>
      <c r="CO85" s="183"/>
      <c r="CP85" s="183"/>
      <c r="CQ85" s="183"/>
      <c r="CR85" s="183"/>
      <c r="CS85" s="183"/>
      <c r="CT85" s="183"/>
      <c r="CU85" s="183"/>
      <c r="CV85" s="183"/>
      <c r="CW85" s="183"/>
      <c r="CX85" s="183"/>
      <c r="CY85" s="183"/>
      <c r="CZ85" s="183"/>
      <c r="DA85" s="183"/>
      <c r="DB85" s="183"/>
      <c r="DC85" s="183"/>
    </row>
  </sheetData>
  <mergeCells count="111">
    <mergeCell ref="T38:T40"/>
    <mergeCell ref="CT12:CT13"/>
    <mergeCell ref="T41:T43"/>
    <mergeCell ref="T44:T46"/>
    <mergeCell ref="T47:T49"/>
    <mergeCell ref="T30:Z30"/>
    <mergeCell ref="T32:T34"/>
    <mergeCell ref="T35:T37"/>
    <mergeCell ref="BM2:BU2"/>
    <mergeCell ref="BM3:BN3"/>
    <mergeCell ref="BM5:BM8"/>
    <mergeCell ref="BM9:BM12"/>
    <mergeCell ref="BM13:BM16"/>
    <mergeCell ref="BE2:BK2"/>
    <mergeCell ref="BE4:BE7"/>
    <mergeCell ref="BE8:BE11"/>
    <mergeCell ref="BE12:BE15"/>
    <mergeCell ref="BE16:BE19"/>
    <mergeCell ref="BE20:BE23"/>
    <mergeCell ref="BE24:BE27"/>
    <mergeCell ref="CF2:CJ2"/>
    <mergeCell ref="CH19:CH21"/>
    <mergeCell ref="CH4:CH6"/>
    <mergeCell ref="CM5:CO5"/>
    <mergeCell ref="B2:N2"/>
    <mergeCell ref="B19:B21"/>
    <mergeCell ref="B16:B18"/>
    <mergeCell ref="B13:B15"/>
    <mergeCell ref="B10:B12"/>
    <mergeCell ref="B7:B9"/>
    <mergeCell ref="B4:B6"/>
    <mergeCell ref="AM2:BC2"/>
    <mergeCell ref="P13:R13"/>
    <mergeCell ref="AM19:AM21"/>
    <mergeCell ref="AM16:AM18"/>
    <mergeCell ref="AM13:AM15"/>
    <mergeCell ref="P14:R14"/>
    <mergeCell ref="P15:R15"/>
    <mergeCell ref="P16:R16"/>
    <mergeCell ref="P6:S6"/>
    <mergeCell ref="P11:S11"/>
    <mergeCell ref="U13:U15"/>
    <mergeCell ref="U10:U12"/>
    <mergeCell ref="U7:U9"/>
    <mergeCell ref="U4:U6"/>
    <mergeCell ref="P12:R12"/>
    <mergeCell ref="U2:AK2"/>
    <mergeCell ref="AM4:AM6"/>
    <mergeCell ref="CM6:CO6"/>
    <mergeCell ref="CM7:CO7"/>
    <mergeCell ref="AM10:AM12"/>
    <mergeCell ref="AM7:AM9"/>
    <mergeCell ref="CM8:CO8"/>
    <mergeCell ref="CM9:CO9"/>
    <mergeCell ref="DB12:DB13"/>
    <mergeCell ref="CI16:CI18"/>
    <mergeCell ref="CJ16:CJ18"/>
    <mergeCell ref="CF16:CF18"/>
    <mergeCell ref="CH16:CH18"/>
    <mergeCell ref="BW4:BW8"/>
    <mergeCell ref="BW9:BW13"/>
    <mergeCell ref="BW14:BW18"/>
    <mergeCell ref="CR12:CR13"/>
    <mergeCell ref="CV12:CV13"/>
    <mergeCell ref="CS12:CS13"/>
    <mergeCell ref="CU12:CU13"/>
    <mergeCell ref="CH10:CH12"/>
    <mergeCell ref="CH13:CH15"/>
    <mergeCell ref="CF10:CF12"/>
    <mergeCell ref="CF4:CF6"/>
    <mergeCell ref="CF7:CF9"/>
    <mergeCell ref="U19:U21"/>
    <mergeCell ref="U16:U18"/>
    <mergeCell ref="BW2:CD2"/>
    <mergeCell ref="CI4:CI6"/>
    <mergeCell ref="CJ4:CJ6"/>
    <mergeCell ref="CI7:CI9"/>
    <mergeCell ref="CJ7:CJ9"/>
    <mergeCell ref="CI10:CI12"/>
    <mergeCell ref="CJ10:CJ12"/>
    <mergeCell ref="CI13:CI15"/>
    <mergeCell ref="CI19:CI21"/>
    <mergeCell ref="CF19:CF21"/>
    <mergeCell ref="CJ19:CJ21"/>
    <mergeCell ref="CF13:CF15"/>
    <mergeCell ref="CJ13:CJ15"/>
    <mergeCell ref="CH7:CH9"/>
    <mergeCell ref="CL2:CS2"/>
    <mergeCell ref="CQ12:CQ13"/>
    <mergeCell ref="CW12:CW13"/>
    <mergeCell ref="DC12:DC13"/>
    <mergeCell ref="CL11:CQ11"/>
    <mergeCell ref="CR11:CW11"/>
    <mergeCell ref="CX11:DC11"/>
    <mergeCell ref="CX21:DB21"/>
    <mergeCell ref="CX22:CX23"/>
    <mergeCell ref="CY22:CY23"/>
    <mergeCell ref="CZ22:CZ23"/>
    <mergeCell ref="DA22:DA23"/>
    <mergeCell ref="DB22:DB23"/>
    <mergeCell ref="CL12:CL13"/>
    <mergeCell ref="CM12:CM13"/>
    <mergeCell ref="CN12:CN13"/>
    <mergeCell ref="CO12:CO13"/>
    <mergeCell ref="CZ12:CZ13"/>
    <mergeCell ref="DA12:DA13"/>
    <mergeCell ref="CX12:CX13"/>
    <mergeCell ref="CY12:CY13"/>
    <mergeCell ref="CP12:CP13"/>
    <mergeCell ref="CM3:CO3"/>
    <mergeCell ref="CM4:CO4"/>
  </mergeCells>
  <conditionalFormatting sqref="AD22:AG28">
    <cfRule type="cellIs" dxfId="10" priority="13" operator="equal">
      <formula>$AH$21</formula>
    </cfRule>
  </conditionalFormatting>
  <pageMargins left="0.7" right="0.7" top="0.75" bottom="0.75" header="0.3" footer="0.3"/>
  <pageSetup paperSize="9" orientation="portrait" r:id="rId1"/>
  <ignoredErrors>
    <ignoredError sqref="H16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74"/>
  <sheetViews>
    <sheetView topLeftCell="A19" zoomScale="80" zoomScaleNormal="80" workbookViewId="0">
      <selection activeCell="N37" sqref="N37"/>
    </sheetView>
  </sheetViews>
  <sheetFormatPr defaultRowHeight="15.75" x14ac:dyDescent="0.25"/>
  <cols>
    <col min="1" max="1" width="9.140625" style="4"/>
    <col min="2" max="2" width="4.42578125" style="4" bestFit="1" customWidth="1"/>
    <col min="3" max="3" width="10.85546875" style="4" bestFit="1" customWidth="1"/>
    <col min="4" max="4" width="8.5703125" style="4" bestFit="1" customWidth="1"/>
    <col min="5" max="5" width="12.85546875" style="4" bestFit="1" customWidth="1"/>
    <col min="6" max="6" width="14.28515625" style="4" bestFit="1" customWidth="1"/>
    <col min="7" max="7" width="10.7109375" style="4" bestFit="1" customWidth="1"/>
    <col min="8" max="8" width="13.7109375" style="4" bestFit="1" customWidth="1"/>
    <col min="9" max="9" width="15.140625" style="4" bestFit="1" customWidth="1"/>
    <col min="10" max="10" width="12.42578125" style="4" bestFit="1" customWidth="1"/>
    <col min="11" max="11" width="10.85546875" style="4" bestFit="1" customWidth="1"/>
    <col min="12" max="12" width="11.7109375" style="4" bestFit="1" customWidth="1"/>
    <col min="13" max="13" width="10.42578125" style="4" bestFit="1" customWidth="1"/>
    <col min="14" max="14" width="12.42578125" style="4" bestFit="1" customWidth="1"/>
    <col min="15" max="15" width="13.42578125" style="4" bestFit="1" customWidth="1"/>
    <col min="16" max="16" width="13.85546875" style="4" bestFit="1" customWidth="1"/>
    <col min="17" max="17" width="12.140625" style="4" bestFit="1" customWidth="1"/>
    <col min="18" max="18" width="14.85546875" style="4" bestFit="1" customWidth="1"/>
    <col min="19" max="19" width="4.85546875" style="4" customWidth="1"/>
    <col min="20" max="20" width="9.140625" style="4"/>
    <col min="21" max="21" width="15.140625" style="4" bestFit="1" customWidth="1"/>
    <col min="22" max="22" width="11.28515625" style="4" bestFit="1" customWidth="1"/>
    <col min="23" max="24" width="9.140625" style="4"/>
    <col min="25" max="25" width="9.28515625" style="4" bestFit="1" customWidth="1"/>
    <col min="26" max="27" width="7.85546875" style="4" bestFit="1" customWidth="1"/>
    <col min="28" max="28" width="10.140625" style="4" bestFit="1" customWidth="1"/>
    <col min="29" max="29" width="9.28515625" style="4" bestFit="1" customWidth="1"/>
    <col min="30" max="31" width="7.85546875" style="4" bestFit="1" customWidth="1"/>
    <col min="32" max="32" width="10.140625" style="4" bestFit="1" customWidth="1"/>
    <col min="33" max="33" width="9.28515625" style="4" bestFit="1" customWidth="1"/>
    <col min="34" max="35" width="7.85546875" style="4" bestFit="1" customWidth="1"/>
    <col min="36" max="36" width="10.140625" style="4" bestFit="1" customWidth="1"/>
    <col min="37" max="16384" width="9.140625" style="4"/>
  </cols>
  <sheetData>
    <row r="1" spans="2:22" ht="16.5" thickBot="1" x14ac:dyDescent="0.3"/>
    <row r="2" spans="2:22" ht="15" customHeight="1" x14ac:dyDescent="0.25">
      <c r="B2" s="827" t="s">
        <v>309</v>
      </c>
      <c r="C2" s="828"/>
      <c r="D2" s="828"/>
      <c r="E2" s="828"/>
      <c r="F2" s="828"/>
      <c r="G2" s="828"/>
      <c r="H2" s="828"/>
      <c r="I2" s="828"/>
      <c r="J2" s="828"/>
      <c r="K2" s="828"/>
      <c r="L2" s="828"/>
      <c r="M2" s="828"/>
      <c r="N2" s="828"/>
      <c r="O2" s="828"/>
      <c r="P2" s="828"/>
      <c r="Q2" s="828"/>
      <c r="R2" s="828"/>
      <c r="S2" s="829"/>
    </row>
    <row r="3" spans="2:22" ht="15.75" customHeight="1" thickBot="1" x14ac:dyDescent="0.3">
      <c r="B3" s="830"/>
      <c r="C3" s="831"/>
      <c r="D3" s="831"/>
      <c r="E3" s="831"/>
      <c r="F3" s="831"/>
      <c r="G3" s="831"/>
      <c r="H3" s="831"/>
      <c r="I3" s="831"/>
      <c r="J3" s="831"/>
      <c r="K3" s="831"/>
      <c r="L3" s="831"/>
      <c r="M3" s="831"/>
      <c r="N3" s="831"/>
      <c r="O3" s="831"/>
      <c r="P3" s="831"/>
      <c r="Q3" s="831"/>
      <c r="R3" s="831"/>
      <c r="S3" s="832"/>
    </row>
    <row r="4" spans="2:22" ht="16.5" thickBot="1" x14ac:dyDescent="0.3">
      <c r="B4" s="5"/>
      <c r="C4" s="824" t="s">
        <v>257</v>
      </c>
      <c r="D4" s="825"/>
      <c r="E4" s="825"/>
      <c r="F4" s="825"/>
      <c r="G4" s="825"/>
      <c r="H4" s="825"/>
      <c r="I4" s="825"/>
      <c r="J4" s="826"/>
      <c r="K4" s="2"/>
      <c r="L4" s="2"/>
      <c r="M4" s="824" t="s">
        <v>261</v>
      </c>
      <c r="N4" s="825"/>
      <c r="O4" s="825"/>
      <c r="P4" s="825"/>
      <c r="Q4" s="825"/>
      <c r="R4" s="826"/>
      <c r="S4" s="6"/>
      <c r="U4" s="823" t="s">
        <v>327</v>
      </c>
      <c r="V4" s="823"/>
    </row>
    <row r="5" spans="2:22" x14ac:dyDescent="0.25">
      <c r="B5" s="5"/>
      <c r="C5" s="7" t="s">
        <v>9</v>
      </c>
      <c r="D5" s="8" t="s">
        <v>86</v>
      </c>
      <c r="E5" s="9" t="s">
        <v>234</v>
      </c>
      <c r="F5" s="9" t="s">
        <v>233</v>
      </c>
      <c r="G5" s="9" t="s">
        <v>232</v>
      </c>
      <c r="H5" s="9" t="s">
        <v>235</v>
      </c>
      <c r="I5" s="9" t="s">
        <v>236</v>
      </c>
      <c r="J5" s="10" t="s">
        <v>237</v>
      </c>
      <c r="K5" s="11"/>
      <c r="L5" s="11"/>
      <c r="M5" s="7" t="s">
        <v>9</v>
      </c>
      <c r="N5" s="9" t="s">
        <v>210</v>
      </c>
      <c r="O5" s="12" t="s">
        <v>211</v>
      </c>
      <c r="P5" s="13" t="s">
        <v>238</v>
      </c>
      <c r="Q5" s="9" t="s">
        <v>87</v>
      </c>
      <c r="R5" s="10" t="s">
        <v>196</v>
      </c>
      <c r="S5" s="6"/>
      <c r="U5" s="14" t="s">
        <v>360</v>
      </c>
      <c r="V5" s="15" t="s">
        <v>265</v>
      </c>
    </row>
    <row r="6" spans="2:22" x14ac:dyDescent="0.25">
      <c r="B6" s="5"/>
      <c r="C6" s="16">
        <v>6</v>
      </c>
      <c r="D6" s="17">
        <f>'Structural Information'!U6</f>
        <v>3</v>
      </c>
      <c r="E6" s="18">
        <f>G32*H32</f>
        <v>31.717649210687547</v>
      </c>
      <c r="F6" s="17">
        <f t="shared" ref="F6:F11" si="0">G32*H32*I32</f>
        <v>3.1341315920498033E-2</v>
      </c>
      <c r="G6" s="19">
        <f t="shared" ref="G6:G11" si="1">F6/E6</f>
        <v>9.8813489336206217E-4</v>
      </c>
      <c r="H6" s="18">
        <f>G19*H19</f>
        <v>514.66978745612312</v>
      </c>
      <c r="I6" s="17">
        <f>'System Capacities'!G19*'System Capacities'!H19*'System Capacities'!I19</f>
        <v>0.50856317554463137</v>
      </c>
      <c r="J6" s="20">
        <f t="shared" ref="J6:J11" si="2">I6/H6</f>
        <v>9.8813489336206217E-4</v>
      </c>
      <c r="K6" s="21"/>
      <c r="L6" s="22"/>
      <c r="M6" s="16">
        <v>6</v>
      </c>
      <c r="N6" s="18">
        <f>'System Capacities'!G32</f>
        <v>10.57254973689585</v>
      </c>
      <c r="O6" s="23">
        <f>'System Capacities'!G19</f>
        <v>171.55659581870771</v>
      </c>
      <c r="P6" s="24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Q6" s="25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R6" s="26" t="e">
        <f>_xlfn.IFS((($N$19+$N$32)=2),(F$47),(($N$19+$N$32)=3),(F$48),(($N$19+$N$32)=4),(F$49),(($N$19+$N$32)=5),(F$50),(($N$19+$N$32)=6),(F$51),(($N$19+$N$32)=7),(F$52),(($N$19+$N$32)=8),(F$53),(($N$19+$N$32)=9),(F$54),(($N$19+$N$32)=10),(F$55))</f>
        <v>#N/A</v>
      </c>
      <c r="S6" s="6"/>
      <c r="U6" s="17">
        <f>'Post-yield Mechanism'!O226</f>
        <v>30478.067931527537</v>
      </c>
      <c r="V6" s="27" t="e">
        <f>(U6-R6)/U6</f>
        <v>#N/A</v>
      </c>
    </row>
    <row r="7" spans="2:22" x14ac:dyDescent="0.25">
      <c r="B7" s="5"/>
      <c r="C7" s="28">
        <v>5</v>
      </c>
      <c r="D7" s="17">
        <f>'Structural Information'!U7</f>
        <v>3</v>
      </c>
      <c r="E7" s="18">
        <f t="shared" ref="E7:E11" si="3">G33*H33</f>
        <v>48.876619381525849</v>
      </c>
      <c r="F7" s="17">
        <f t="shared" si="0"/>
        <v>7.3205415821793338E-2</v>
      </c>
      <c r="G7" s="19">
        <f t="shared" si="1"/>
        <v>1.4977593939212411E-3</v>
      </c>
      <c r="H7" s="18">
        <f t="shared" ref="H7:H11" si="4">G20*H20</f>
        <v>1046.4365222448882</v>
      </c>
      <c r="I7" s="17">
        <f>'System Capacities'!G20*'System Capacities'!H20*'System Capacities'!I20</f>
        <v>1.567310131334555</v>
      </c>
      <c r="J7" s="20">
        <f t="shared" si="2"/>
        <v>1.4977593939212409E-3</v>
      </c>
      <c r="K7" s="21"/>
      <c r="L7" s="22"/>
      <c r="M7" s="28">
        <v>5</v>
      </c>
      <c r="N7" s="18">
        <f>'System Capacities'!G33</f>
        <v>16.292206460508616</v>
      </c>
      <c r="O7" s="23">
        <f>'System Capacities'!G20</f>
        <v>348.81217408162945</v>
      </c>
      <c r="P7" s="24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Q7" s="25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R7" s="26" t="e">
        <f>_xlfn.IFS((($N$20+$N$33)=2),(J$47),(($N$20+$N$33)=3),(J$48),(($N$20+$N$33)=4),(J$49),(($N$20+$N$33)=5),(J$50),(($N$20+$N$33)=6),(J$51),(($N$20+$N$33)=7),(J$52),(($N$20+$N$33)=8),(J$53),(($N$20+$N$33)=9),(J$54),(($N$20+$N$33)=10),(J$55))</f>
        <v>#N/A</v>
      </c>
      <c r="S7" s="6"/>
      <c r="U7" s="17">
        <f>'Post-yield Mechanism'!O227</f>
        <v>36059.333042736049</v>
      </c>
      <c r="V7" s="27" t="e">
        <f t="shared" ref="V7:V11" si="5">(U7-R7)/U7</f>
        <v>#N/A</v>
      </c>
    </row>
    <row r="8" spans="2:22" x14ac:dyDescent="0.25">
      <c r="B8" s="5"/>
      <c r="C8" s="28">
        <v>4</v>
      </c>
      <c r="D8" s="17">
        <f>'Structural Information'!U8</f>
        <v>3</v>
      </c>
      <c r="E8" s="18">
        <f t="shared" si="3"/>
        <v>76.342541331502233</v>
      </c>
      <c r="F8" s="17">
        <f t="shared" si="0"/>
        <v>0.15318979931355062</v>
      </c>
      <c r="G8" s="19">
        <f t="shared" si="1"/>
        <v>2.0066112110200067E-3</v>
      </c>
      <c r="H8" s="18">
        <f t="shared" si="4"/>
        <v>1516.5439898470572</v>
      </c>
      <c r="I8" s="17">
        <f>'System Capacities'!G21*'System Capacities'!H21*'System Capacities'!I21</f>
        <v>3.0431141720321162</v>
      </c>
      <c r="J8" s="20">
        <f t="shared" si="2"/>
        <v>2.0066112110200067E-3</v>
      </c>
      <c r="K8" s="21"/>
      <c r="L8" s="22"/>
      <c r="M8" s="28">
        <v>4</v>
      </c>
      <c r="N8" s="18">
        <f>'System Capacities'!G34</f>
        <v>25.447513777167412</v>
      </c>
      <c r="O8" s="23">
        <f>'System Capacities'!G21</f>
        <v>505.51466328235244</v>
      </c>
      <c r="P8" s="24" t="e">
        <f>_xlfn.IFS((($N$21+$N$34)=2),(L$47),(($N$21+$N$34)=3),(L$48),(($N$21+$N$34)=4),(L$49),(($N$21+$N$34)=5),(L$50),(($N$21+$N$34)=6),(L$51),(($N$21+$N$34)=7),(L$52),(($N$21+$N$34)=8),(L$53),(($N$21+$N$34)=9),(L$54),(($N$21+$N$34)=10),(L$55))</f>
        <v>#N/A</v>
      </c>
      <c r="Q8" s="25" t="e">
        <f>_xlfn.IFS((($N$21+$N$34)=2),(M$47),(($N$21+$N$34)=3),(M$48),(($N$21+$N$34)=4),(M$49),(($N$21+$N$34)=5),(M$50),(($N$21+$N$34)=6),(M$51),(($N$21+$N$34)=7),(M$52),(($N$21+$N$34)=8),(M$53),(($N$21+$N$34)=9),(M$54),(($N$21+$N$34)=10),(M$55))</f>
        <v>#N/A</v>
      </c>
      <c r="R8" s="26" t="e">
        <f>_xlfn.IFS((($N$21+$N$34)=2),(N$47),(($N$21+$N$34)=3),(N$48),(($N$21+$N$34)=4),(N$49),(($N$21+$N$34)=5),(N$50),(($N$21+$N$34)=6),(N$51),(($N$21+$N$34)=7),(N$52),(($N$21+$N$34)=8),(N$53),(($N$21+$N$34)=9),(N$54),(($N$21+$N$34)=10),(N$55))</f>
        <v>#N/A</v>
      </c>
      <c r="S8" s="6"/>
      <c r="U8" s="17">
        <f>'Post-yield Mechanism'!O228</f>
        <v>37840.876990438519</v>
      </c>
      <c r="V8" s="27" t="e">
        <f t="shared" si="5"/>
        <v>#N/A</v>
      </c>
    </row>
    <row r="9" spans="2:22" x14ac:dyDescent="0.25">
      <c r="B9" s="5"/>
      <c r="C9" s="16">
        <v>3</v>
      </c>
      <c r="D9" s="17">
        <f>'Structural Information'!U9</f>
        <v>3</v>
      </c>
      <c r="E9" s="18">
        <f t="shared" si="3"/>
        <v>201.10068063065737</v>
      </c>
      <c r="F9" s="17">
        <f t="shared" si="0"/>
        <v>0.75027447508266476</v>
      </c>
      <c r="G9" s="19">
        <f t="shared" si="1"/>
        <v>3.7308400584711251E-3</v>
      </c>
      <c r="H9" s="18">
        <f t="shared" si="4"/>
        <v>1820.5603848075907</v>
      </c>
      <c r="I9" s="17">
        <f>'System Capacities'!G22*'System Capacities'!H22*'System Capacities'!I22</f>
        <v>6.7922196125057654</v>
      </c>
      <c r="J9" s="20">
        <f>I9/H9</f>
        <v>3.7308400584711251E-3</v>
      </c>
      <c r="K9" s="21"/>
      <c r="L9" s="22"/>
      <c r="M9" s="16">
        <v>3</v>
      </c>
      <c r="N9" s="18">
        <f>'System Capacities'!G35</f>
        <v>67.033560210219122</v>
      </c>
      <c r="O9" s="23">
        <f>'System Capacities'!G22</f>
        <v>606.85346160253027</v>
      </c>
      <c r="P9" s="24" t="e">
        <f>_xlfn.IFS((($N$22+$N$35)=2),(D$61),(($N$22+$N$35)=3),(D$62),(($N$22+$N$35)=4),(D$63),(($N$22+$N$35)=5),(D$64),(($N$22+$N$35)=6),(D$65),(($N$22+$N$35)=7),(D$66),(($N$22+$N$35)=8),(D$67),(($N$22+$N$35)=9),(D$68),(($N$22+$N$35)=10),(D$69))</f>
        <v>#N/A</v>
      </c>
      <c r="Q9" s="25" t="e">
        <f>_xlfn.IFS((($N$22+$N$35)=2),(E$61),(($N$22+$N$35)=3),(E$62),(($N$22+$N$35)=4),(E$63),(($N$22+$N$35)=5),(E$64),(($N$22+$N$35)=6),(E$65),(($N$22+$N$35)=7),(E$66),(($N$22+$N$35)=8),(E$67),(($N$22+$N$35)=9),(E$68),(($N$22+$N$35)=10),(E$69))</f>
        <v>#N/A</v>
      </c>
      <c r="R9" s="26" t="e">
        <f>_xlfn.IFS((($N$22+$N$35)=2),(F$61),(($N$22+$N$35)=3),(F$62),(($N$22+$N$35)=4),(F$63),(($N$22+$N$35)=5),(F$64),(($N$22+$N$35)=6),(F$65),(($N$22+$N$35)=7),(F$66),(($N$22+$N$35)=8),(F$67),(($N$22+$N$35)=9),(F$68),(($N$22+$N$35)=10),(F$69))</f>
        <v>#N/A</v>
      </c>
      <c r="S9" s="6"/>
      <c r="U9" s="17">
        <f>'Post-yield Mechanism'!O229</f>
        <v>42313.05814468328</v>
      </c>
      <c r="V9" s="27" t="e">
        <f t="shared" si="5"/>
        <v>#N/A</v>
      </c>
    </row>
    <row r="10" spans="2:22" x14ac:dyDescent="0.25">
      <c r="B10" s="5"/>
      <c r="C10" s="28">
        <v>2</v>
      </c>
      <c r="D10" s="17">
        <f>'Structural Information'!U10</f>
        <v>3</v>
      </c>
      <c r="E10" s="18">
        <f t="shared" si="3"/>
        <v>52.400000000000006</v>
      </c>
      <c r="F10" s="17">
        <f t="shared" si="0"/>
        <v>4.3726199296785495</v>
      </c>
      <c r="G10" s="19">
        <f t="shared" si="1"/>
        <v>8.3446945222873076E-2</v>
      </c>
      <c r="H10" s="18">
        <f t="shared" si="4"/>
        <v>198.28800000000001</v>
      </c>
      <c r="I10" s="17">
        <f>'System Capacities'!G23*'System Capacities'!H23*'System Capacities'!I23</f>
        <v>15.863040000000002</v>
      </c>
      <c r="J10" s="20">
        <f t="shared" si="2"/>
        <v>0.08</v>
      </c>
      <c r="K10" s="21"/>
      <c r="L10" s="22"/>
      <c r="M10" s="28">
        <v>2</v>
      </c>
      <c r="N10" s="18">
        <f>'System Capacities'!G36</f>
        <v>17.466666666666669</v>
      </c>
      <c r="O10" s="23">
        <f>'System Capacities'!G23</f>
        <v>66.096000000000004</v>
      </c>
      <c r="P10" s="24">
        <f>_xlfn.IFS((($N$23+$N$36)=2),(H$61),(($N$23+$N$36)=3),(H$62),(($N$23+$N$36)=4),(H$63),(($N$23+$N$36)=5),(H$64),(($N$23+$N$36)=6),(H$65),(($N$23+$N$36)=7),(H$66),(($N$23+$N$36)=8),(H$67),(($N$23+$N$36)=9),(H$68),(($N$23+$N$36)=10),(H$69))</f>
        <v>91.99487743423262</v>
      </c>
      <c r="Q10" s="25">
        <f>_xlfn.IFS((($N$23+$N$36)=2),(I$61),(($N$23+$N$36)=3),(I$62),(($N$23+$N$36)=4),(I$63),(($N$23+$N$36)=5),(I$64),(($N$23+$N$36)=6),(I$65),(($N$23+$N$36)=7),(I$66),(($N$23+$N$36)=8),(I$67),(($N$23+$N$36)=9),(I$68),(($N$23+$N$36)=10),(I$69))</f>
        <v>0.08</v>
      </c>
      <c r="R10" s="26">
        <f>_xlfn.IFS((($N$23+$N$36)=2),(J$61),(($N$23+$N$36)=3),(J$62),(($N$23+$N$36)=4),(J$63),(($N$23+$N$36)=5),(J$64),(($N$23+$N$36)=6),(J$65),(($N$23+$N$36)=7),(J$66),(($N$23+$N$36)=8),(J$67),(($N$23+$N$36)=9),(J$68),(($N$23+$N$36)=10),(J$69))</f>
        <v>-815.42836940679661</v>
      </c>
      <c r="S10" s="6"/>
      <c r="U10" s="17">
        <f>'Post-yield Mechanism'!O230</f>
        <v>42754.494159960843</v>
      </c>
      <c r="V10" s="27">
        <f t="shared" si="5"/>
        <v>1.0190723428128039</v>
      </c>
    </row>
    <row r="11" spans="2:22" ht="16.5" thickBot="1" x14ac:dyDescent="0.3">
      <c r="B11" s="5"/>
      <c r="C11" s="29">
        <v>1</v>
      </c>
      <c r="D11" s="30">
        <f>'Structural Information'!U11</f>
        <v>2.75</v>
      </c>
      <c r="E11" s="31">
        <f t="shared" si="3"/>
        <v>551.06706821813077</v>
      </c>
      <c r="F11" s="30">
        <f t="shared" si="0"/>
        <v>2.3726246818608012</v>
      </c>
      <c r="G11" s="32">
        <f t="shared" si="1"/>
        <v>4.3055098348240197E-3</v>
      </c>
      <c r="H11" s="31">
        <f t="shared" si="4"/>
        <v>1701.9503542872685</v>
      </c>
      <c r="I11" s="30">
        <f>'System Capacities'!G24*'System Capacities'!H24*'System Capacities'!I24</f>
        <v>7.3277639887660593</v>
      </c>
      <c r="J11" s="33">
        <f t="shared" si="2"/>
        <v>4.3055098348240197E-3</v>
      </c>
      <c r="K11" s="21"/>
      <c r="L11" s="22"/>
      <c r="M11" s="29">
        <v>1</v>
      </c>
      <c r="N11" s="31">
        <f>'System Capacities'!G37</f>
        <v>200.38802480659299</v>
      </c>
      <c r="O11" s="34">
        <f>'System Capacities'!G24</f>
        <v>618.89103792264314</v>
      </c>
      <c r="P11" s="35" t="e">
        <f>_xlfn.IFS((($N$24+$N$37)=2),(L$61),(($N$24+$N$37)=3),(L$62),(($N$24+$N$37)=4),(L$63),(($N$24+$N$37)=5),(L$64),(($N$24+$N$37)=6),(L$65),(($N$24+$N$37)=7),(L$66),(($N$24+$N$37)=8),(L$67),(($N$24+$N$37)=9),(L$68),(($N$24+$N$37)=10),(L$69))</f>
        <v>#N/A</v>
      </c>
      <c r="Q11" s="36" t="e">
        <f>_xlfn.IFS((($N$24+$N$37)=2),(M$61),(($N$24+$N$37)=3),(M$62),(($N$24+$N$37)=4),(M$63),(($N$24+$N$37)=5),(M$64),(($N$24+$N$37)=6),(M$65),(($N$24+$N$37)=7),(M$66),(($N$24+$N$37)=8),(M$67),(($N$24+$N$37)=9),(M$68),(($N$24+$N$37)=10),(M$69))</f>
        <v>#N/A</v>
      </c>
      <c r="R11" s="37" t="e">
        <f>_xlfn.IFS((($N$24+$N$37)=2),(N$61),(($N$24+$N$37)=3),(N$62),(($N$24+$N$37)=4),(N$63),(($N$24+$N$37)=5),(N$64),(($N$24+$N$37)=6),(N$65),(($N$24+$N$37)=7),(N$66),(($N$24+$N$37)=8),(N$67),(($N$24+$N$37)=9),(N$68),(($N$24+$N$37)=10),(N$69))</f>
        <v>#N/A</v>
      </c>
      <c r="S11" s="6"/>
      <c r="U11" s="17">
        <f>'Post-yield Mechanism'!O231</f>
        <v>61906.781363807611</v>
      </c>
      <c r="V11" s="27" t="e">
        <f t="shared" si="5"/>
        <v>#N/A</v>
      </c>
    </row>
    <row r="12" spans="2:22" x14ac:dyDescent="0.25">
      <c r="B12" s="5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6"/>
    </row>
    <row r="13" spans="2:22" ht="16.5" thickBot="1" x14ac:dyDescent="0.3">
      <c r="B13" s="39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1"/>
    </row>
    <row r="14" spans="2:22" ht="16.5" thickBot="1" x14ac:dyDescent="0.3"/>
    <row r="15" spans="2:22" x14ac:dyDescent="0.25">
      <c r="B15" s="827" t="s">
        <v>306</v>
      </c>
      <c r="C15" s="828"/>
      <c r="D15" s="828"/>
      <c r="E15" s="828"/>
      <c r="F15" s="828"/>
      <c r="G15" s="828"/>
      <c r="H15" s="828"/>
      <c r="I15" s="828"/>
      <c r="J15" s="828"/>
      <c r="K15" s="828"/>
      <c r="L15" s="828"/>
      <c r="M15" s="828"/>
      <c r="N15" s="828"/>
      <c r="O15" s="828"/>
      <c r="P15" s="828"/>
      <c r="Q15" s="828"/>
      <c r="R15" s="828"/>
      <c r="S15" s="829"/>
    </row>
    <row r="16" spans="2:22" ht="16.5" thickBot="1" x14ac:dyDescent="0.3">
      <c r="B16" s="830"/>
      <c r="C16" s="831"/>
      <c r="D16" s="831"/>
      <c r="E16" s="831"/>
      <c r="F16" s="831"/>
      <c r="G16" s="831"/>
      <c r="H16" s="831"/>
      <c r="I16" s="831"/>
      <c r="J16" s="831"/>
      <c r="K16" s="831"/>
      <c r="L16" s="831"/>
      <c r="M16" s="831"/>
      <c r="N16" s="831"/>
      <c r="O16" s="831"/>
      <c r="P16" s="831"/>
      <c r="Q16" s="831"/>
      <c r="R16" s="831"/>
      <c r="S16" s="832"/>
    </row>
    <row r="17" spans="2:42" ht="16.5" thickBot="1" x14ac:dyDescent="0.3">
      <c r="B17" s="5"/>
      <c r="C17" s="799" t="s">
        <v>470</v>
      </c>
      <c r="D17" s="800"/>
      <c r="E17" s="800"/>
      <c r="F17" s="800"/>
      <c r="G17" s="800"/>
      <c r="H17" s="800"/>
      <c r="I17" s="800"/>
      <c r="J17" s="800"/>
      <c r="K17" s="800"/>
      <c r="L17" s="800"/>
      <c r="M17" s="800"/>
      <c r="N17" s="801"/>
      <c r="O17" s="38"/>
      <c r="P17" s="836" t="s">
        <v>307</v>
      </c>
      <c r="Q17" s="837"/>
      <c r="R17" s="837"/>
      <c r="S17" s="6"/>
      <c r="U17" s="823" t="s">
        <v>327</v>
      </c>
      <c r="V17" s="823"/>
    </row>
    <row r="18" spans="2:42" ht="16.5" customHeight="1" x14ac:dyDescent="0.25">
      <c r="B18" s="5"/>
      <c r="C18" s="467" t="s">
        <v>9</v>
      </c>
      <c r="D18" s="585" t="s">
        <v>187</v>
      </c>
      <c r="E18" s="585"/>
      <c r="F18" s="585"/>
      <c r="G18" s="42" t="s">
        <v>85</v>
      </c>
      <c r="H18" s="466" t="s">
        <v>86</v>
      </c>
      <c r="I18" s="43" t="s">
        <v>87</v>
      </c>
      <c r="J18" s="44" t="s">
        <v>88</v>
      </c>
      <c r="K18" s="838" t="s">
        <v>218</v>
      </c>
      <c r="L18" s="839"/>
      <c r="M18" s="840"/>
      <c r="N18" s="3" t="s">
        <v>217</v>
      </c>
      <c r="O18" s="38"/>
      <c r="P18" s="837"/>
      <c r="Q18" s="837"/>
      <c r="R18" s="837"/>
      <c r="S18" s="6"/>
      <c r="U18" s="14" t="s">
        <v>360</v>
      </c>
      <c r="V18" s="15" t="s">
        <v>265</v>
      </c>
      <c r="AK18" s="45"/>
      <c r="AL18" s="45"/>
      <c r="AM18" s="45"/>
      <c r="AN18" s="45"/>
      <c r="AO18" s="45"/>
      <c r="AP18" s="45"/>
    </row>
    <row r="19" spans="2:42" ht="15" customHeight="1" x14ac:dyDescent="0.25">
      <c r="B19" s="5"/>
      <c r="C19" s="46">
        <v>6</v>
      </c>
      <c r="D19" s="613" t="s">
        <v>197</v>
      </c>
      <c r="E19" s="614"/>
      <c r="F19" s="615"/>
      <c r="G19" s="60">
        <f>_xlfn.IFS(N19=1,'Infill Capacities'!CM14,N19=2,'Infill Capacities'!CN14,N19=3,'Infill Capacities'!CO14,N19=4,('Infill Capacities'!CP14),(N19=-1),('Infill Capacities'!CQ14))</f>
        <v>171.55659581870771</v>
      </c>
      <c r="H19" s="60">
        <f>'Structural Information'!$U$6</f>
        <v>3</v>
      </c>
      <c r="I19" s="98">
        <f>_xlfn.IFS(N19=1,'Infill Capacities'!CY14,N19=2,'Infill Capacities'!CZ14,N19=3,'Infill Capacities'!DA14,N19=4,('Infill Capacities'!DB14),(N19=-1),('Infill Capacities'!DC14))</f>
        <v>9.8813489336206217E-4</v>
      </c>
      <c r="J19" s="60">
        <f>_xlfn.IFS((N19=1),('Infill Capacities'!CS14),(N19=2),('Infill Capacities'!CT14),(N19=3),('Infill Capacities'!CU14),(N19=4),('Infill Capacities'!CV14),(N19=-1),('Infill Capacities'!CW14))</f>
        <v>57872.191665046179</v>
      </c>
      <c r="K19" s="838"/>
      <c r="L19" s="839"/>
      <c r="M19" s="840"/>
      <c r="N19" s="47">
        <v>-1</v>
      </c>
      <c r="O19">
        <v>1</v>
      </c>
      <c r="P19" s="837"/>
      <c r="Q19" s="837"/>
      <c r="R19" s="837"/>
      <c r="S19" s="6"/>
      <c r="U19" s="17">
        <f>'Post-yield Mechanism'!Q226</f>
        <v>26773.058785669469</v>
      </c>
      <c r="V19" s="27">
        <f t="shared" ref="V19:V24" si="6">(U19-J19)/U19</f>
        <v>-1.1615831096603282</v>
      </c>
    </row>
    <row r="20" spans="2:42" x14ac:dyDescent="0.25">
      <c r="B20" s="5"/>
      <c r="C20" s="46">
        <v>5</v>
      </c>
      <c r="D20" s="613" t="s">
        <v>197</v>
      </c>
      <c r="E20" s="614"/>
      <c r="F20" s="615"/>
      <c r="G20" s="60">
        <f>_xlfn.IFS(N20=1,'Infill Capacities'!CM15,N20=2,'Infill Capacities'!CN15,N20=3,'Infill Capacities'!CO15,N20=4,('Infill Capacities'!CP15),(N20=-1),('Infill Capacities'!CQ15))</f>
        <v>348.81217408162945</v>
      </c>
      <c r="H20" s="60">
        <f>'Structural Information'!$U$7</f>
        <v>3</v>
      </c>
      <c r="I20" s="98">
        <f>_xlfn.IFS(N20=1,'Infill Capacities'!CY15,N20=2,'Infill Capacities'!CZ15,N20=3,'Infill Capacities'!DA15,N20=4,('Infill Capacities'!DB15),(N20=-1),('Infill Capacities'!DC15))</f>
        <v>1.4977593939212409E-3</v>
      </c>
      <c r="J20" s="60">
        <f>_xlfn.IFS((N20=1),('Infill Capacities'!CS15),(N20=2),('Infill Capacities'!CT15),(N20=3),('Infill Capacities'!CU15),(N20=4),('Infill Capacities'!CV15),(N20=-1),('Infill Capacities'!CW15))</f>
        <v>77629.774959695918</v>
      </c>
      <c r="K20" s="838"/>
      <c r="L20" s="839"/>
      <c r="M20" s="840"/>
      <c r="N20" s="47">
        <v>-1</v>
      </c>
      <c r="O20">
        <v>1</v>
      </c>
      <c r="P20" s="837"/>
      <c r="Q20" s="837"/>
      <c r="R20" s="837"/>
      <c r="S20" s="6"/>
      <c r="U20" s="17">
        <f>'Post-yield Mechanism'!Q227</f>
        <v>32198.335613867137</v>
      </c>
      <c r="V20" s="27">
        <f t="shared" si="6"/>
        <v>-1.4109871979302691</v>
      </c>
    </row>
    <row r="21" spans="2:42" x14ac:dyDescent="0.25">
      <c r="B21" s="5"/>
      <c r="C21" s="46">
        <v>4</v>
      </c>
      <c r="D21" s="613" t="s">
        <v>197</v>
      </c>
      <c r="E21" s="614"/>
      <c r="F21" s="615"/>
      <c r="G21" s="60">
        <f>_xlfn.IFS(N21=1,'Infill Capacities'!CM16,N21=2,'Infill Capacities'!CN16,N21=3,'Infill Capacities'!CO16,N21=4,('Infill Capacities'!CP16),(N21=-1),('Infill Capacities'!CQ16))</f>
        <v>505.51466328235244</v>
      </c>
      <c r="H21" s="60">
        <f>'Structural Information'!$U$8</f>
        <v>3</v>
      </c>
      <c r="I21" s="98">
        <f>_xlfn.IFS(N21=1,'Infill Capacities'!CY16,N21=2,'Infill Capacities'!CZ16,N21=3,'Infill Capacities'!DA16,N21=4,('Infill Capacities'!DB16),(N21=-1),('Infill Capacities'!DC16))</f>
        <v>2.0066112110200067E-3</v>
      </c>
      <c r="J21" s="60">
        <f>_xlfn.IFS((N21=1),('Infill Capacities'!CS16),(N21=2),('Infill Capacities'!CT16),(N21=3),('Infill Capacities'!CU16),(N21=4),('Infill Capacities'!CV16),(N21=-1),('Infill Capacities'!CW16))</f>
        <v>83974.856133256253</v>
      </c>
      <c r="K21" s="838"/>
      <c r="L21" s="839"/>
      <c r="M21" s="840"/>
      <c r="N21" s="47">
        <v>-1</v>
      </c>
      <c r="O21">
        <v>1</v>
      </c>
      <c r="P21" s="837"/>
      <c r="Q21" s="837"/>
      <c r="R21" s="837"/>
      <c r="S21" s="6"/>
      <c r="U21" s="17">
        <f>'Post-yield Mechanism'!Q228</f>
        <v>33822.688202495934</v>
      </c>
      <c r="V21" s="27">
        <f t="shared" si="6"/>
        <v>-1.4827966254633584</v>
      </c>
    </row>
    <row r="22" spans="2:42" x14ac:dyDescent="0.25">
      <c r="B22" s="5"/>
      <c r="C22" s="46">
        <v>3</v>
      </c>
      <c r="D22" s="613" t="s">
        <v>198</v>
      </c>
      <c r="E22" s="614"/>
      <c r="F22" s="615"/>
      <c r="G22" s="60">
        <f>_xlfn.IFS(N22=1,'Infill Capacities'!CM17,N22=2,'Infill Capacities'!CN17,N22=3,'Infill Capacities'!CO17,N22=4,('Infill Capacities'!CP17),(N22=-1),('Infill Capacities'!CQ17))</f>
        <v>606.85346160253027</v>
      </c>
      <c r="H22" s="60">
        <f>'Structural Information'!$U$9</f>
        <v>3</v>
      </c>
      <c r="I22" s="98">
        <f>_xlfn.IFS(N22=1,'Infill Capacities'!CY17,N22=2,'Infill Capacities'!CZ17,N22=3,'Infill Capacities'!DA17,N22=4,('Infill Capacities'!DB17),(N22=-1),('Infill Capacities'!DC17))</f>
        <v>3.7308400584711251E-3</v>
      </c>
      <c r="J22" s="60">
        <f>_xlfn.IFS((N22=1),('Infill Capacities'!CS17),(N22=2),('Infill Capacities'!CT17),(N22=3),('Infill Capacities'!CU17),(N22=4),('Infill Capacities'!CV17),(N22=-1),('Infill Capacities'!CW17))</f>
        <v>90193.202010721143</v>
      </c>
      <c r="K22" s="838"/>
      <c r="L22" s="839"/>
      <c r="M22" s="840"/>
      <c r="N22" s="47">
        <v>-1</v>
      </c>
      <c r="O22">
        <v>2</v>
      </c>
      <c r="P22" s="837"/>
      <c r="Q22" s="837"/>
      <c r="R22" s="837"/>
      <c r="S22" s="6"/>
      <c r="U22" s="17">
        <f>'Post-yield Mechanism'!Q229</f>
        <v>37008.197034533463</v>
      </c>
      <c r="V22" s="27">
        <f t="shared" si="6"/>
        <v>-1.4371141865289776</v>
      </c>
    </row>
    <row r="23" spans="2:42" x14ac:dyDescent="0.25">
      <c r="B23" s="5"/>
      <c r="C23" s="46">
        <v>2</v>
      </c>
      <c r="D23" s="613" t="s">
        <v>199</v>
      </c>
      <c r="E23" s="614"/>
      <c r="F23" s="615"/>
      <c r="G23" s="60">
        <f>_xlfn.IFS(N23=1,'Infill Capacities'!CM18,N23=2,'Infill Capacities'!CN18,N23=3,'Infill Capacities'!CO18,N23=4,('Infill Capacities'!CP18),(N23=-1),('Infill Capacities'!CQ18))</f>
        <v>66.096000000000004</v>
      </c>
      <c r="H23" s="60">
        <f>'Structural Information'!$U$10</f>
        <v>3</v>
      </c>
      <c r="I23" s="98">
        <f>_xlfn.IFS(N23=1,'Infill Capacities'!CY18,N23=2,'Infill Capacities'!CZ18,N23=3,'Infill Capacities'!DA18,N23=4,('Infill Capacities'!DB18),(N23=-1),('Infill Capacities'!DC18))</f>
        <v>0.08</v>
      </c>
      <c r="J23" s="60">
        <f>_xlfn.IFS((N23=1),('Infill Capacities'!CS18),(N23=2),('Infill Capacities'!CT18),(N23=3),('Infill Capacities'!CU18),(N23=4),('Infill Capacities'!CV18),(N23=-1),('Infill Capacities'!CW18))</f>
        <v>0</v>
      </c>
      <c r="K23" s="838"/>
      <c r="L23" s="839"/>
      <c r="M23" s="840"/>
      <c r="N23" s="47">
        <v>4</v>
      </c>
      <c r="O23"/>
      <c r="P23" s="837"/>
      <c r="Q23" s="837"/>
      <c r="R23" s="837"/>
      <c r="S23" s="6"/>
      <c r="U23" s="17">
        <f>'Post-yield Mechanism'!Q230</f>
        <v>37080.353432899734</v>
      </c>
      <c r="V23" s="27">
        <f t="shared" si="6"/>
        <v>1</v>
      </c>
      <c r="Y23" s="48"/>
      <c r="Z23" s="49"/>
      <c r="AA23" s="50"/>
      <c r="AB23" s="49"/>
      <c r="AC23" s="48"/>
      <c r="AD23" s="49"/>
      <c r="AE23" s="50"/>
      <c r="AF23" s="49"/>
      <c r="AG23" s="48"/>
      <c r="AH23" s="49"/>
      <c r="AI23" s="50"/>
      <c r="AJ23" s="49"/>
    </row>
    <row r="24" spans="2:42" ht="16.5" thickBot="1" x14ac:dyDescent="0.3">
      <c r="B24" s="5"/>
      <c r="C24" s="51">
        <v>1</v>
      </c>
      <c r="D24" s="616" t="s">
        <v>199</v>
      </c>
      <c r="E24" s="617"/>
      <c r="F24" s="618"/>
      <c r="G24" s="30">
        <f>_xlfn.IFS(N24=1,'Infill Capacities'!CM19,N24=2,'Infill Capacities'!CN19,N24=3,'Infill Capacities'!CO19,N24=4,('Infill Capacities'!CP19),(N24=-1),('Infill Capacities'!CQ19))</f>
        <v>618.89103792264314</v>
      </c>
      <c r="H24" s="30">
        <f>'Structural Information'!$U$11</f>
        <v>2.75</v>
      </c>
      <c r="I24" s="36">
        <f>_xlfn.IFS(N24=1,'Infill Capacities'!CY19,N24=2,'Infill Capacities'!CZ19,N24=3,'Infill Capacities'!DA19,N24=4,('Infill Capacities'!DB19),(N24=-1),('Infill Capacities'!DC19))</f>
        <v>4.3055098348240197E-3</v>
      </c>
      <c r="J24" s="30">
        <f>_xlfn.IFS((N24=1),('Infill Capacities'!CS19),(N24=2),('Infill Capacities'!CT19),(N24=3),('Infill Capacities'!CU19),(N24=4),('Infill Capacities'!CV19),(N24=-1),('Infill Capacities'!CW19))</f>
        <v>104801.84736419223</v>
      </c>
      <c r="K24" s="841"/>
      <c r="L24" s="842"/>
      <c r="M24" s="843"/>
      <c r="N24" s="52">
        <v>-1</v>
      </c>
      <c r="O24">
        <v>2</v>
      </c>
      <c r="P24" s="837"/>
      <c r="Q24" s="837"/>
      <c r="R24" s="837"/>
      <c r="S24" s="6"/>
      <c r="U24" s="17">
        <f>'Post-yield Mechanism'!Q231</f>
        <v>47439.25324999632</v>
      </c>
      <c r="V24" s="27">
        <f t="shared" si="6"/>
        <v>-1.2091799550870959</v>
      </c>
    </row>
    <row r="25" spans="2:42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6"/>
    </row>
    <row r="26" spans="2:42" ht="16.5" thickBot="1" x14ac:dyDescent="0.3"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1"/>
    </row>
    <row r="27" spans="2:42" ht="16.5" thickBot="1" x14ac:dyDescent="0.3">
      <c r="U27" s="53"/>
    </row>
    <row r="28" spans="2:42" x14ac:dyDescent="0.25">
      <c r="B28" s="827" t="s">
        <v>308</v>
      </c>
      <c r="C28" s="828"/>
      <c r="D28" s="828"/>
      <c r="E28" s="828"/>
      <c r="F28" s="828"/>
      <c r="G28" s="828"/>
      <c r="H28" s="828"/>
      <c r="I28" s="828"/>
      <c r="J28" s="828"/>
      <c r="K28" s="828"/>
      <c r="L28" s="828"/>
      <c r="M28" s="828"/>
      <c r="N28" s="828"/>
      <c r="O28" s="828"/>
      <c r="P28" s="828"/>
      <c r="Q28" s="828"/>
      <c r="R28" s="828"/>
      <c r="S28" s="829"/>
      <c r="AD28" s="17"/>
      <c r="AE28" s="54"/>
    </row>
    <row r="29" spans="2:42" ht="16.5" thickBot="1" x14ac:dyDescent="0.3">
      <c r="B29" s="830"/>
      <c r="C29" s="831"/>
      <c r="D29" s="831"/>
      <c r="E29" s="831"/>
      <c r="F29" s="831"/>
      <c r="G29" s="831"/>
      <c r="H29" s="831"/>
      <c r="I29" s="831"/>
      <c r="J29" s="831"/>
      <c r="K29" s="831"/>
      <c r="L29" s="831"/>
      <c r="M29" s="831"/>
      <c r="N29" s="831"/>
      <c r="O29" s="831"/>
      <c r="P29" s="831"/>
      <c r="Q29" s="831"/>
      <c r="R29" s="831"/>
      <c r="S29" s="832"/>
      <c r="X29" s="53"/>
      <c r="AD29" s="17"/>
      <c r="AE29" s="54"/>
    </row>
    <row r="30" spans="2:42" ht="16.5" thickBot="1" x14ac:dyDescent="0.3">
      <c r="B30" s="5"/>
      <c r="C30" s="833" t="s">
        <v>195</v>
      </c>
      <c r="D30" s="834"/>
      <c r="E30" s="834"/>
      <c r="F30" s="834"/>
      <c r="G30" s="834"/>
      <c r="H30" s="834"/>
      <c r="I30" s="834"/>
      <c r="J30" s="834"/>
      <c r="K30" s="834"/>
      <c r="L30" s="834"/>
      <c r="M30" s="834"/>
      <c r="N30" s="835"/>
      <c r="O30" s="38"/>
      <c r="P30" s="836" t="s">
        <v>307</v>
      </c>
      <c r="Q30" s="837"/>
      <c r="R30" s="837"/>
      <c r="S30" s="6"/>
      <c r="U30" s="823" t="s">
        <v>327</v>
      </c>
      <c r="V30" s="823"/>
      <c r="AD30" s="49"/>
      <c r="AE30" s="50"/>
    </row>
    <row r="31" spans="2:42" x14ac:dyDescent="0.25">
      <c r="B31" s="5"/>
      <c r="C31" s="467" t="s">
        <v>9</v>
      </c>
      <c r="D31" s="585" t="s">
        <v>84</v>
      </c>
      <c r="E31" s="585"/>
      <c r="F31" s="585"/>
      <c r="G31" s="476" t="s">
        <v>85</v>
      </c>
      <c r="H31" s="466" t="s">
        <v>86</v>
      </c>
      <c r="I31" s="466" t="s">
        <v>87</v>
      </c>
      <c r="J31" s="55" t="s">
        <v>88</v>
      </c>
      <c r="K31" s="838" t="s">
        <v>218</v>
      </c>
      <c r="L31" s="839"/>
      <c r="M31" s="840"/>
      <c r="N31" s="3" t="s">
        <v>217</v>
      </c>
      <c r="O31" s="38"/>
      <c r="P31" s="837"/>
      <c r="Q31" s="837"/>
      <c r="R31" s="837"/>
      <c r="S31" s="6"/>
      <c r="U31" s="14" t="s">
        <v>360</v>
      </c>
      <c r="V31" s="15" t="s">
        <v>265</v>
      </c>
      <c r="AD31" s="49"/>
      <c r="AE31" s="50"/>
    </row>
    <row r="32" spans="2:42" x14ac:dyDescent="0.25">
      <c r="B32" s="5"/>
      <c r="C32" s="46">
        <v>6</v>
      </c>
      <c r="D32" s="613" t="s">
        <v>42</v>
      </c>
      <c r="E32" s="614"/>
      <c r="F32" s="615"/>
      <c r="G32" s="60">
        <f>_xlfn.IFS(N32=1,'Frame Capacities'!BF14,N32=2,'Frame Capacities'!BG14,N32=3,'Frame Capacities'!BH14,N32=4,'Frame Capacities'!BI14,N32=5,'Frame Capacities'!BJ14,(N32),'Frame Capacities'!BK14)</f>
        <v>10.57254973689585</v>
      </c>
      <c r="H32" s="60">
        <f>'Structural Information'!$U$6</f>
        <v>3</v>
      </c>
      <c r="I32" s="98">
        <f>_xlfn.IFS(N32=1,'Frame Capacities'!BT14,N32=2,'Frame Capacities'!BU14,N32=3,'Frame Capacities'!BV14,N32=4,'Frame Capacities'!BW14,N32=5,'Frame Capacities'!BX14,(N32=-1),'Infill Capacities'!DC14)</f>
        <v>9.8813489336206217E-4</v>
      </c>
      <c r="J32" s="60">
        <f>_xlfn.IFS((N32=1),('Frame Capacities'!BM14),(N32=2),('Frame Capacities'!BN14),(N32=3),('Frame Capacities'!BO14),(N32=4),'Frame Capacities'!BP14,(N32=5),'Frame Capacities'!BQ14,(N32=-1),'Frame Capacities'!BR14)</f>
        <v>3566.500150238754</v>
      </c>
      <c r="K32" s="838"/>
      <c r="L32" s="839"/>
      <c r="M32" s="840"/>
      <c r="N32" s="47">
        <v>-1</v>
      </c>
      <c r="O32">
        <v>1</v>
      </c>
      <c r="P32" s="837"/>
      <c r="Q32" s="837"/>
      <c r="R32" s="837"/>
      <c r="S32" s="6"/>
      <c r="U32" s="17">
        <v>3705.0091458580678</v>
      </c>
      <c r="V32" s="27">
        <f t="shared" ref="V32:V37" si="7">(U32-J32)/U32</f>
        <v>3.7384252013023173E-2</v>
      </c>
      <c r="AD32" s="17"/>
      <c r="AE32" s="54"/>
    </row>
    <row r="33" spans="2:31" x14ac:dyDescent="0.25">
      <c r="B33" s="5"/>
      <c r="C33" s="46">
        <v>5</v>
      </c>
      <c r="D33" s="613" t="s">
        <v>42</v>
      </c>
      <c r="E33" s="614"/>
      <c r="F33" s="615"/>
      <c r="G33" s="60">
        <f>_xlfn.IFS(N33=1,'Frame Capacities'!BF15,N33=2,'Frame Capacities'!BG15,N33=3,'Frame Capacities'!BH15,N33=4,'Frame Capacities'!BI15,N33=5,'Frame Capacities'!BJ15,(N33),'Frame Capacities'!BK15)</f>
        <v>16.292206460508616</v>
      </c>
      <c r="H33" s="60">
        <f>'Structural Information'!$U$7</f>
        <v>3</v>
      </c>
      <c r="I33" s="98">
        <f>_xlfn.IFS(N33=1,'Frame Capacities'!BT15,N33=2,'Frame Capacities'!BU15,N33=3,'Frame Capacities'!BV15,N33=4,'Frame Capacities'!BW15,N33=5,'Frame Capacities'!BX15,(N33=-1),'Infill Capacities'!DC15)</f>
        <v>1.4977593939212409E-3</v>
      </c>
      <c r="J33" s="60">
        <f>_xlfn.IFS((N33=1),('Frame Capacities'!BM15),(N33=2),('Frame Capacities'!BN15),(N33=3),('Frame Capacities'!BO15),(N33=4),'Frame Capacities'!BP15,(N33=5),'Frame Capacities'!BQ15,(N33=-1),'Frame Capacities'!BR15)</f>
        <v>3625.9064766191536</v>
      </c>
      <c r="K33" s="838"/>
      <c r="L33" s="839"/>
      <c r="M33" s="840"/>
      <c r="N33" s="47">
        <v>-1</v>
      </c>
      <c r="O33">
        <v>1</v>
      </c>
      <c r="P33" s="837"/>
      <c r="Q33" s="837"/>
      <c r="R33" s="837"/>
      <c r="S33" s="6"/>
      <c r="U33" s="17">
        <v>3860.9974288689132</v>
      </c>
      <c r="V33" s="27">
        <f t="shared" si="7"/>
        <v>6.0888658068500683E-2</v>
      </c>
      <c r="AD33" s="49"/>
      <c r="AE33" s="50"/>
    </row>
    <row r="34" spans="2:31" x14ac:dyDescent="0.25">
      <c r="B34" s="5"/>
      <c r="C34" s="46">
        <v>4</v>
      </c>
      <c r="D34" s="613" t="s">
        <v>42</v>
      </c>
      <c r="E34" s="614"/>
      <c r="F34" s="615"/>
      <c r="G34" s="60">
        <f>_xlfn.IFS(N34=1,'Frame Capacities'!BF16,N34=2,'Frame Capacities'!BG16,N34=3,'Frame Capacities'!BH16,N34=4,'Frame Capacities'!BI16,N34=5,'Frame Capacities'!BJ16,(N34),'Frame Capacities'!BK16)</f>
        <v>25.447513777167412</v>
      </c>
      <c r="H34" s="60">
        <f>'Structural Information'!$U$8</f>
        <v>3</v>
      </c>
      <c r="I34" s="98">
        <f>_xlfn.IFS(N34=1,'Frame Capacities'!BT16,N34=2,'Frame Capacities'!BU16,N34=3,'Frame Capacities'!BV16,N34=4,'Frame Capacities'!BW16,N34=5,'Frame Capacities'!BX16,(N34=-1),'Infill Capacities'!DC16)</f>
        <v>2.0066112110200067E-3</v>
      </c>
      <c r="J34" s="60">
        <f>_xlfn.IFS((N34=1),('Frame Capacities'!BM16),(N34=2),('Frame Capacities'!BN16),(N34=3),('Frame Capacities'!BO16),(N34=4),'Frame Capacities'!BP16,(N34=5),'Frame Capacities'!BQ16,(N34=-1),'Frame Capacities'!BR16)</f>
        <v>4227.278580825473</v>
      </c>
      <c r="K34" s="838"/>
      <c r="L34" s="839"/>
      <c r="M34" s="840"/>
      <c r="N34" s="47">
        <v>-1</v>
      </c>
      <c r="O34">
        <v>1</v>
      </c>
      <c r="P34" s="837"/>
      <c r="Q34" s="837"/>
      <c r="R34" s="837"/>
      <c r="S34" s="6"/>
      <c r="U34" s="17">
        <v>4018.1887879425876</v>
      </c>
      <c r="V34" s="27">
        <f t="shared" si="7"/>
        <v>-5.2035831046640432E-2</v>
      </c>
      <c r="AD34" s="17"/>
      <c r="AE34" s="54"/>
    </row>
    <row r="35" spans="2:31" x14ac:dyDescent="0.25">
      <c r="B35" s="5"/>
      <c r="C35" s="46">
        <v>3</v>
      </c>
      <c r="D35" s="613" t="s">
        <v>42</v>
      </c>
      <c r="E35" s="614"/>
      <c r="F35" s="615"/>
      <c r="G35" s="60">
        <f>_xlfn.IFS(N35=1,'Frame Capacities'!BF17,N35=2,'Frame Capacities'!BG17,N35=3,'Frame Capacities'!BH17,N35=4,'Frame Capacities'!BI17,N35=5,'Frame Capacities'!BJ17,(N35),'Frame Capacities'!BK17)</f>
        <v>67.033560210219122</v>
      </c>
      <c r="H35" s="60">
        <f>'Structural Information'!$U$9</f>
        <v>3</v>
      </c>
      <c r="I35" s="98">
        <f>_xlfn.IFS(N35=1,'Frame Capacities'!BT17,N35=2,'Frame Capacities'!BU17,N35=3,'Frame Capacities'!BV17,N35=4,'Frame Capacities'!BW17,N35=5,'Frame Capacities'!BX17,(N35=-1),'Infill Capacities'!DC17)</f>
        <v>3.7308400584711251E-3</v>
      </c>
      <c r="J35" s="60">
        <f>_xlfn.IFS((N35=1),('Frame Capacities'!BM17),(N35=2),('Frame Capacities'!BN17),(N35=3),('Frame Capacities'!BO17),(N35=4),'Frame Capacities'!BP17,(N35=5),'Frame Capacities'!BQ17,(N35=-1),'Frame Capacities'!BR17)</f>
        <v>5989.1391000100084</v>
      </c>
      <c r="K35" s="838"/>
      <c r="L35" s="839"/>
      <c r="M35" s="840"/>
      <c r="N35" s="47">
        <v>-1</v>
      </c>
      <c r="O35">
        <v>1</v>
      </c>
      <c r="P35" s="837"/>
      <c r="Q35" s="837"/>
      <c r="R35" s="837"/>
      <c r="S35" s="6"/>
      <c r="U35" s="17">
        <v>5304.8611101498182</v>
      </c>
      <c r="V35" s="27">
        <f t="shared" si="7"/>
        <v>-0.12899074559199253</v>
      </c>
    </row>
    <row r="36" spans="2:31" x14ac:dyDescent="0.25">
      <c r="B36" s="5"/>
      <c r="C36" s="46">
        <v>2</v>
      </c>
      <c r="D36" s="613" t="s">
        <v>42</v>
      </c>
      <c r="E36" s="614"/>
      <c r="F36" s="615"/>
      <c r="G36" s="60">
        <f>_xlfn.IFS(N36=1,'Frame Capacities'!BF18,N36=2,'Frame Capacities'!BG18,N36=3,'Frame Capacities'!BH18,N36=4,'Frame Capacities'!BI18,N36=5,'Frame Capacities'!BJ18,(N36),'Frame Capacities'!BK18)</f>
        <v>17.466666666666669</v>
      </c>
      <c r="H36" s="60">
        <f>'Structural Information'!$U$10</f>
        <v>3</v>
      </c>
      <c r="I36" s="98">
        <f>_xlfn.IFS(N36=1,'Frame Capacities'!BT18,N36=2,'Frame Capacities'!BU18,N36=3,'Frame Capacities'!BV18,N36=4,'Frame Capacities'!BW18,N36=5,'Frame Capacities'!BX18,(N36=-1),'Infill Capacities'!DC18)</f>
        <v>8.3446945222873076E-2</v>
      </c>
      <c r="J36" s="60">
        <f>_xlfn.IFS((N36=1),('Frame Capacities'!BM18),(N36=2),('Frame Capacities'!BN18),(N36=3),('Frame Capacities'!BO18),(N36=4),'Frame Capacities'!BP18,(N36=5),'Frame Capacities'!BQ18,(N36=-1),'Frame Capacities'!BR18)</f>
        <v>-815.42836940679661</v>
      </c>
      <c r="K36" s="838"/>
      <c r="L36" s="839"/>
      <c r="M36" s="840"/>
      <c r="N36" s="47">
        <v>4</v>
      </c>
      <c r="O36"/>
      <c r="P36" s="837"/>
      <c r="Q36" s="837"/>
      <c r="R36" s="837"/>
      <c r="S36" s="6"/>
      <c r="U36" s="17">
        <v>5674.1407270611107</v>
      </c>
      <c r="V36" s="27">
        <f t="shared" si="7"/>
        <v>1.1437095780014506</v>
      </c>
    </row>
    <row r="37" spans="2:31" ht="16.5" thickBot="1" x14ac:dyDescent="0.3">
      <c r="B37" s="5"/>
      <c r="C37" s="51">
        <v>1</v>
      </c>
      <c r="D37" s="616" t="s">
        <v>42</v>
      </c>
      <c r="E37" s="617"/>
      <c r="F37" s="618"/>
      <c r="G37" s="30">
        <f>_xlfn.IFS(N37=1,'Frame Capacities'!BF19,N37=2,'Frame Capacities'!BG19,N37=3,'Frame Capacities'!BH19,N37=4,'Frame Capacities'!BI19,N37=5,'Frame Capacities'!BJ19,(N37),'Frame Capacities'!BK19)</f>
        <v>200.38802480659299</v>
      </c>
      <c r="H37" s="30">
        <f>'Structural Information'!$U$11</f>
        <v>2.75</v>
      </c>
      <c r="I37" s="36">
        <f>_xlfn.IFS(N37=1,'Frame Capacities'!BT19,N37=2,'Frame Capacities'!BU19,N37=3,'Frame Capacities'!BV19,N37=4,'Frame Capacities'!BW19,N37=5,'Frame Capacities'!BX19,(N37=-1),'Infill Capacities'!DC19)</f>
        <v>4.3055098348240197E-3</v>
      </c>
      <c r="J37" s="30">
        <f>_xlfn.IFS((N37=1),('Frame Capacities'!BM19),(N37=2),('Frame Capacities'!BN19),(N37=3),('Frame Capacities'!BO19),(N37=4),'Frame Capacities'!BP19,(N37=5),'Frame Capacities'!BQ19,(N37=-1),'Frame Capacities'!BR19)</f>
        <v>16924.446918589209</v>
      </c>
      <c r="K37" s="841"/>
      <c r="L37" s="842"/>
      <c r="M37" s="843"/>
      <c r="N37" s="52">
        <v>-1</v>
      </c>
      <c r="O37">
        <v>1</v>
      </c>
      <c r="P37" s="837"/>
      <c r="Q37" s="837"/>
      <c r="R37" s="837"/>
      <c r="S37" s="6"/>
      <c r="U37" s="17">
        <v>14467.52811381129</v>
      </c>
      <c r="V37" s="27">
        <f t="shared" si="7"/>
        <v>-0.16982298464880427</v>
      </c>
    </row>
    <row r="38" spans="2:31" x14ac:dyDescent="0.25">
      <c r="B38" s="5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6"/>
    </row>
    <row r="39" spans="2:31" ht="16.5" thickBot="1" x14ac:dyDescent="0.3">
      <c r="B39" s="39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1"/>
    </row>
    <row r="41" spans="2:31" x14ac:dyDescent="0.25"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</row>
    <row r="42" spans="2:31" ht="16.5" thickBot="1" x14ac:dyDescent="0.3"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31" ht="16.5" thickBot="1" x14ac:dyDescent="0.3">
      <c r="B43" s="735" t="s">
        <v>376</v>
      </c>
      <c r="C43" s="736"/>
      <c r="D43" s="736"/>
      <c r="E43" s="736"/>
      <c r="F43" s="736"/>
      <c r="G43" s="736"/>
      <c r="H43" s="736"/>
      <c r="I43" s="736"/>
      <c r="J43" s="736"/>
      <c r="K43" s="736"/>
      <c r="L43" s="736"/>
      <c r="M43" s="736"/>
      <c r="N43" s="737"/>
    </row>
    <row r="44" spans="2:31" x14ac:dyDescent="0.25">
      <c r="B44" s="643" t="s">
        <v>454</v>
      </c>
      <c r="C44" s="585" t="s">
        <v>375</v>
      </c>
      <c r="D44" s="585"/>
      <c r="E44" s="585"/>
      <c r="F44" s="585"/>
      <c r="G44" s="585" t="s">
        <v>374</v>
      </c>
      <c r="H44" s="585"/>
      <c r="I44" s="585"/>
      <c r="J44" s="585"/>
      <c r="K44" s="585" t="s">
        <v>373</v>
      </c>
      <c r="L44" s="585"/>
      <c r="M44" s="585"/>
      <c r="N44" s="844"/>
    </row>
    <row r="45" spans="2:31" x14ac:dyDescent="0.25">
      <c r="B45" s="673"/>
      <c r="C45" s="505" t="s">
        <v>369</v>
      </c>
      <c r="D45" s="505" t="s">
        <v>92</v>
      </c>
      <c r="E45" s="505" t="s">
        <v>119</v>
      </c>
      <c r="F45" s="505" t="s">
        <v>361</v>
      </c>
      <c r="G45" s="505" t="s">
        <v>369</v>
      </c>
      <c r="H45" s="505" t="s">
        <v>92</v>
      </c>
      <c r="I45" s="505" t="s">
        <v>119</v>
      </c>
      <c r="J45" s="505" t="s">
        <v>361</v>
      </c>
      <c r="K45" s="505" t="s">
        <v>369</v>
      </c>
      <c r="L45" s="505" t="s">
        <v>92</v>
      </c>
      <c r="M45" s="505" t="s">
        <v>119</v>
      </c>
      <c r="N45" s="509" t="s">
        <v>361</v>
      </c>
    </row>
    <row r="46" spans="2:31" x14ac:dyDescent="0.25">
      <c r="B46" s="545">
        <v>1</v>
      </c>
      <c r="C46" s="539" t="s">
        <v>444</v>
      </c>
      <c r="D46" s="58">
        <v>0</v>
      </c>
      <c r="E46" s="58">
        <v>0</v>
      </c>
      <c r="F46" s="540" t="s">
        <v>83</v>
      </c>
      <c r="G46" s="539" t="s">
        <v>444</v>
      </c>
      <c r="H46" s="58">
        <v>0</v>
      </c>
      <c r="I46" s="58">
        <v>0</v>
      </c>
      <c r="J46" s="540" t="s">
        <v>83</v>
      </c>
      <c r="K46" s="539" t="s">
        <v>444</v>
      </c>
      <c r="L46" s="58">
        <v>0</v>
      </c>
      <c r="M46" s="58">
        <v>0</v>
      </c>
      <c r="N46" s="546" t="s">
        <v>83</v>
      </c>
    </row>
    <row r="47" spans="2:31" x14ac:dyDescent="0.25">
      <c r="B47" s="545">
        <v>2</v>
      </c>
      <c r="C47" s="507" t="s">
        <v>362</v>
      </c>
      <c r="D47" s="60">
        <f>F47*E47*$D$6</f>
        <v>564.1062199945585</v>
      </c>
      <c r="E47" s="61">
        <f>'Infill Capacities'!$CY$14</f>
        <v>3.0605372788564604E-3</v>
      </c>
      <c r="F47" s="511">
        <f>'Infill Capacities'!$CS$14+'Frame Capacities'!$BM$14</f>
        <v>61438.691815284932</v>
      </c>
      <c r="G47" s="507" t="s">
        <v>362</v>
      </c>
      <c r="H47" s="60">
        <f>J47*I47*$D$7</f>
        <v>556.17859140280439</v>
      </c>
      <c r="I47" s="61">
        <f>'Infill Capacities'!$CY$15</f>
        <v>2.281598782064713E-3</v>
      </c>
      <c r="J47" s="511">
        <f>'Infill Capacities'!$CS$15+'Frame Capacities'!$BM$15</f>
        <v>81255.681436315077</v>
      </c>
      <c r="K47" s="507" t="s">
        <v>362</v>
      </c>
      <c r="L47" s="60">
        <f>N47*M47*$D$8</f>
        <v>558.10856320257346</v>
      </c>
      <c r="M47" s="61">
        <f>'Infill Capacities'!$CY$16</f>
        <v>2.1092027799242134E-3</v>
      </c>
      <c r="N47" s="128">
        <f>'Infill Capacities'!$CS$16+'Frame Capacities'!$BM$16</f>
        <v>88202.134714081723</v>
      </c>
    </row>
    <row r="48" spans="2:31" x14ac:dyDescent="0.25">
      <c r="B48" s="545">
        <v>3</v>
      </c>
      <c r="C48" s="507" t="s">
        <v>363</v>
      </c>
      <c r="D48" s="60">
        <f>D47+F48*(E48-E47)*$D$6</f>
        <v>731.99649641038059</v>
      </c>
      <c r="E48" s="61">
        <f>'Infill Capacities'!$CZ$14</f>
        <v>6.336416987191406E-3</v>
      </c>
      <c r="F48" s="511">
        <f>'Infill Capacities'!$CT$14+'Frame Capacities'!$BM$14</f>
        <v>17083.479997617374</v>
      </c>
      <c r="G48" s="507" t="s">
        <v>363</v>
      </c>
      <c r="H48" s="60">
        <f>H47+J48*(I48-I47)*$D$7</f>
        <v>722.5580069068742</v>
      </c>
      <c r="I48" s="61">
        <f>'Infill Capacities'!$CZ$15</f>
        <v>5.36491194530092E-3</v>
      </c>
      <c r="J48" s="511">
        <f>'Infill Capacities'!$CT$15+'Frame Capacities'!$BM$15</f>
        <v>17987.081503525689</v>
      </c>
      <c r="K48" s="507" t="s">
        <v>363</v>
      </c>
      <c r="L48" s="60">
        <f>L47+N48*(M48-M47)*$D$8</f>
        <v>729.48926752782302</v>
      </c>
      <c r="M48" s="61">
        <f>'Infill Capacities'!$CZ$16</f>
        <v>5.148250525682475E-3</v>
      </c>
      <c r="N48" s="128">
        <f>'Infill Capacities'!$CT$16+'Frame Capacities'!$BM$16</f>
        <v>18797.632094291537</v>
      </c>
    </row>
    <row r="49" spans="2:14" x14ac:dyDescent="0.25">
      <c r="B49" s="545">
        <v>4</v>
      </c>
      <c r="C49" s="541" t="s">
        <v>364</v>
      </c>
      <c r="D49" s="63">
        <f t="shared" ref="D49:D55" si="8">D48+F49*(E49-E48)*$D$6</f>
        <v>576.07096875219179</v>
      </c>
      <c r="E49" s="64">
        <f>'Frame Capacities'!$BT$14</f>
        <v>8.3119145368492249E-3</v>
      </c>
      <c r="F49" s="542">
        <f>'Infill Capacities'!$CU$14+'Frame Capacities'!$BM$14</f>
        <v>-26309.91665621943</v>
      </c>
      <c r="G49" s="541" t="s">
        <v>364</v>
      </c>
      <c r="H49" s="63">
        <f t="shared" ref="H49:H55" si="9">H48+J49*(I49-I48)*$D$7</f>
        <v>430.59189490101244</v>
      </c>
      <c r="I49" s="64">
        <f>'Frame Capacities'!$BT$15</f>
        <v>9.597600000000003E-3</v>
      </c>
      <c r="J49" s="542">
        <f>'Infill Capacities'!$CU$15+'Frame Capacities'!$BM$15</f>
        <v>-22992.962410079199</v>
      </c>
      <c r="K49" s="541" t="s">
        <v>364</v>
      </c>
      <c r="L49" s="63">
        <f t="shared" ref="L49:L55" si="10">L48+N49*(M49-M48)*$D$8</f>
        <v>479.66139415374062</v>
      </c>
      <c r="M49" s="64">
        <f>'Frame Capacities'!$BT$16</f>
        <v>9.015519176800749E-3</v>
      </c>
      <c r="N49" s="547">
        <f>'Infill Capacities'!$CU$16+'Frame Capacities'!$BM$16</f>
        <v>-21533.53317393153</v>
      </c>
    </row>
    <row r="50" spans="2:14" x14ac:dyDescent="0.25">
      <c r="B50" s="545">
        <v>5</v>
      </c>
      <c r="C50" s="507" t="s">
        <v>366</v>
      </c>
      <c r="D50" s="60">
        <f t="shared" si="8"/>
        <v>157.72278871355149</v>
      </c>
      <c r="E50" s="61">
        <f>'Infill Capacities'!$DA$14</f>
        <v>1.300589148578413E-2</v>
      </c>
      <c r="F50" s="511">
        <f>'Infill Capacities'!$CU$14+'Frame Capacities'!$BN$14</f>
        <v>-29708.154697661103</v>
      </c>
      <c r="G50" s="507" t="s">
        <v>366</v>
      </c>
      <c r="H50" s="60">
        <f t="shared" si="9"/>
        <v>172.67949756974161</v>
      </c>
      <c r="I50" s="65">
        <f>'Infill Capacities'!$DA$15</f>
        <v>1.2850579380988682E-2</v>
      </c>
      <c r="J50" s="511">
        <f>'Infill Capacities'!$CU$15+'Frame Capacities'!$BN$15</f>
        <v>-26428.325864240331</v>
      </c>
      <c r="K50" s="507" t="s">
        <v>366</v>
      </c>
      <c r="L50" s="60">
        <f t="shared" si="10"/>
        <v>183.37244324136037</v>
      </c>
      <c r="M50" s="65">
        <f>'Infill Capacities'!$DA$16</f>
        <v>1.2883255225726701E-2</v>
      </c>
      <c r="N50" s="128">
        <f>'Infill Capacities'!$CU$16+'Frame Capacities'!$BN$16</f>
        <v>-25535.088844774193</v>
      </c>
    </row>
    <row r="51" spans="2:14" x14ac:dyDescent="0.25">
      <c r="B51" s="545">
        <v>6</v>
      </c>
      <c r="C51" s="541" t="s">
        <v>365</v>
      </c>
      <c r="D51" s="63">
        <f t="shared" si="8"/>
        <v>162.28666666666683</v>
      </c>
      <c r="E51" s="64">
        <f>'Frame Capacities'!$BU$14</f>
        <v>2.2047099051256281E-2</v>
      </c>
      <c r="F51" s="542">
        <f>'Infill Capacities'!$CV$14+'Frame Capacities'!$BN$14</f>
        <v>168.26210879707884</v>
      </c>
      <c r="G51" s="541" t="s">
        <v>365</v>
      </c>
      <c r="H51" s="63">
        <f t="shared" si="9"/>
        <v>178.78666666666666</v>
      </c>
      <c r="I51" s="64">
        <f>'Frame Capacities'!$BU$15</f>
        <v>2.3534376699029129E-2</v>
      </c>
      <c r="J51" s="542">
        <f>'Infill Capacities'!$CV$15+'Frame Capacities'!$BN$15</f>
        <v>190.54302245802316</v>
      </c>
      <c r="K51" s="541" t="s">
        <v>365</v>
      </c>
      <c r="L51" s="63">
        <f t="shared" si="10"/>
        <v>189.52000000000007</v>
      </c>
      <c r="M51" s="64">
        <f>'Frame Capacities'!$BU$16</f>
        <v>2.1961578672687804E-2</v>
      </c>
      <c r="N51" s="547">
        <f>'Infill Capacities'!$CV$16+'Frame Capacities'!$BN$16</f>
        <v>225.72290998281008</v>
      </c>
    </row>
    <row r="52" spans="2:14" x14ac:dyDescent="0.25">
      <c r="B52" s="545">
        <v>7</v>
      </c>
      <c r="C52" s="541" t="s">
        <v>367</v>
      </c>
      <c r="D52" s="63">
        <f t="shared" si="8"/>
        <v>143.08666666666682</v>
      </c>
      <c r="E52" s="64">
        <f>'Frame Capacities'!$BV$14</f>
        <v>5.9722280551767482E-2</v>
      </c>
      <c r="F52" s="542">
        <f>'Infill Capacities'!$CV$14+'Frame Capacities'!$BO$14</f>
        <v>-169.8731033296591</v>
      </c>
      <c r="G52" s="541" t="s">
        <v>367</v>
      </c>
      <c r="H52" s="63">
        <f t="shared" si="9"/>
        <v>156.32</v>
      </c>
      <c r="I52" s="64">
        <f>'Frame Capacities'!$BV$15</f>
        <v>5.066467236898179E-2</v>
      </c>
      <c r="J52" s="542">
        <f>'Infill Capacities'!$CV$15+'Frame Capacities'!$BO$15</f>
        <v>-276.03417891176861</v>
      </c>
      <c r="K52" s="541" t="s">
        <v>367</v>
      </c>
      <c r="L52" s="63">
        <f t="shared" si="10"/>
        <v>164.92000000000007</v>
      </c>
      <c r="M52" s="64">
        <f>'Frame Capacities'!$BV$16</f>
        <v>4.1697690590228022E-2</v>
      </c>
      <c r="N52" s="547">
        <f>'Infill Capacities'!$CV$16+'Frame Capacities'!$BO$16</f>
        <v>-415.48203791408116</v>
      </c>
    </row>
    <row r="53" spans="2:14" x14ac:dyDescent="0.25">
      <c r="B53" s="545">
        <v>8</v>
      </c>
      <c r="C53" s="507" t="s">
        <v>368</v>
      </c>
      <c r="D53" s="60">
        <f t="shared" si="8"/>
        <v>132.77574347161934</v>
      </c>
      <c r="E53" s="61">
        <f>'Infill Capacities'!$DB$14</f>
        <v>0.08</v>
      </c>
      <c r="F53" s="511">
        <f>'Infill Capacities'!$CV$14+'Frame Capacities'!$BP$14</f>
        <v>-169.49511542081925</v>
      </c>
      <c r="G53" s="507" t="s">
        <v>368</v>
      </c>
      <c r="H53" s="60">
        <f t="shared" si="9"/>
        <v>132.02569515521765</v>
      </c>
      <c r="I53" s="61">
        <f>'Infill Capacities'!$DB$15</f>
        <v>0.08</v>
      </c>
      <c r="J53" s="511">
        <f>'Infill Capacities'!$CV$15+'Frame Capacities'!$BP$15</f>
        <v>-276.05287784019094</v>
      </c>
      <c r="K53" s="543" t="s">
        <v>368</v>
      </c>
      <c r="L53" s="445">
        <f t="shared" si="10"/>
        <v>117.1206841418032</v>
      </c>
      <c r="M53" s="65">
        <f>'Infill Capacities'!$DB$16</f>
        <v>0.08</v>
      </c>
      <c r="N53" s="548">
        <f>'Infill Capacities'!$CV$16+'Frame Capacities'!$BP$16</f>
        <v>-415.98288801877436</v>
      </c>
    </row>
    <row r="54" spans="2:14" x14ac:dyDescent="0.25">
      <c r="B54" s="545">
        <v>9</v>
      </c>
      <c r="C54" s="541" t="s">
        <v>442</v>
      </c>
      <c r="D54" s="63">
        <f t="shared" si="8"/>
        <v>76.020000000000152</v>
      </c>
      <c r="E54" s="64">
        <f>'Frame Capacities'!$BW$14</f>
        <v>0.19161726466415097</v>
      </c>
      <c r="F54" s="542">
        <f>'Frame Capacities'!$BP$14</f>
        <v>-169.49511542081925</v>
      </c>
      <c r="G54" s="541" t="s">
        <v>442</v>
      </c>
      <c r="H54" s="63">
        <f t="shared" si="9"/>
        <v>77.620000000000019</v>
      </c>
      <c r="I54" s="64">
        <f>'Frame Capacities'!$BW$15</f>
        <v>0.14569477507459458</v>
      </c>
      <c r="J54" s="542">
        <f>'Frame Capacities'!$BP$15</f>
        <v>-276.05287784019094</v>
      </c>
      <c r="K54" s="541" t="s">
        <v>442</v>
      </c>
      <c r="L54" s="63">
        <f t="shared" si="10"/>
        <v>78.686666666666753</v>
      </c>
      <c r="M54" s="64">
        <f>'Frame Capacities'!$BW$16</f>
        <v>0.11079775521391305</v>
      </c>
      <c r="N54" s="547">
        <f>'Frame Capacities'!$BP$16</f>
        <v>-415.98288801877436</v>
      </c>
    </row>
    <row r="55" spans="2:14" x14ac:dyDescent="0.25">
      <c r="B55" s="545">
        <v>10</v>
      </c>
      <c r="C55" s="541" t="s">
        <v>443</v>
      </c>
      <c r="D55" s="63">
        <f t="shared" si="8"/>
        <v>76.020000000000152</v>
      </c>
      <c r="E55" s="64">
        <f>'Frame Capacities'!$BX$14</f>
        <v>0.2</v>
      </c>
      <c r="F55" s="542">
        <f>'Frame Capacities'!$BQ$14</f>
        <v>0</v>
      </c>
      <c r="G55" s="541" t="s">
        <v>443</v>
      </c>
      <c r="H55" s="63">
        <f t="shared" si="9"/>
        <v>77.620000000000019</v>
      </c>
      <c r="I55" s="64">
        <f>'Frame Capacities'!$BX$15</f>
        <v>0.15</v>
      </c>
      <c r="J55" s="542">
        <f>'Frame Capacities'!$BQ$15</f>
        <v>0</v>
      </c>
      <c r="K55" s="541" t="s">
        <v>443</v>
      </c>
      <c r="L55" s="63">
        <f t="shared" si="10"/>
        <v>78.686666666666753</v>
      </c>
      <c r="M55" s="64">
        <f>'Frame Capacities'!$BX$16</f>
        <v>0.15</v>
      </c>
      <c r="N55" s="547">
        <f>'Frame Capacities'!$BQ$16</f>
        <v>0</v>
      </c>
    </row>
    <row r="56" spans="2:14" ht="16.5" thickBot="1" x14ac:dyDescent="0.3">
      <c r="B56" s="545">
        <v>11</v>
      </c>
      <c r="C56" s="555" t="s">
        <v>465</v>
      </c>
      <c r="D56" s="556">
        <f>'Frame Capacities'!$BK$14+'Infill Capacities'!$CQ$14</f>
        <v>182.12914555560354</v>
      </c>
      <c r="E56" s="557">
        <f>'Frame Capacities'!$BY$14</f>
        <v>9.8813489336206217E-4</v>
      </c>
      <c r="F56" s="558">
        <f>'Frame Capacities'!$BR$14+'Infill Capacities'!$CW$14</f>
        <v>61438.691815284932</v>
      </c>
      <c r="G56" s="555" t="s">
        <v>465</v>
      </c>
      <c r="H56" s="556">
        <f>'Frame Capacities'!$BK$15+'Infill Capacities'!$CQ$15</f>
        <v>365.10438054213807</v>
      </c>
      <c r="I56" s="557">
        <f>'Frame Capacities'!$BY$15</f>
        <v>1.4977593939212409E-3</v>
      </c>
      <c r="J56" s="558">
        <f>'Frame Capacities'!$BR$15+'Infill Capacities'!$CW$15</f>
        <v>81255.681436315077</v>
      </c>
      <c r="K56" s="555" t="s">
        <v>465</v>
      </c>
      <c r="L56" s="556">
        <f>'Frame Capacities'!$BK$16+'Infill Capacities'!$CQ$16</f>
        <v>530.96217705951983</v>
      </c>
      <c r="M56" s="557">
        <f>'Frame Capacities'!$BY$16</f>
        <v>2.0066112110200067E-3</v>
      </c>
      <c r="N56" s="559">
        <f>'Frame Capacities'!$BR$16+'Infill Capacities'!$CW$16</f>
        <v>88202.134714081723</v>
      </c>
    </row>
    <row r="57" spans="2:14" ht="16.5" thickBot="1" x14ac:dyDescent="0.3">
      <c r="B57" s="735" t="s">
        <v>377</v>
      </c>
      <c r="C57" s="736"/>
      <c r="D57" s="736"/>
      <c r="E57" s="736"/>
      <c r="F57" s="736"/>
      <c r="G57" s="736"/>
      <c r="H57" s="736"/>
      <c r="I57" s="736"/>
      <c r="J57" s="736"/>
      <c r="K57" s="736"/>
      <c r="L57" s="736"/>
      <c r="M57" s="736"/>
      <c r="N57" s="737"/>
    </row>
    <row r="58" spans="2:14" x14ac:dyDescent="0.25">
      <c r="B58" s="643" t="s">
        <v>454</v>
      </c>
      <c r="C58" s="585" t="s">
        <v>372</v>
      </c>
      <c r="D58" s="585"/>
      <c r="E58" s="585"/>
      <c r="F58" s="585"/>
      <c r="G58" s="585" t="s">
        <v>371</v>
      </c>
      <c r="H58" s="585"/>
      <c r="I58" s="585"/>
      <c r="J58" s="585"/>
      <c r="K58" s="585" t="s">
        <v>370</v>
      </c>
      <c r="L58" s="585"/>
      <c r="M58" s="585"/>
      <c r="N58" s="844"/>
    </row>
    <row r="59" spans="2:14" x14ac:dyDescent="0.25">
      <c r="B59" s="673"/>
      <c r="C59" s="505" t="s">
        <v>369</v>
      </c>
      <c r="D59" s="505" t="s">
        <v>92</v>
      </c>
      <c r="E59" s="505" t="s">
        <v>119</v>
      </c>
      <c r="F59" s="505" t="s">
        <v>361</v>
      </c>
      <c r="G59" s="505" t="s">
        <v>369</v>
      </c>
      <c r="H59" s="505" t="s">
        <v>92</v>
      </c>
      <c r="I59" s="505" t="s">
        <v>119</v>
      </c>
      <c r="J59" s="505" t="s">
        <v>361</v>
      </c>
      <c r="K59" s="505" t="s">
        <v>369</v>
      </c>
      <c r="L59" s="505" t="s">
        <v>92</v>
      </c>
      <c r="M59" s="505" t="s">
        <v>119</v>
      </c>
      <c r="N59" s="509" t="s">
        <v>361</v>
      </c>
    </row>
    <row r="60" spans="2:14" x14ac:dyDescent="0.25">
      <c r="B60" s="545">
        <v>1</v>
      </c>
      <c r="C60" s="539" t="s">
        <v>444</v>
      </c>
      <c r="D60" s="58">
        <v>0</v>
      </c>
      <c r="E60" s="58">
        <v>0</v>
      </c>
      <c r="F60" s="540" t="s">
        <v>83</v>
      </c>
      <c r="G60" s="539" t="s">
        <v>444</v>
      </c>
      <c r="H60" s="58">
        <v>0</v>
      </c>
      <c r="I60" s="58">
        <v>0</v>
      </c>
      <c r="J60" s="540" t="s">
        <v>83</v>
      </c>
      <c r="K60" s="539" t="s">
        <v>444</v>
      </c>
      <c r="L60" s="58">
        <v>0</v>
      </c>
      <c r="M60" s="58">
        <v>0</v>
      </c>
      <c r="N60" s="546" t="s">
        <v>83</v>
      </c>
    </row>
    <row r="61" spans="2:14" x14ac:dyDescent="0.25">
      <c r="B61" s="545">
        <v>2</v>
      </c>
      <c r="C61" s="507" t="s">
        <v>362</v>
      </c>
      <c r="D61" s="60">
        <f>F61*E61*$D$9</f>
        <v>563.88001546273586</v>
      </c>
      <c r="E61" s="61">
        <f>'Infill Capacities'!$CY$17</f>
        <v>1.9542049297578846E-3</v>
      </c>
      <c r="F61" s="511">
        <f>'Infill Capacities'!$CS$17+'Frame Capacities'!$BM$17</f>
        <v>96182.341110731155</v>
      </c>
      <c r="G61" s="507" t="s">
        <v>362</v>
      </c>
      <c r="H61" s="60">
        <f>J61*I61*$D$10</f>
        <v>572.45333440850413</v>
      </c>
      <c r="I61" s="61">
        <f>'Infill Capacities'!$CY$18</f>
        <v>1.8141308521286454E-3</v>
      </c>
      <c r="J61" s="511">
        <f>'Infill Capacities'!$CS$18+'Frame Capacities'!$BM$18</f>
        <v>105184.13151524783</v>
      </c>
      <c r="K61" s="507" t="s">
        <v>362</v>
      </c>
      <c r="L61" s="60">
        <f>N61*M61*$D$11</f>
        <v>596.09523513014733</v>
      </c>
      <c r="M61" s="61">
        <f>'Infill Capacities'!$CY$19</f>
        <v>1.780731968888595E-3</v>
      </c>
      <c r="N61" s="128">
        <f>'Infill Capacities'!$CS$19+'Frame Capacities'!$BM$19</f>
        <v>121726.29428278144</v>
      </c>
    </row>
    <row r="62" spans="2:14" x14ac:dyDescent="0.25">
      <c r="B62" s="545">
        <v>3</v>
      </c>
      <c r="C62" s="507" t="s">
        <v>363</v>
      </c>
      <c r="D62" s="60">
        <f>D61+F62*(E62-E61)*$D$9</f>
        <v>750.11245726403752</v>
      </c>
      <c r="E62" s="61">
        <f>'Infill Capacities'!$CZ$17</f>
        <v>4.9618960686068393E-3</v>
      </c>
      <c r="F62" s="511">
        <f>'Infill Capacities'!$CT$17+'Frame Capacities'!$BM$17</f>
        <v>20639.579576043492</v>
      </c>
      <c r="G62" s="507" t="s">
        <v>363</v>
      </c>
      <c r="H62" s="60">
        <f t="shared" ref="H62:H69" si="11">H61+J62*(I62-I61)*$D$10</f>
        <v>776.22381003596502</v>
      </c>
      <c r="I62" s="61">
        <f>'Infill Capacities'!$CZ$18</f>
        <v>4.7865865456081782E-3</v>
      </c>
      <c r="J62" s="511">
        <f>'Infill Capacities'!$CT$18+'Frame Capacities'!$BM$18</f>
        <v>22850.968653567914</v>
      </c>
      <c r="K62" s="507" t="s">
        <v>363</v>
      </c>
      <c r="L62" s="60">
        <f>L61+N62*(M62-M61)*$D$11</f>
        <v>867.07103394874207</v>
      </c>
      <c r="M62" s="61">
        <f>'Infill Capacities'!$CZ$19</f>
        <v>4.8461588254004508E-3</v>
      </c>
      <c r="N62" s="128">
        <f>'Infill Capacities'!$CT$19+'Frame Capacities'!$BM$19</f>
        <v>32144.513220575536</v>
      </c>
    </row>
    <row r="63" spans="2:14" x14ac:dyDescent="0.25">
      <c r="B63" s="545">
        <v>4</v>
      </c>
      <c r="C63" s="541" t="s">
        <v>364</v>
      </c>
      <c r="D63" s="63">
        <f t="shared" ref="D63:D69" si="12">D62+F63*(E63-E62)*$D$9</f>
        <v>543.60891954830026</v>
      </c>
      <c r="E63" s="64">
        <f>'Frame Capacities'!$BT$17</f>
        <v>8.5822017391304368E-3</v>
      </c>
      <c r="F63" s="542">
        <f>'Infill Capacities'!$CU$17+'Frame Capacities'!$BM$17</f>
        <v>-19013.453237487825</v>
      </c>
      <c r="G63" s="541" t="s">
        <v>364</v>
      </c>
      <c r="H63" s="63">
        <f t="shared" si="11"/>
        <v>679.42547706606479</v>
      </c>
      <c r="I63" s="64">
        <f>'Frame Capacities'!$BT$18</f>
        <v>6.7523273096129852E-3</v>
      </c>
      <c r="J63" s="542">
        <f>'Infill Capacities'!$CU$18+'Frame Capacities'!$BM$18</f>
        <v>-16414.224897199019</v>
      </c>
      <c r="K63" s="541" t="s">
        <v>364</v>
      </c>
      <c r="L63" s="63">
        <f t="shared" ref="L63:L69" si="13">L62+N63*(M63-M62)*$D$11</f>
        <v>856.82977093972954</v>
      </c>
      <c r="M63" s="64">
        <f>'Frame Capacities'!$BT$19</f>
        <v>5.3120868684138484E-3</v>
      </c>
      <c r="N63" s="547">
        <f>'Infill Capacities'!$CU$19+'Frame Capacities'!$BM$19</f>
        <v>-7992.8557541959744</v>
      </c>
    </row>
    <row r="64" spans="2:14" x14ac:dyDescent="0.25">
      <c r="B64" s="545">
        <v>5</v>
      </c>
      <c r="C64" s="507" t="s">
        <v>366</v>
      </c>
      <c r="D64" s="60">
        <f t="shared" si="12"/>
        <v>224.53820051383252</v>
      </c>
      <c r="E64" s="61">
        <f>'Infill Capacities'!$DA$17</f>
        <v>1.289259370681198E-2</v>
      </c>
      <c r="F64" s="511">
        <f>'Infill Capacities'!$CU$17+'Frame Capacities'!$BN$17</f>
        <v>-24674.532418922779</v>
      </c>
      <c r="G64" s="543" t="s">
        <v>366</v>
      </c>
      <c r="H64" s="445">
        <f t="shared" si="11"/>
        <v>234.92544083753546</v>
      </c>
      <c r="I64" s="65">
        <f>'Infill Capacities'!$DA$18</f>
        <v>1.2899482679277225E-2</v>
      </c>
      <c r="J64" s="544">
        <f>'Infill Capacities'!$CU$18+'Frame Capacities'!$BN$18</f>
        <v>-24103.291658127724</v>
      </c>
      <c r="K64" s="507" t="s">
        <v>366</v>
      </c>
      <c r="L64" s="60">
        <f t="shared" si="13"/>
        <v>319.96750212046879</v>
      </c>
      <c r="M64" s="61">
        <f>'Infill Capacities'!$DA$19</f>
        <v>1.3272110974278538E-2</v>
      </c>
      <c r="N64" s="128">
        <f>'Infill Capacities'!$CU$19+'Frame Capacities'!$BN$19</f>
        <v>-24525.38341726505</v>
      </c>
    </row>
    <row r="65" spans="2:14" x14ac:dyDescent="0.25">
      <c r="B65" s="545">
        <v>6</v>
      </c>
      <c r="C65" s="541" t="s">
        <v>365</v>
      </c>
      <c r="D65" s="63">
        <f t="shared" si="12"/>
        <v>232.196</v>
      </c>
      <c r="E65" s="64">
        <f>'Frame Capacities'!$BU$17</f>
        <v>2.0673488854899086E-2</v>
      </c>
      <c r="F65" s="542">
        <f>'Infill Capacities'!$CV$17+'Frame Capacities'!$BN$17</f>
        <v>328.0599185750545</v>
      </c>
      <c r="G65" s="541" t="s">
        <v>365</v>
      </c>
      <c r="H65" s="63">
        <f t="shared" si="11"/>
        <v>241.19600000000017</v>
      </c>
      <c r="I65" s="64">
        <f>'Frame Capacities'!$BU$18</f>
        <v>1.9087213236742975E-2</v>
      </c>
      <c r="J65" s="542">
        <f>'Infill Capacities'!$CV$18+'Frame Capacities'!$BN$18</f>
        <v>337.7953141424918</v>
      </c>
      <c r="K65" s="541" t="s">
        <v>365</v>
      </c>
      <c r="L65" s="63">
        <f t="shared" si="13"/>
        <v>325.95199999999994</v>
      </c>
      <c r="M65" s="64">
        <f>'Frame Capacities'!$BU$19</f>
        <v>1.8824736971728262E-2</v>
      </c>
      <c r="N65" s="547">
        <f>'Infill Capacities'!$CV$19+'Frame Capacities'!$BN$19</f>
        <v>391.91925552013436</v>
      </c>
    </row>
    <row r="66" spans="2:14" x14ac:dyDescent="0.25">
      <c r="B66" s="545">
        <v>7</v>
      </c>
      <c r="C66" s="541" t="s">
        <v>367</v>
      </c>
      <c r="D66" s="63">
        <f t="shared" si="12"/>
        <v>198.92933333333335</v>
      </c>
      <c r="E66" s="64">
        <f>'Frame Capacities'!$BV$17</f>
        <v>3.6741287026573428E-2</v>
      </c>
      <c r="F66" s="542">
        <f>'Infill Capacities'!$CV$17+'Frame Capacities'!$BO$17</f>
        <v>-690.13120344250422</v>
      </c>
      <c r="G66" s="541" t="s">
        <v>367</v>
      </c>
      <c r="H66" s="63">
        <f t="shared" si="11"/>
        <v>206.26266666666683</v>
      </c>
      <c r="I66" s="64">
        <f>'Frame Capacities'!$BV$18</f>
        <v>3.3289259355561741E-2</v>
      </c>
      <c r="J66" s="542">
        <f>'Infill Capacities'!$CV$18+'Frame Capacities'!$BO$18</f>
        <v>-819.91315526110657</v>
      </c>
      <c r="K66" s="541" t="s">
        <v>367</v>
      </c>
      <c r="L66" s="63">
        <f t="shared" si="13"/>
        <v>277.15199999999993</v>
      </c>
      <c r="M66" s="64">
        <f>'Frame Capacities'!$BV$19</f>
        <v>3.3616625865958934E-2</v>
      </c>
      <c r="N66" s="547">
        <f>'Infill Capacities'!$CV$19+'Frame Capacities'!$BO$19</f>
        <v>-1199.6746779497421</v>
      </c>
    </row>
    <row r="67" spans="2:14" x14ac:dyDescent="0.25">
      <c r="B67" s="545">
        <v>8</v>
      </c>
      <c r="C67" s="526" t="s">
        <v>368</v>
      </c>
      <c r="D67" s="445">
        <f t="shared" si="12"/>
        <v>109.46712631542152</v>
      </c>
      <c r="E67" s="65">
        <f>'Infill Capacities'!$DB$17</f>
        <v>0.08</v>
      </c>
      <c r="F67" s="544">
        <f>'Infill Capacities'!$CV$17+'Frame Capacities'!$BP$17</f>
        <v>-689.35790324959214</v>
      </c>
      <c r="G67" s="526" t="s">
        <v>368</v>
      </c>
      <c r="H67" s="445">
        <f t="shared" si="11"/>
        <v>91.99487743423262</v>
      </c>
      <c r="I67" s="65">
        <f>'Infill Capacities'!$DB$18</f>
        <v>0.08</v>
      </c>
      <c r="J67" s="544">
        <f>'Infill Capacities'!$CV$18+'Frame Capacities'!$BP$18</f>
        <v>-815.42836940679661</v>
      </c>
      <c r="K67" s="541" t="s">
        <v>442</v>
      </c>
      <c r="L67" s="63">
        <f t="shared" si="13"/>
        <v>111.7958466502962</v>
      </c>
      <c r="M67" s="64">
        <f>'Infill Capacities'!$DB$19</f>
        <v>0.08</v>
      </c>
      <c r="N67" s="547">
        <f>'Infill Capacities'!$CV$19+'Frame Capacities'!$BP$19</f>
        <v>-1296.3591250437671</v>
      </c>
    </row>
    <row r="68" spans="2:14" x14ac:dyDescent="0.25">
      <c r="B68" s="545">
        <v>9</v>
      </c>
      <c r="C68" s="541" t="s">
        <v>442</v>
      </c>
      <c r="D68" s="63">
        <f t="shared" si="12"/>
        <v>82.695999999999998</v>
      </c>
      <c r="E68" s="64">
        <f>'Frame Capacities'!$BW$17</f>
        <v>9.2944957517338014E-2</v>
      </c>
      <c r="F68" s="542">
        <f>'Frame Capacities'!$BP$17</f>
        <v>-689.35790324959214</v>
      </c>
      <c r="G68" s="541" t="s">
        <v>442</v>
      </c>
      <c r="H68" s="63">
        <f t="shared" si="11"/>
        <v>83.562666666666814</v>
      </c>
      <c r="I68" s="64">
        <f>'Frame Capacities'!$BW$18</f>
        <v>8.3446945222873076E-2</v>
      </c>
      <c r="J68" s="542">
        <f>'Frame Capacities'!$BP$18</f>
        <v>-815.42836940679661</v>
      </c>
      <c r="K68" s="177" t="s">
        <v>368</v>
      </c>
      <c r="L68" s="60">
        <f t="shared" si="13"/>
        <v>90.770181818181797</v>
      </c>
      <c r="M68" s="61">
        <f>'Frame Capacities'!$BW$19</f>
        <v>8.5897822721253209E-2</v>
      </c>
      <c r="N68" s="128">
        <f>'Frame Capacities'!$BP$19</f>
        <v>-1296.3591250437671</v>
      </c>
    </row>
    <row r="69" spans="2:14" x14ac:dyDescent="0.25">
      <c r="B69" s="545">
        <v>10</v>
      </c>
      <c r="C69" s="541" t="s">
        <v>443</v>
      </c>
      <c r="D69" s="63">
        <f t="shared" si="12"/>
        <v>82.695999999999998</v>
      </c>
      <c r="E69" s="64">
        <f>'Frame Capacities'!$BX$17</f>
        <v>0.1</v>
      </c>
      <c r="F69" s="542">
        <f>'Frame Capacities'!$BQ$17</f>
        <v>0</v>
      </c>
      <c r="G69" s="541" t="s">
        <v>443</v>
      </c>
      <c r="H69" s="63">
        <f t="shared" si="11"/>
        <v>83.562666666666814</v>
      </c>
      <c r="I69" s="64">
        <f>'Frame Capacities'!$BX$18</f>
        <v>0.1</v>
      </c>
      <c r="J69" s="542">
        <f>'Frame Capacities'!$BQ$18</f>
        <v>0</v>
      </c>
      <c r="K69" s="541" t="s">
        <v>443</v>
      </c>
      <c r="L69" s="63">
        <f t="shared" si="13"/>
        <v>90.770181818181797</v>
      </c>
      <c r="M69" s="64">
        <f>'Frame Capacities'!$BX$19</f>
        <v>0.1</v>
      </c>
      <c r="N69" s="547">
        <f>'Frame Capacities'!$BQ$19</f>
        <v>0</v>
      </c>
    </row>
    <row r="70" spans="2:14" ht="16.5" thickBot="1" x14ac:dyDescent="0.3">
      <c r="B70" s="549">
        <v>11</v>
      </c>
      <c r="C70" s="550" t="s">
        <v>465</v>
      </c>
      <c r="D70" s="551">
        <f>'Frame Capacities'!$BK$17+'Infill Capacities'!$CQ$17</f>
        <v>673.88702181274937</v>
      </c>
      <c r="E70" s="552">
        <f>'Frame Capacities'!$BY$17</f>
        <v>3.7308400584711251E-3</v>
      </c>
      <c r="F70" s="553">
        <f>'Frame Capacities'!$BR$17+'Infill Capacities'!$CW$17</f>
        <v>96182.341110731155</v>
      </c>
      <c r="G70" s="550" t="s">
        <v>465</v>
      </c>
      <c r="H70" s="551">
        <f>'Frame Capacities'!$BK$18+'Infill Capacities'!$CQ$18</f>
        <v>0</v>
      </c>
      <c r="I70" s="552">
        <f>'Frame Capacities'!$BY$18</f>
        <v>0</v>
      </c>
      <c r="J70" s="553">
        <f>'Frame Capacities'!$BR$18+'Infill Capacities'!$CW$18</f>
        <v>105184.13151524783</v>
      </c>
      <c r="K70" s="550" t="s">
        <v>465</v>
      </c>
      <c r="L70" s="551">
        <f>'Frame Capacities'!$BK$19+'Infill Capacities'!$CQ$19</f>
        <v>819.2790627292361</v>
      </c>
      <c r="M70" s="552">
        <f>'Frame Capacities'!$BY$19</f>
        <v>4.3055098348240197E-3</v>
      </c>
      <c r="N70" s="554">
        <f>'Frame Capacities'!$BR$19+'Infill Capacities'!$CW$19</f>
        <v>121726.29428278144</v>
      </c>
    </row>
    <row r="71" spans="2:14" x14ac:dyDescent="0.25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25"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25">
      <c r="B73" s="56"/>
      <c r="C73" s="56"/>
      <c r="D73" s="56"/>
      <c r="E73" s="56"/>
      <c r="F73" s="56"/>
      <c r="G73" s="62"/>
      <c r="H73" s="56"/>
      <c r="I73" s="56"/>
      <c r="J73" s="56"/>
      <c r="K73" s="56"/>
      <c r="L73" s="56"/>
      <c r="M73" s="56"/>
      <c r="N73" s="56"/>
    </row>
    <row r="74" spans="2:14" x14ac:dyDescent="0.25">
      <c r="B74" s="56"/>
      <c r="C74" s="56"/>
      <c r="D74" s="56"/>
      <c r="E74" s="56"/>
      <c r="F74" s="56"/>
      <c r="H74" s="56"/>
      <c r="I74" s="56"/>
      <c r="J74" s="56"/>
      <c r="K74" s="56"/>
      <c r="L74" s="56"/>
      <c r="M74" s="56"/>
      <c r="N74" s="56"/>
    </row>
  </sheetData>
  <mergeCells count="38">
    <mergeCell ref="B43:N43"/>
    <mergeCell ref="B57:N57"/>
    <mergeCell ref="B58:B59"/>
    <mergeCell ref="B44:B45"/>
    <mergeCell ref="K31:M37"/>
    <mergeCell ref="C44:F44"/>
    <mergeCell ref="G44:J44"/>
    <mergeCell ref="K44:N44"/>
    <mergeCell ref="C58:F58"/>
    <mergeCell ref="G58:J58"/>
    <mergeCell ref="K58:N58"/>
    <mergeCell ref="B2:S3"/>
    <mergeCell ref="B15:S16"/>
    <mergeCell ref="D23:F23"/>
    <mergeCell ref="K18:M24"/>
    <mergeCell ref="C17:N17"/>
    <mergeCell ref="P17:R24"/>
    <mergeCell ref="D24:F24"/>
    <mergeCell ref="D18:F18"/>
    <mergeCell ref="D19:F19"/>
    <mergeCell ref="D20:F20"/>
    <mergeCell ref="D21:F21"/>
    <mergeCell ref="D22:F22"/>
    <mergeCell ref="U30:V30"/>
    <mergeCell ref="U4:V4"/>
    <mergeCell ref="U17:V17"/>
    <mergeCell ref="M4:R4"/>
    <mergeCell ref="B28:S29"/>
    <mergeCell ref="C4:J4"/>
    <mergeCell ref="C30:N30"/>
    <mergeCell ref="P30:R37"/>
    <mergeCell ref="D35:F35"/>
    <mergeCell ref="D36:F36"/>
    <mergeCell ref="D37:F37"/>
    <mergeCell ref="D31:F31"/>
    <mergeCell ref="D32:F32"/>
    <mergeCell ref="D33:F33"/>
    <mergeCell ref="D34:F34"/>
  </mergeCells>
  <conditionalFormatting sqref="N19:N24">
    <cfRule type="cellIs" dxfId="9" priority="9" operator="equal">
      <formula>4</formula>
    </cfRule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N32:N37">
    <cfRule type="cellIs" dxfId="5" priority="1" operator="equal">
      <formula>4</formula>
    </cfRule>
    <cfRule type="cellIs" dxfId="4" priority="2" operator="equal">
      <formula>3</formula>
    </cfRule>
    <cfRule type="cellIs" dxfId="3" priority="3" operator="equal">
      <formula>2</formula>
    </cfRule>
    <cfRule type="cellIs" dxfId="2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J37" zoomScale="80" zoomScaleNormal="80" workbookViewId="0">
      <selection activeCell="S71" sqref="S71"/>
    </sheetView>
  </sheetViews>
  <sheetFormatPr defaultRowHeight="15.75" x14ac:dyDescent="0.25"/>
  <cols>
    <col min="1" max="1" width="13.85546875" style="4" bestFit="1" customWidth="1"/>
    <col min="2" max="2" width="10.5703125" style="4" customWidth="1"/>
    <col min="3" max="3" width="12.42578125" style="4" bestFit="1" customWidth="1"/>
    <col min="4" max="4" width="13.42578125" style="4" bestFit="1" customWidth="1"/>
    <col min="5" max="5" width="10.28515625" style="4" customWidth="1"/>
    <col min="6" max="6" width="14.7109375" style="4" customWidth="1"/>
    <col min="7" max="7" width="14.85546875" style="4" bestFit="1" customWidth="1"/>
    <col min="8" max="8" width="12.28515625" style="4" bestFit="1" customWidth="1"/>
    <col min="9" max="9" width="13.42578125" style="4" bestFit="1" customWidth="1"/>
    <col min="10" max="10" width="12.28515625" style="4" customWidth="1"/>
    <col min="11" max="11" width="13.42578125" style="4" bestFit="1" customWidth="1"/>
    <col min="12" max="12" width="11.7109375" style="4" bestFit="1" customWidth="1"/>
    <col min="13" max="13" width="12.85546875" style="4" bestFit="1" customWidth="1"/>
    <col min="14" max="14" width="14.85546875" style="4" bestFit="1" customWidth="1"/>
    <col min="15" max="15" width="13.5703125" style="4" customWidth="1"/>
    <col min="16" max="16" width="10.85546875" style="4" customWidth="1"/>
    <col min="17" max="17" width="9.140625" style="4"/>
    <col min="18" max="19" width="12.140625" style="4" bestFit="1" customWidth="1"/>
    <col min="20" max="21" width="9.140625" style="4"/>
    <col min="22" max="22" width="10.42578125" style="4" customWidth="1"/>
    <col min="23" max="23" width="10.28515625" style="4" bestFit="1" customWidth="1"/>
    <col min="24" max="24" width="8.7109375" style="4" customWidth="1"/>
    <col min="25" max="25" width="10" style="4" customWidth="1"/>
    <col min="26" max="26" width="11.5703125" style="4" customWidth="1"/>
    <col min="27" max="27" width="12.42578125" style="4" bestFit="1" customWidth="1"/>
    <col min="28" max="28" width="12.42578125" style="4" customWidth="1"/>
    <col min="29" max="29" width="12.42578125" style="4" bestFit="1" customWidth="1"/>
    <col min="30" max="30" width="12.42578125" style="4" customWidth="1"/>
    <col min="31" max="31" width="10.85546875" style="4" bestFit="1" customWidth="1"/>
    <col min="32" max="32" width="11.7109375" style="4" customWidth="1"/>
    <col min="33" max="33" width="12.85546875" style="4" bestFit="1" customWidth="1"/>
    <col min="34" max="34" width="14.85546875" style="4" bestFit="1" customWidth="1"/>
    <col min="35" max="35" width="12" style="4" bestFit="1" customWidth="1"/>
    <col min="36" max="36" width="9.42578125" style="4" customWidth="1"/>
    <col min="37" max="37" width="13.7109375" style="4" bestFit="1" customWidth="1"/>
    <col min="38" max="16384" width="9.140625" style="4"/>
  </cols>
  <sheetData>
    <row r="1" spans="1:38" ht="16.5" thickBot="1" x14ac:dyDescent="0.3">
      <c r="A1" s="877" t="s">
        <v>99</v>
      </c>
      <c r="B1" s="878"/>
      <c r="C1" s="878"/>
      <c r="D1" s="878"/>
      <c r="E1" s="878"/>
      <c r="F1" s="878"/>
      <c r="G1" s="878"/>
      <c r="H1" s="878"/>
      <c r="I1" s="878"/>
      <c r="J1" s="878"/>
      <c r="K1" s="878"/>
      <c r="L1" s="878"/>
      <c r="M1" s="878"/>
      <c r="N1" s="878"/>
      <c r="O1" s="878"/>
      <c r="P1" s="879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</row>
    <row r="2" spans="1:38" ht="16.5" thickBot="1" x14ac:dyDescent="0.3">
      <c r="A2" s="880"/>
      <c r="B2" s="881"/>
      <c r="C2" s="881"/>
      <c r="D2" s="881"/>
      <c r="E2" s="881"/>
      <c r="F2" s="881"/>
      <c r="G2" s="881"/>
      <c r="H2" s="881"/>
      <c r="I2" s="881"/>
      <c r="J2" s="881"/>
      <c r="K2" s="881"/>
      <c r="L2" s="881"/>
      <c r="M2" s="881"/>
      <c r="N2" s="881"/>
      <c r="O2" s="881"/>
      <c r="P2" s="882"/>
      <c r="Q2" s="38"/>
      <c r="R2" s="820" t="s">
        <v>269</v>
      </c>
      <c r="S2" s="822"/>
      <c r="T2" s="2"/>
      <c r="U2" s="820" t="s">
        <v>269</v>
      </c>
      <c r="V2" s="821"/>
      <c r="W2" s="821"/>
      <c r="X2" s="821"/>
      <c r="Y2" s="821"/>
      <c r="Z2" s="821"/>
      <c r="AA2" s="821"/>
      <c r="AB2" s="821"/>
      <c r="AC2" s="821"/>
      <c r="AD2" s="821"/>
      <c r="AE2" s="821"/>
      <c r="AF2" s="821"/>
      <c r="AG2" s="821"/>
      <c r="AH2" s="821"/>
      <c r="AI2" s="821"/>
      <c r="AJ2" s="822"/>
      <c r="AK2" s="38"/>
      <c r="AL2" s="38"/>
    </row>
    <row r="3" spans="1:38" x14ac:dyDescent="0.25">
      <c r="A3" s="587" t="s">
        <v>0</v>
      </c>
      <c r="B3" s="582" t="s">
        <v>89</v>
      </c>
      <c r="C3" s="582" t="s">
        <v>90</v>
      </c>
      <c r="D3" s="580" t="s">
        <v>91</v>
      </c>
      <c r="E3" s="582" t="s">
        <v>93</v>
      </c>
      <c r="F3" s="582" t="s">
        <v>94</v>
      </c>
      <c r="G3" s="580" t="s">
        <v>456</v>
      </c>
      <c r="H3" s="580" t="s">
        <v>457</v>
      </c>
      <c r="I3" s="580" t="s">
        <v>458</v>
      </c>
      <c r="J3" s="580" t="s">
        <v>459</v>
      </c>
      <c r="K3" s="580" t="s">
        <v>207</v>
      </c>
      <c r="L3" s="580" t="s">
        <v>206</v>
      </c>
      <c r="M3" s="580" t="s">
        <v>208</v>
      </c>
      <c r="N3" s="591" t="s">
        <v>209</v>
      </c>
      <c r="O3" s="846" t="s">
        <v>391</v>
      </c>
      <c r="P3" s="883" t="s">
        <v>451</v>
      </c>
      <c r="Q3" s="38"/>
      <c r="R3" s="585" t="s">
        <v>98</v>
      </c>
      <c r="S3" s="581" t="s">
        <v>97</v>
      </c>
      <c r="T3" s="38"/>
      <c r="U3" s="581" t="s">
        <v>0</v>
      </c>
      <c r="V3" s="581" t="s">
        <v>89</v>
      </c>
      <c r="W3" s="581" t="s">
        <v>119</v>
      </c>
      <c r="X3" s="585" t="s">
        <v>91</v>
      </c>
      <c r="Y3" s="581" t="s">
        <v>93</v>
      </c>
      <c r="Z3" s="581" t="s">
        <v>94</v>
      </c>
      <c r="AA3" s="585" t="s">
        <v>456</v>
      </c>
      <c r="AB3" s="585" t="s">
        <v>457</v>
      </c>
      <c r="AC3" s="585" t="s">
        <v>458</v>
      </c>
      <c r="AD3" s="580" t="s">
        <v>459</v>
      </c>
      <c r="AE3" s="585" t="s">
        <v>207</v>
      </c>
      <c r="AF3" s="585" t="s">
        <v>206</v>
      </c>
      <c r="AG3" s="585" t="s">
        <v>208</v>
      </c>
      <c r="AH3" s="585" t="s">
        <v>209</v>
      </c>
      <c r="AI3" s="845" t="s">
        <v>391</v>
      </c>
      <c r="AJ3" s="845" t="s">
        <v>451</v>
      </c>
      <c r="AK3" s="871" t="s">
        <v>265</v>
      </c>
      <c r="AL3" s="38"/>
    </row>
    <row r="4" spans="1:38" x14ac:dyDescent="0.25">
      <c r="A4" s="587"/>
      <c r="B4" s="582"/>
      <c r="C4" s="582"/>
      <c r="D4" s="580"/>
      <c r="E4" s="582"/>
      <c r="F4" s="582"/>
      <c r="G4" s="580"/>
      <c r="H4" s="580"/>
      <c r="I4" s="580"/>
      <c r="J4" s="580"/>
      <c r="K4" s="580"/>
      <c r="L4" s="580"/>
      <c r="M4" s="580"/>
      <c r="N4" s="591"/>
      <c r="O4" s="846"/>
      <c r="P4" s="883"/>
      <c r="Q4" s="38"/>
      <c r="R4" s="580"/>
      <c r="S4" s="582"/>
      <c r="T4" s="38"/>
      <c r="U4" s="582"/>
      <c r="V4" s="582"/>
      <c r="W4" s="582"/>
      <c r="X4" s="580"/>
      <c r="Y4" s="582"/>
      <c r="Z4" s="582"/>
      <c r="AA4" s="580"/>
      <c r="AB4" s="580"/>
      <c r="AC4" s="580"/>
      <c r="AD4" s="847"/>
      <c r="AE4" s="847"/>
      <c r="AF4" s="847"/>
      <c r="AG4" s="580"/>
      <c r="AH4" s="580"/>
      <c r="AI4" s="846"/>
      <c r="AJ4" s="846"/>
      <c r="AK4" s="871"/>
      <c r="AL4" s="38"/>
    </row>
    <row r="5" spans="1:38" x14ac:dyDescent="0.25">
      <c r="A5" s="212">
        <v>6</v>
      </c>
      <c r="B5" s="68">
        <f>B6+'Structural Information'!U6</f>
        <v>17.75</v>
      </c>
      <c r="C5" s="69">
        <f>(D5-D6)/(B5-B6)</f>
        <v>1.4134746047361757E-4</v>
      </c>
      <c r="D5" s="315">
        <f>_xlfn.IFS(($C$25=1),($C$31*B5),($C$25=2),($C$31*(B5-B6)*((4*$B$5-B5)/(4*$B$5-$B$10))),($C$25=3),(C36))</f>
        <v>0.19995986072674579</v>
      </c>
      <c r="E5" s="68">
        <f>'Structural Information'!$Z$6</f>
        <v>37.8446</v>
      </c>
      <c r="F5" s="69">
        <f t="shared" ref="F5:F10" si="0">E5*D5</f>
        <v>7.5674009452594033</v>
      </c>
      <c r="G5" s="68">
        <f>((E5*D5)/(F12)*$L$15)</f>
        <v>26.052609188521554</v>
      </c>
      <c r="H5" s="68">
        <f>J5+$O$16</f>
        <v>26.052609188521554</v>
      </c>
      <c r="I5" s="68">
        <f>G5</f>
        <v>26.052609188521554</v>
      </c>
      <c r="J5" s="316">
        <f>I5-$O$16</f>
        <v>26.052609188521554</v>
      </c>
      <c r="K5" s="317">
        <f>IF(($H$16=0),(_xlfn.IFS((C5&lt;='Frame Capacities'!$BT$14),(C5*'Frame Capacities'!$BK$4*'Frame Capacities'!$BM$14),(AND((C5&gt;'Frame Capacities'!$BT$14),(C5&lt;='Frame Capacities'!$BU$14))),((C5-'Frame Capacities'!$BT$14)*'Frame Capacities'!$BK$4*('Frame Capacities'!$BN$14)+'Frame Capacities'!$BF$14),(AND((C5&gt;'Frame Capacities'!$BU$14),(C5&lt;='Frame Capacities'!$BV$14))),((C5-'Frame Capacities'!$BU$14)*'Frame Capacities'!$BK$4*('Frame Capacities'!$BO$14)+'Frame Capacities'!$BG$14),(AND((C5&gt;'Frame Capacities'!$BV$14),(C5&lt;='Frame Capacities'!$BW$14))),((C5-'Frame Capacities'!$BV$14)*'Frame Capacities'!$BK$4*('Frame Capacities'!$BP$14)+'Frame Capacities'!$BH$14),(AND((C5&gt;'Frame Capacities'!$BW$14),(C5&lt;='Frame Capacities'!$BX$14))),((C5-'Frame Capacities'!$BW$14)*'Frame Capacities'!$BK$4*('Frame Capacities'!$BQ$14)+'Frame Capacities'!$BI$14))),((C5-'Frame Capacities'!$BY$14)*'Frame Capacities'!$BK$4*'Frame Capacities'!$BR$14+'Frame Capacities'!$BK$14))</f>
        <v>1.51234721704507</v>
      </c>
      <c r="L5" s="318">
        <f>IF(($H$16=0),(_xlfn.IFS((C5&lt;='Infill Capacities'!$CY$14),(C5*'Infill Capacities'!$CS$14*'Infill Capacities'!$CQ$4),(AND((C5&gt;'Infill Capacities'!$CY$14),(C5&lt;='Infill Capacities'!$CZ$14))),((C5-'Infill Capacities'!$CY$14)*'Infill Capacities'!$CQ$4*('Infill Capacities'!$CT$14)+'Infill Capacities'!$CM$14),(AND((C5&gt;'Infill Capacities'!$CZ$14),(C5&lt;='Infill Capacities'!$DA$14))),((C5-'Infill Capacities'!$CZ$14)*'Infill Capacities'!$CQ$4*('Infill Capacities'!$CU$14)+'Infill Capacities'!$CN$14),(AND((C5&gt;'Infill Capacities'!$DA$14),(C5&lt;='Infill Capacities'!$DB$14))),((C5-'Infill Capacities'!$DA$14)*'Infill Capacities'!$CQ$4*('Infill Capacities'!$CV$14)+'Infill Capacities'!$CP$14))),((C5-'Infill Capacities'!$DC$14)*'Infill Capacities'!$CQ$4*'Infill Capacities'!$CW$14+'Infill Capacities'!$CQ$14))</f>
        <v>24.540261971690228</v>
      </c>
      <c r="M5" s="69">
        <f t="shared" ref="M5:M10" si="1">K5/C16</f>
        <v>0.14304470110623496</v>
      </c>
      <c r="N5" s="319">
        <f t="shared" ref="N5:N10" si="2">L5/D16</f>
        <v>0.1430447011062351</v>
      </c>
      <c r="O5" s="320">
        <f>K5+L5</f>
        <v>26.052609188735296</v>
      </c>
      <c r="P5" s="421">
        <f>J5-O5</f>
        <v>-2.1374191305767454E-10</v>
      </c>
      <c r="Q5" s="38"/>
      <c r="R5" s="177">
        <f>IF(($H$16=0),(_xlfn.IFS(('System Capacities'!$N$19+'System Capacities'!$N$32=2),((J5/$G$16)),('System Capacities'!$N$19+'System Capacities'!$N$32=3),(((J5-'System Capacities'!$D$47)/($G$16))+('System Capacities'!$E$47*'System Capacities'!$D$6)),('System Capacities'!$N$19+'System Capacities'!$N$32=4),(((J5-'System Capacities'!$D$48)/($G$16))+('System Capacities'!$E$48*'System Capacities'!$D$6)),('System Capacities'!$N$19+'System Capacities'!$N$32=5),(((J5-'System Capacities'!$D$49)/($G$16))+('System Capacities'!$E$49*'System Capacities'!$D$6)),('System Capacities'!$N$19+'System Capacities'!$N$32=6),(((J5-'System Capacities'!$D$50)/($G$16))+('System Capacities'!$E$50*'System Capacities'!$D$6)),('System Capacities'!$N$19+'System Capacities'!$N$32=7),(((J5-'System Capacities'!$D$51)/($G$16))+('System Capacities'!$E$51*'System Capacities'!$D$6)),('System Capacities'!$N$19+'System Capacities'!$N$32=8),(((J5-'System Capacities'!$D$52)/($G$16))+('System Capacities'!$E$52*'System Capacities'!$D$6)),('System Capacities'!$N$19+'System Capacities'!$N$32=9),(((J5-'System Capacities'!$D$53)/($G$16))+('System Capacities'!$E$53*'System Capacities'!$D$6)),('System Capacities'!$N$19+'System Capacities'!$N$32=8),(((J5-'System Capacities'!$D$54)/($G$16))+('System Capacities'!$E$54*'System Capacities'!$D$6)))),((ABS(J5-$E$16)/(-1*$G$16))+($F$16*'System Capacities'!$D$6)))</f>
        <v>4.2404238141737416E-4</v>
      </c>
      <c r="S5" s="454">
        <f>S6+R5</f>
        <v>0.19995986072668293</v>
      </c>
      <c r="T5" s="38"/>
      <c r="U5" s="440">
        <v>6</v>
      </c>
      <c r="V5" s="60">
        <f t="shared" ref="V5:V11" si="3">B5</f>
        <v>17.75</v>
      </c>
      <c r="W5" s="61">
        <f t="shared" ref="W5:W10" si="4">R5/(V5-V6)</f>
        <v>1.4134746047245804E-4</v>
      </c>
      <c r="X5" s="443">
        <f>S5</f>
        <v>0.19995986072668293</v>
      </c>
      <c r="Y5" s="441">
        <f>'Structural Information'!$Z$6</f>
        <v>37.8446</v>
      </c>
      <c r="Z5" s="383">
        <f t="shared" ref="Z5:Z10" si="5">Y5*X5</f>
        <v>7.5674009452570248</v>
      </c>
      <c r="AA5" s="60">
        <f>((Y5*X5)/(Z12)*$L$15)</f>
        <v>26.052609188520659</v>
      </c>
      <c r="AB5" s="60">
        <f>AD5+$O$16</f>
        <v>26.052609188520659</v>
      </c>
      <c r="AC5" s="60">
        <f>AA5</f>
        <v>26.052609188520659</v>
      </c>
      <c r="AD5" s="464">
        <f>AC5-$O$16</f>
        <v>26.052609188520659</v>
      </c>
      <c r="AE5" s="135">
        <f>IF(($H$16=0),(_xlfn.IFS((W5&lt;='Frame Capacities'!$BT$14),(W5*'Frame Capacities'!$BK$4*'Frame Capacities'!$BM$14),(AND((W5&gt;'Frame Capacities'!$BT$14),(W5&lt;='Frame Capacities'!$BU$14))),((W5-'Frame Capacities'!$BT$14)*'Frame Capacities'!$BK$4*('Frame Capacities'!$BN$14)+'Frame Capacities'!$BF$14),(AND((W5&gt;'Frame Capacities'!$BU$14),(W5&lt;='Frame Capacities'!$BV$14))),((W5-'Frame Capacities'!$BU$14)*'Frame Capacities'!$BK$4*('Frame Capacities'!$BO$14)+'Frame Capacities'!$BG$14),(AND((W5&gt;'Frame Capacities'!$BV$14),(W5&lt;='Frame Capacities'!$BW$14))),((W5-'Frame Capacities'!$BV$14)*'Frame Capacities'!$BK$4*('Frame Capacities'!$BP$14)+'Frame Capacities'!$BH$14),(AND((W5&gt;'Frame Capacities'!$BW$14),(W5&lt;='Frame Capacities'!$BX$14))),((W5-'Frame Capacities'!$BW$14)*'Frame Capacities'!$BK$4*('Frame Capacities'!$BQ$14)+'Frame Capacities'!$BI$14))),((W5-'Frame Capacities'!$BY$14)*'Frame Capacities'!$BK$4*'Frame Capacities'!$BR$14+'Frame Capacities'!$BK$14))</f>
        <v>1.5123472170326639</v>
      </c>
      <c r="AF5" s="496">
        <f>IF(($H$16=0),(_xlfn.IFS((W5&lt;='Infill Capacities'!$CY$14),(W5*'Infill Capacities'!$CS$14*'Infill Capacities'!$CQ$4),(AND((W5&gt;'Infill Capacities'!$CY$14),(W5&lt;='Infill Capacities'!$CZ$14))),((W5-'Infill Capacities'!$CY$14)*'Infill Capacities'!$CQ$4*('Infill Capacities'!$CT$14)+'Infill Capacities'!$CM$14),(AND((W5&gt;'Infill Capacities'!$CZ$14),(W5&lt;='Infill Capacities'!$DA$14))),((W5-'Infill Capacities'!$CZ$14)*'Infill Capacities'!$CQ$4*('Infill Capacities'!$CU$14)+'Infill Capacities'!$CN$14),(AND((W5&gt;'Infill Capacities'!$DA$14),(W5&lt;='Infill Capacities'!$DB$14))),((W5-'Infill Capacities'!$DA$14)*'Infill Capacities'!$CQ$4*('Infill Capacities'!$CV$14)+'Infill Capacities'!$CP$14))),((W5-'Infill Capacities'!$DC$14)*'Infill Capacities'!$CQ$4*'Infill Capacities'!$CW$14+'Infill Capacities'!$CQ$14))</f>
        <v>24.540261971488917</v>
      </c>
      <c r="AG5" s="61">
        <f>AE5/$C$16</f>
        <v>0.14304470110506154</v>
      </c>
      <c r="AH5" s="98">
        <f>AF5/$D$16</f>
        <v>0.14304470110506168</v>
      </c>
      <c r="AI5" s="446">
        <f t="shared" ref="AI5:AI10" si="6">AE5+AF5</f>
        <v>26.052609188521579</v>
      </c>
      <c r="AJ5" s="447">
        <f>AD5-AI5</f>
        <v>-9.2015284280932974E-13</v>
      </c>
      <c r="AK5" s="322">
        <f>(AD5-(AI5))/AD5</f>
        <v>-3.5319028361073671E-14</v>
      </c>
      <c r="AL5" s="38"/>
    </row>
    <row r="6" spans="1:38" x14ac:dyDescent="0.25">
      <c r="A6" s="212">
        <v>5</v>
      </c>
      <c r="B6" s="68">
        <f>B7+'Structural Information'!U7</f>
        <v>14.75</v>
      </c>
      <c r="C6" s="69">
        <f t="shared" ref="C6:C10" si="7">(D6-D7)/(B6-B7)</f>
        <v>2.2063168522722573E-4</v>
      </c>
      <c r="D6" s="315">
        <f t="shared" ref="D6:D11" si="8">_xlfn.IFS(($C$25=1),($C$31*B6),($C$25=2),($C$31*(B6-B7)*((4*$B$5-B6)/(4*$B$5-$B$10))),($C$25=3),(C37))</f>
        <v>0.19953581834532494</v>
      </c>
      <c r="E6" s="68">
        <f>'Structural Information'!$Z$7</f>
        <v>40.367000000000004</v>
      </c>
      <c r="F6" s="69">
        <f t="shared" si="0"/>
        <v>8.0546623791457321</v>
      </c>
      <c r="G6" s="68">
        <f>((E6*D6)/(F12)*$L$15)</f>
        <v>27.730124599890317</v>
      </c>
      <c r="H6" s="68">
        <f>J6-J5+$O$17</f>
        <v>27.730124599890321</v>
      </c>
      <c r="I6" s="68">
        <f>I5+G6</f>
        <v>53.782733788411875</v>
      </c>
      <c r="J6" s="316">
        <f>I6-$O$17</f>
        <v>53.782733788411875</v>
      </c>
      <c r="K6" s="317">
        <f>IF(($H$17=0),(_xlfn.IFS((C6&lt;='Frame Capacities'!$BT$15),(C6*'Frame Capacities'!$BK$5*'Frame Capacities'!$BM$15),(AND((C6&gt;'Frame Capacities'!$BT$15),(C6&lt;='Frame Capacities'!$BU$15))),((C6-'Frame Capacities'!$BT$15)*'Frame Capacities'!$BK$5*('Frame Capacities'!$BN$15)+'Frame Capacities'!$BF$15),(AND((C6&gt;'Frame Capacities'!$BU$15),(C6&lt;='Frame Capacities'!$BV$15))),((C6-'Frame Capacities'!$BU$15)*'Frame Capacities'!$BK$5*('Frame Capacities'!$BO$15)+'Frame Capacities'!$BG$15),(AND((C6&gt;'Frame Capacities'!$BV$15),(C6&lt;='Frame Capacities'!$BW$15))),((C6-'Frame Capacities'!$BV$15)*'Frame Capacities'!$BK$5*('Frame Capacities'!$BP$15)+'Frame Capacities'!$BH$15),(AND((C6&gt;'Frame Capacities'!$BW$15),(C6&lt;='Frame Capacities'!$BX$15))),((C6-'Frame Capacities'!$BW$15)*'Frame Capacities'!$BK$5*('Frame Capacities'!$BQ$15)+'Frame Capacities'!$BI$15))),((C6-'Frame Capacities'!$BY$15)*'Frame Capacities'!$BK$5*'Frame Capacities'!$BR$15+'Frame Capacities'!$BK$15))</f>
        <v>2.3999695692383884</v>
      </c>
      <c r="L6" s="318">
        <f>IF(($H$17=0),(_xlfn.IFS((C6&lt;='Infill Capacities'!$CY$15),(C6*'Infill Capacities'!$CS$15*'Infill Capacities'!$CQ$5),(AND((C6&gt;'Infill Capacities'!$CY$15),(C6&lt;='Infill Capacities'!$CZ$15))),((C6-'Infill Capacities'!$CY$15)*'Infill Capacities'!$CQ$5*('Infill Capacities'!$CT$15)+'Infill Capacities'!$CM$15),(AND((C6&gt;'Infill Capacities'!$CZ$15),(C6&lt;='Infill Capacities'!$DA$15))),((C6-'Infill Capacities'!$CZ$15)*'Infill Capacities'!$CQ$5*('Infill Capacities'!$CU$15)+'Infill Capacities'!$CN$15),(AND((C6&gt;'Infill Capacities'!$DA$15),(C6&lt;='Infill Capacities'!$DB$15))),((C6-'Infill Capacities'!$DA$15)*'Infill Capacities'!$CQ$5*('Infill Capacities'!$CV$15)+'Infill Capacities'!$CP$15))),((C6-'Infill Capacities'!$DC$15)*'Infill Capacities'!$CQ$5*'Infill Capacities'!$CW$15+'Infill Capacities'!$CQ$15))</f>
        <v>51.382764219503997</v>
      </c>
      <c r="M6" s="69">
        <f t="shared" si="1"/>
        <v>0.14730782936343081</v>
      </c>
      <c r="N6" s="319">
        <f t="shared" si="2"/>
        <v>0.14730782936343081</v>
      </c>
      <c r="O6" s="320">
        <f t="shared" ref="O6:O10" si="9">K6+L6</f>
        <v>53.782733788742384</v>
      </c>
      <c r="P6" s="421">
        <f>J6-O6</f>
        <v>-3.305089535388106E-10</v>
      </c>
      <c r="Q6" s="38"/>
      <c r="R6" s="177">
        <f>IF(($H$17=0),(_xlfn.IFS(('System Capacities'!$N$20+'System Capacities'!$N$33=2),((J6/$G$17)),('System Capacities'!$N$20+'System Capacities'!$N$33=3),(((J6-'System Capacities'!$H$47)/($G$17))+('System Capacities'!$I$47*'System Capacities'!$D$7)),('System Capacities'!$N$20+'System Capacities'!$N$33=4),(((J6-'System Capacities'!$H$48)/($G$17))+('System Capacities'!$I$48*'System Capacities'!$D$7)),('System Capacities'!$N$20+'System Capacities'!$N$33=5),(((J6-'System Capacities'!H$49)/($G$17))+('System Capacities'!$I$49*'System Capacities'!$D$7)),('System Capacities'!$N$20+'System Capacities'!$N$33=6),(((J6-'System Capacities'!$H$50)/($G$17))+('System Capacities'!$I$50*'System Capacities'!$D$7)),('System Capacities'!$N$20+'System Capacities'!$N$33=7),(((J6-'System Capacities'!$H$51)/($G$17))+('System Capacities'!$I$51*'System Capacities'!$D$7)),('System Capacities'!N20+'System Capacities'!$N$33=8),(((J6-'System Capacities'!$H$52)/($G$17))+('System Capacities'!$I$52*'System Capacities'!$D$7)),('System Capacities'!N20+'System Capacities'!$N$33=9),(((J6-'System Capacities'!$H$53)/($G$17))+('System Capacities'!$I$53*'System Capacities'!$D$7)),('System Capacities'!N20+'System Capacities'!$N$33=10),(((J6-'System Capacities'!$H$54)/($G$17))+('System Capacities'!$I$54*'System Capacities'!$D$7)))),((ABS(J6-$E$17)/(-1*$G$17))+($F$17*'System Capacities'!$D$7)))</f>
        <v>6.6189505567760968E-4</v>
      </c>
      <c r="S6" s="454">
        <f t="shared" ref="S6:S10" si="10">S7+R6</f>
        <v>0.19953581834526554</v>
      </c>
      <c r="T6" s="38"/>
      <c r="U6" s="440">
        <v>5</v>
      </c>
      <c r="V6" s="60">
        <f t="shared" si="3"/>
        <v>14.75</v>
      </c>
      <c r="W6" s="61">
        <f t="shared" si="4"/>
        <v>2.2063168522586988E-4</v>
      </c>
      <c r="X6" s="443">
        <f t="shared" ref="X6:X11" si="11">S6</f>
        <v>0.19953581834526554</v>
      </c>
      <c r="Y6" s="441">
        <f>'Structural Information'!$Z$7</f>
        <v>40.367000000000004</v>
      </c>
      <c r="Z6" s="383">
        <f t="shared" si="5"/>
        <v>8.0546623791433358</v>
      </c>
      <c r="AA6" s="60">
        <f>((Y6*X6)/(Z12)*$L$15)</f>
        <v>27.730124599889827</v>
      </c>
      <c r="AB6" s="60">
        <f>AD6-AD5+$O$17</f>
        <v>27.730124599889823</v>
      </c>
      <c r="AC6" s="60">
        <f>AC5+AA6</f>
        <v>53.782733788410482</v>
      </c>
      <c r="AD6" s="444">
        <f>AC6-$O$17</f>
        <v>53.782733788410482</v>
      </c>
      <c r="AE6" s="137">
        <f>IF(($H$17=0),(_xlfn.IFS((W6&lt;='Frame Capacities'!$BT$15),(W6*'Frame Capacities'!$BK$5*'Frame Capacities'!$BM$15),(AND((W6&gt;'Frame Capacities'!$BT$15),(W6&lt;='Frame Capacities'!$BU$15))),((W6-'Frame Capacities'!$BT$15)*'Frame Capacities'!$BK$5*('Frame Capacities'!$BN$15)+'Frame Capacities'!$BF$15),(AND((W6&gt;'Frame Capacities'!$BU$15),(W6&lt;='Frame Capacities'!$BV$15))),((W6-'Frame Capacities'!$BU$15)*'Frame Capacities'!$BK$5*('Frame Capacities'!$BO$15)+'Frame Capacities'!$BG$15),(AND((W6&gt;'Frame Capacities'!$BV$15),(W6&lt;='Frame Capacities'!$BW$15))),((W6-'Frame Capacities'!$BV$15)*'Frame Capacities'!$BK$5*('Frame Capacities'!$BP$15)+'Frame Capacities'!$BH$15),(AND((W6&gt;'Frame Capacities'!$BW$15),(W6&lt;='Frame Capacities'!$BX$15))),((W6-'Frame Capacities'!$BW$15)*'Frame Capacities'!$BK$5*('Frame Capacities'!$BQ$15)+'Frame Capacities'!$BI$15))),((W6-'Frame Capacities'!$BY$15)*'Frame Capacities'!$BK$5*'Frame Capacities'!$BR$15+'Frame Capacities'!$BK$15))</f>
        <v>2.3999695692236411</v>
      </c>
      <c r="AF6" s="445">
        <f>IF(($H$17=0),(_xlfn.IFS((W6&lt;='Infill Capacities'!$CY$15),(W6*'Infill Capacities'!$CS$15*'Infill Capacities'!$CQ$5),(AND((W6&gt;'Infill Capacities'!$CY$15),(W6&lt;='Infill Capacities'!$CZ$15))),((W6-'Infill Capacities'!$CY$15)*'Infill Capacities'!$CQ$5*('Infill Capacities'!$CT$15)+'Infill Capacities'!$CM$15),(AND((W6&gt;'Infill Capacities'!$CZ$15),(W6&lt;='Infill Capacities'!$DA$15))),((W6-'Infill Capacities'!$CZ$15)*'Infill Capacities'!$CQ$5*('Infill Capacities'!$CU$15)+'Infill Capacities'!$CN$15),(AND((W6&gt;'Infill Capacities'!$DA$15),(W6&lt;='Infill Capacities'!$DB$15))),((W6-'Infill Capacities'!$DA$15)*'Infill Capacities'!$CQ$5*('Infill Capacities'!$CV$15)+'Infill Capacities'!$CP$15))),((W6-'Infill Capacities'!$DC$15)*'Infill Capacities'!$CQ$5*'Infill Capacities'!$CW$15+'Infill Capacities'!$CQ$15))</f>
        <v>51.382764219188289</v>
      </c>
      <c r="AG6" s="61">
        <f>AE6/$C$17</f>
        <v>0.14730782936252565</v>
      </c>
      <c r="AH6" s="98">
        <f>AF6/$D$17</f>
        <v>0.14730782936252573</v>
      </c>
      <c r="AI6" s="446">
        <f t="shared" si="6"/>
        <v>53.782733788411932</v>
      </c>
      <c r="AJ6" s="447">
        <f>AD6-AI6</f>
        <v>-1.4495071809506044E-12</v>
      </c>
      <c r="AK6" s="322">
        <f t="shared" ref="AK6:AK10" si="12">(AD6-(AI6))/AD6</f>
        <v>-2.6951162182517306E-14</v>
      </c>
      <c r="AL6" s="38"/>
    </row>
    <row r="7" spans="1:38" x14ac:dyDescent="0.25">
      <c r="A7" s="212">
        <v>4</v>
      </c>
      <c r="B7" s="68">
        <f>B8+'Structural Information'!U8</f>
        <v>11.75</v>
      </c>
      <c r="C7" s="69">
        <f t="shared" si="7"/>
        <v>3.0770560145913323E-4</v>
      </c>
      <c r="D7" s="315">
        <f t="shared" si="8"/>
        <v>0.19887392328964326</v>
      </c>
      <c r="E7" s="68">
        <f>'Structural Information'!$Z$8</f>
        <v>40.367000000000004</v>
      </c>
      <c r="F7" s="69">
        <f t="shared" si="0"/>
        <v>8.0279436614330297</v>
      </c>
      <c r="G7" s="68">
        <f>((E7*D7)/(F12)*$L$15)</f>
        <v>27.638138947798822</v>
      </c>
      <c r="H7" s="68">
        <f>J7-J6+$O$18</f>
        <v>27.638138947798822</v>
      </c>
      <c r="I7" s="68">
        <f t="shared" ref="I7:I10" si="13">I6+G7</f>
        <v>81.420872736210697</v>
      </c>
      <c r="J7" s="316">
        <f>I7-$O$18</f>
        <v>81.420872736210697</v>
      </c>
      <c r="K7" s="317">
        <f>IF(($H$18=0),(_xlfn.IFS((C7&lt;='Frame Capacities'!$BT$16),(C7*'Frame Capacities'!$BK$6*'Frame Capacities'!$BM$16),(AND((C7&gt;'Frame Capacities'!$BT$16),(C7&lt;='Frame Capacities'!$BU$16))),((C7-'Frame Capacities'!$BT$16)*'Frame Capacities'!$BK$6*('Frame Capacities'!$BN$16)+'Frame Capacities'!$BF$16),(AND((C7&gt;'Frame Capacities'!$BU$16),(C7&lt;='Frame Capacities'!$BV$16))),((C7-'Frame Capacities'!$BU$16)*'Frame Capacities'!$BK$6*('Frame Capacities'!$BO$16)+'Frame Capacities'!$BG$16),(AND((C7&gt;'Frame Capacities'!$BV$16),(C7&lt;='Frame Capacities'!$BW$16))),((C7-'Frame Capacities'!$BV$16)*'Frame Capacities'!$BK$6*('Frame Capacities'!$BP$16)+'Frame Capacities'!$BH$16),(AND((C7&gt;'Frame Capacities'!$BW$16),(C7&lt;='Frame Capacities'!$BX$16))),((C7-'Frame Capacities'!$BW$16)*'Frame Capacities'!$BK$6*('Frame Capacities'!$BQ$16)+'Frame Capacities'!$BI$16))),((C7-'Frame Capacities'!$BY$16)*'Frame Capacities'!$BK$6*'Frame Capacities'!$BR$16+'Frame Capacities'!$BK$16))</f>
        <v>3.90227189474464</v>
      </c>
      <c r="L7" s="318">
        <f>IF(($H$18=0),(_xlfn.IFS((C7&lt;='Infill Capacities'!$CY$16),(C7*'Infill Capacities'!$CS$16*'Infill Capacities'!$CQ$6),(AND((C7&gt;'Infill Capacities'!$CY$16),(C7&lt;='Infill Capacities'!$CZ$16))),((C7-'Infill Capacities'!$CY$16)*'Infill Capacities'!$CQ$6*('Infill Capacities'!$CT$16)+'Infill Capacities'!$CM$16),(AND((C7&gt;'Infill Capacities'!$CZ$16),(C7&lt;='Infill Capacities'!$DA$16))),((C7-'Infill Capacities'!$CZ$16)*'Infill Capacities'!$CQ$6*('Infill Capacities'!$CU$16)+'Infill Capacities'!$CN$16),(AND((C7&gt;'Infill Capacities'!$DA$16),(C7&lt;='Infill Capacities'!$DB$16))),((C7-'Infill Capacities'!$DA$16)*'Infill Capacities'!$CQ$6*('Infill Capacities'!$CV$16)+'Infill Capacities'!$CP$16))),((C7-'Infill Capacities'!$DC$16)*'Infill Capacities'!$CQ$6*'Infill Capacities'!$CW$16+'Infill Capacities'!$CQ$16))</f>
        <v>77.518600841783382</v>
      </c>
      <c r="M7" s="69">
        <f t="shared" si="1"/>
        <v>0.15334589967865245</v>
      </c>
      <c r="N7" s="319">
        <f t="shared" si="2"/>
        <v>0.15334589967865242</v>
      </c>
      <c r="O7" s="320">
        <f t="shared" si="9"/>
        <v>81.420872736528025</v>
      </c>
      <c r="P7" s="421">
        <f t="shared" ref="P7:P10" si="14">J7-O7</f>
        <v>-3.1732838579046074E-10</v>
      </c>
      <c r="Q7" s="38"/>
      <c r="R7" s="177">
        <f>IF(($H$18=0),(_xlfn.IFS(('System Capacities'!$N$21+'System Capacities'!$N$34=2),((J7/$G$18)),('System Capacities'!$N$21+'System Capacities'!$N$34=3),(((J7-'System Capacities'!$L$47)/ABS($G$18))+('System Capacities'!$M$47*'System Capacities'!$D$8)),('System Capacities'!$N$21+'System Capacities'!$N$34=4),(((J7-'System Capacities'!$L$48)/($G$18))+('System Capacities'!$M$48*'System Capacities'!$D$8)),('System Capacities'!$N$21+'System Capacities'!$N$34=5),(((J7-'System Capacities'!$L$49)/($G$18))+('System Capacities'!$M$49*'System Capacities'!$D$8)),('System Capacities'!$N$21+'System Capacities'!$N$34=6),(((J7-'System Capacities'!$L$50)/($G$18))+('System Capacities'!$M$50*'System Capacities'!$D$8)),('System Capacities'!$N$21+'System Capacities'!$N$34=7),(((J7-'System Capacities'!$L$51)/($G$18))+('System Capacities'!$M$51*'System Capacities'!$D$8)),('System Capacities'!$N$21+'System Capacities'!$N$34=8),(((J7-'System Capacities'!$L$52)/($G$18))+('System Capacities'!$M$52*'System Capacities'!$D$8)),('System Capacities'!$N$21+'System Capacities'!$N$34=9),(((J7-'System Capacities'!$L$53)/($G$18))+('System Capacities'!$M$53*'System Capacities'!$D$8)),('System Capacities'!$N$21+'System Capacities'!$N$34=10),(((J7-'System Capacities'!$L$54)/($G$18))+('System Capacities'!$M$54*'System Capacities'!$D$8)))),((ABS(J7-$E$18)/(-1*$G$18))+($F$18*'System Capacities'!$D$8)))</f>
        <v>9.2311680437380268E-4</v>
      </c>
      <c r="S7" s="454">
        <f t="shared" si="10"/>
        <v>0.19887392328958794</v>
      </c>
      <c r="T7" s="38"/>
      <c r="U7" s="440">
        <v>4</v>
      </c>
      <c r="V7" s="60">
        <f t="shared" si="3"/>
        <v>11.75</v>
      </c>
      <c r="W7" s="61">
        <f t="shared" si="4"/>
        <v>3.0770560145793421E-4</v>
      </c>
      <c r="X7" s="443">
        <f t="shared" si="11"/>
        <v>0.19887392328958794</v>
      </c>
      <c r="Y7" s="441">
        <f>'Structural Information'!$Z$8</f>
        <v>40.367000000000004</v>
      </c>
      <c r="Z7" s="383">
        <f t="shared" si="5"/>
        <v>8.0279436614307969</v>
      </c>
      <c r="AA7" s="60">
        <f>((Y7*X7)/(Z12)*$L$15)</f>
        <v>27.638138947798875</v>
      </c>
      <c r="AB7" s="60">
        <f>AD7-AD6+$O$18</f>
        <v>27.638138947798879</v>
      </c>
      <c r="AC7" s="60">
        <f t="shared" ref="AC7:AC10" si="15">AC6+AA7</f>
        <v>81.420872736209361</v>
      </c>
      <c r="AD7" s="444">
        <f>AC7-$O$18</f>
        <v>81.420872736209361</v>
      </c>
      <c r="AE7" s="137">
        <f>IF(($H$18=0),(_xlfn.IFS((W7&lt;='Frame Capacities'!$BT$16),(W7*'Frame Capacities'!$BK$6*'Frame Capacities'!$BM$16),(AND((W7&gt;'Frame Capacities'!$BT$16),(W7&lt;='Frame Capacities'!$BU$16))),((W7-'Frame Capacities'!$BT$16)*'Frame Capacities'!$BK$6*('Frame Capacities'!$BN$16)+'Frame Capacities'!$BF$16),(AND((W7&gt;'Frame Capacities'!$BU$16),(W7&lt;='Frame Capacities'!$BV$16))),((W7-'Frame Capacities'!$BU$16)*'Frame Capacities'!$BK$6*('Frame Capacities'!$BO$16)+'Frame Capacities'!$BG$16),(AND((W7&gt;'Frame Capacities'!$BV$16),(W7&lt;='Frame Capacities'!$BW$16))),((W7-'Frame Capacities'!$BV$16)*'Frame Capacities'!$BK$6*('Frame Capacities'!$BP$16)+'Frame Capacities'!$BH$16),(AND((W7&gt;'Frame Capacities'!$BW$16),(W7&lt;='Frame Capacities'!$BX$16))),((W7-'Frame Capacities'!$BW$16)*'Frame Capacities'!$BK$6*('Frame Capacities'!$BQ$16)+'Frame Capacities'!$BI$16))),((W7-'Frame Capacities'!$BY$16)*'Frame Capacities'!$BK$6*'Frame Capacities'!$BR$16+'Frame Capacities'!$BK$16))</f>
        <v>3.9022718947294308</v>
      </c>
      <c r="AF7" s="445">
        <f>IF(($H$18=0),(_xlfn.IFS((W7&lt;='Infill Capacities'!$CY$16),(W7*'Infill Capacities'!$CS$16*'Infill Capacities'!$CQ$6),(AND((W7&gt;'Infill Capacities'!$CY$16),(W7&lt;='Infill Capacities'!$CZ$16))),((W7-'Infill Capacities'!$CY$16)*'Infill Capacities'!$CQ$6*('Infill Capacities'!$CT$16)+'Infill Capacities'!$CM$16),(AND((W7&gt;'Infill Capacities'!$CZ$16),(W7&lt;='Infill Capacities'!$DA$16))),((W7-'Infill Capacities'!$CZ$16)*'Infill Capacities'!$CQ$6*('Infill Capacities'!$CU$16)+'Infill Capacities'!$CN$16),(AND((W7&gt;'Infill Capacities'!$DA$16),(W7&lt;='Infill Capacities'!$DB$16))),((W7-'Infill Capacities'!$DA$16)*'Infill Capacities'!$CQ$6*('Infill Capacities'!$CV$16)+'Infill Capacities'!$CP$16))),((W7-'Infill Capacities'!$DC$16)*'Infill Capacities'!$CQ$6*'Infill Capacities'!$CW$16+'Infill Capacities'!$CQ$16))</f>
        <v>77.518600841481202</v>
      </c>
      <c r="AG7" s="61">
        <f>AE7/$C$18</f>
        <v>0.15334589967805479</v>
      </c>
      <c r="AH7" s="98">
        <f>AF7/$D$18</f>
        <v>0.15334589967805468</v>
      </c>
      <c r="AI7" s="446">
        <f t="shared" si="6"/>
        <v>81.42087273621064</v>
      </c>
      <c r="AJ7" s="447">
        <f t="shared" ref="AJ7:AJ10" si="16">AD7-AI7</f>
        <v>-1.2789769243681803E-12</v>
      </c>
      <c r="AK7" s="322">
        <f t="shared" si="12"/>
        <v>-1.570821929791715E-14</v>
      </c>
      <c r="AL7" s="38"/>
    </row>
    <row r="8" spans="1:38" x14ac:dyDescent="0.25">
      <c r="A8" s="212">
        <v>3</v>
      </c>
      <c r="B8" s="68">
        <f>B9+'Structural Information'!U9</f>
        <v>8.75</v>
      </c>
      <c r="C8" s="69">
        <f t="shared" si="7"/>
        <v>1.7729051192361771E-3</v>
      </c>
      <c r="D8" s="315">
        <f t="shared" si="8"/>
        <v>0.19795080648526586</v>
      </c>
      <c r="E8" s="68">
        <f>'Structural Information'!$Z$9</f>
        <v>40.367000000000004</v>
      </c>
      <c r="F8" s="69">
        <f t="shared" si="0"/>
        <v>7.9906802053907278</v>
      </c>
      <c r="G8" s="68">
        <f>((E8*D8)/(F12)*$L$15)</f>
        <v>27.509850482009004</v>
      </c>
      <c r="H8" s="68">
        <f>J8-J7+$O$19</f>
        <v>27.509850482009</v>
      </c>
      <c r="I8" s="68">
        <f t="shared" si="13"/>
        <v>108.9307232182197</v>
      </c>
      <c r="J8" s="316">
        <f>I8-$O$19</f>
        <v>108.9307232182197</v>
      </c>
      <c r="K8" s="317">
        <f>IF(($H$19=0),(_xlfn.IFS((C8&lt;='Frame Capacities'!$BT$17),(C8*'Frame Capacities'!$BK$7*'Frame Capacities'!$BM$17),(AND((C8&gt;'Frame Capacities'!$BT$17),(C8&lt;='Frame Capacities'!$BU$17))),((C8-'Frame Capacities'!$BT$17)*'Frame Capacities'!$BK$7*('Frame Capacities'!$BN$17)+'Frame Capacities'!$BF$17),(AND((C8&gt;'Frame Capacities'!$BU$17),(C8&lt;='Frame Capacities'!$BV$17))),((C8-'Frame Capacities'!$BU$17)*'Frame Capacities'!$BK$7*('Frame Capacities'!$BO$17)+'Frame Capacities'!$BG$17),(AND((C8&gt;'Frame Capacities'!$BV$17),(C8&lt;='Frame Capacities'!$BW$17))),((C8-'Frame Capacities'!$BV$17)*'Frame Capacities'!$BK$7*('Frame Capacities'!$BP$17)+'Frame Capacities'!$BH$17),(AND((C8&gt;'Frame Capacities'!$BW$17),(C8&lt;='Frame Capacities'!$BX$17))),((C8-'Frame Capacities'!$BW$17)*'Frame Capacities'!$BK$7*('Frame Capacities'!$BQ$17)+'Frame Capacities'!$BI$17))),((C8-'Frame Capacities'!$BY$17)*'Frame Capacities'!$BK$7*'Frame Capacities'!$BR$17+'Frame Capacities'!$BK$17))</f>
        <v>31.854526110675877</v>
      </c>
      <c r="L8" s="318">
        <f>IF(($H$19=0),(_xlfn.IFS((C8&lt;='Infill Capacities'!$CY$17),(C8*'Infill Capacities'!$CS$17*'Infill Capacities'!$CQ$7),(AND((C8&gt;'Infill Capacities'!$CY$17),(C8&lt;='Infill Capacities'!$CZ$17))),((C8-'Infill Capacities'!$CY$17)*'Infill Capacities'!$CQ$7*('Infill Capacities'!$CT$17)+'Infill Capacities'!$CM$17),(AND((C8&gt;'Infill Capacities'!$CZ$17),(C8&lt;='Infill Capacities'!$DA$17))),((C8-'Infill Capacities'!$CZ$17)*'Infill Capacities'!$CQ$7*('Infill Capacities'!$CU$17)+'Infill Capacities'!$CN$17),(AND((C8&gt;'Infill Capacities'!$DA$17),(C8&lt;='Infill Capacities'!$DB$17))),((C8-'Infill Capacities'!$DA$17)*'Infill Capacities'!$CQ$7*('Infill Capacities'!$CV$17)+'Infill Capacities'!$CP$17))),((C8-'Infill Capacities'!$DC$17)*'Infill Capacities'!$CQ$7*'Infill Capacities'!$CW$17+'Infill Capacities'!$CQ$17))</f>
        <v>77.076197107730195</v>
      </c>
      <c r="M8" s="69">
        <f t="shared" si="1"/>
        <v>0.47520265984350513</v>
      </c>
      <c r="N8" s="319">
        <f t="shared" si="2"/>
        <v>0.12700956982958211</v>
      </c>
      <c r="O8" s="320">
        <f t="shared" si="9"/>
        <v>108.93072321840607</v>
      </c>
      <c r="P8" s="421">
        <f t="shared" si="14"/>
        <v>-1.8637535958987428E-10</v>
      </c>
      <c r="Q8" s="38"/>
      <c r="R8" s="177">
        <f>IF(($H$19=0),(_xlfn.IFS(('System Capacities'!$N$22+'System Capacities'!$N$35=2),((J8/$G$19)),('System Capacities'!$N$22+'System Capacities'!$N$35=3),(((J8-'System Capacities'!$D$61)/($G$19))+('System Capacities'!$E$61*'System Capacities'!$D$9)),('System Capacities'!$N$22+'System Capacities'!$N$35=4),(((J8-'System Capacities'!$D$62)/($G$19))+('System Capacities'!$E$62*'System Capacities'!$D$9)),('System Capacities'!$N$22+'System Capacities'!$N$35=5),(((J8-'System Capacities'!$D$63)/($G$19))+('System Capacities'!$E$63*'System Capacities'!$D$9)),('System Capacities'!$N$22+'System Capacities'!$N$35=6),(((J8-'System Capacities'!$D$64)/($G$19))+('System Capacities'!$E$64*'System Capacities'!$D$9)),('System Capacities'!$N$22+'System Capacities'!$N$35=7),(((J8-'System Capacities'!$D$65)/($G$19))+('System Capacities'!$E$65*'System Capacities'!$D$9)),('System Capacities'!$N$22+'System Capacities'!$N$35=8),(((J8-'System Capacities'!$D$66)/($G$19))+('System Capacities'!$E$66*'System Capacities'!$D$9)),('System Capacities'!$N$22+'System Capacities'!$N$35=9),(((J8-'System Capacities'!$D$67)/($G$19))+('System Capacities'!$E$67*'System Capacities'!$D$9)),('System Capacities'!$N$22+'System Capacities'!$N$35=10),(((J8-'System Capacities'!$D$68)/($G$19))+('System Capacities'!$E$68*'System Capacities'!$D$9)))),((ABS(J8-$E$19)/(-1*$G$19))+($F$19*'System Capacities'!$D$9)))</f>
        <v>5.3187153577065943E-3</v>
      </c>
      <c r="S8" s="454">
        <f t="shared" si="10"/>
        <v>0.19795080648521415</v>
      </c>
      <c r="T8" s="38"/>
      <c r="U8" s="440">
        <v>3</v>
      </c>
      <c r="V8" s="60">
        <f t="shared" si="3"/>
        <v>8.75</v>
      </c>
      <c r="W8" s="61">
        <f t="shared" si="4"/>
        <v>1.7729051192355314E-3</v>
      </c>
      <c r="X8" s="443">
        <f t="shared" si="11"/>
        <v>0.19795080648521415</v>
      </c>
      <c r="Y8" s="441">
        <f>'Structural Information'!$Z$9</f>
        <v>40.367000000000004</v>
      </c>
      <c r="Z8" s="383">
        <f t="shared" si="5"/>
        <v>7.9906802053886405</v>
      </c>
      <c r="AA8" s="60">
        <f>((Y8*X8)/(Z12)*$L$15)</f>
        <v>27.509850482009519</v>
      </c>
      <c r="AB8" s="60">
        <f>AD8-AD7+$O$19</f>
        <v>27.509850482009512</v>
      </c>
      <c r="AC8" s="60">
        <f t="shared" si="15"/>
        <v>108.93072321821887</v>
      </c>
      <c r="AD8" s="444">
        <f>AC8-$O$19</f>
        <v>108.93072321821887</v>
      </c>
      <c r="AE8" s="137">
        <f>IF(($H$19=0),(_xlfn.IFS((W8&lt;='Frame Capacities'!$BT$17),(W8*'Frame Capacities'!$BK$7*'Frame Capacities'!$BM$17),(AND((W8&gt;'Frame Capacities'!$BT$17),(W8&lt;='Frame Capacities'!$BU$17))),((W8-'Frame Capacities'!$BT$17)*'Frame Capacities'!$BK$7*('Frame Capacities'!$BN$17)+'Frame Capacities'!$BF$17),(AND((W8&gt;'Frame Capacities'!$BU$17),(W8&lt;='Frame Capacities'!$BV$17))),((W8-'Frame Capacities'!$BU$17)*'Frame Capacities'!$BK$7*('Frame Capacities'!$BO$17)+'Frame Capacities'!$BG$17),(AND((W8&gt;'Frame Capacities'!$BV$17),(W8&lt;='Frame Capacities'!$BW$17))),((W8-'Frame Capacities'!$BV$17)*'Frame Capacities'!$BK$7*('Frame Capacities'!$BP$17)+'Frame Capacities'!$BH$17),(AND((W8&gt;'Frame Capacities'!$BW$17),(W8&lt;='Frame Capacities'!$BX$17))),((W8-'Frame Capacities'!$BW$17)*'Frame Capacities'!$BK$7*('Frame Capacities'!$BQ$17)+'Frame Capacities'!$BI$17))),((W8-'Frame Capacities'!$BY$17)*'Frame Capacities'!$BK$7*'Frame Capacities'!$BR$17+'Frame Capacities'!$BK$17))</f>
        <v>31.854526110664281</v>
      </c>
      <c r="AF8" s="445">
        <f>IF(($H$19=0),(_xlfn.IFS((W8&lt;='Infill Capacities'!$CY$17),(W8*'Infill Capacities'!$CS$17*'Infill Capacities'!$CQ$7),(AND((W8&gt;'Infill Capacities'!$CY$17),(W8&lt;='Infill Capacities'!$CZ$17))),((W8-'Infill Capacities'!$CY$17)*'Infill Capacities'!$CQ$7*('Infill Capacities'!$CT$17)+'Infill Capacities'!$CM$17),(AND((W8&gt;'Infill Capacities'!$CZ$17),(W8&lt;='Infill Capacities'!$DA$17))),((W8-'Infill Capacities'!$CZ$17)*'Infill Capacities'!$CQ$7*('Infill Capacities'!$CU$17)+'Infill Capacities'!$CN$17),(AND((W8&gt;'Infill Capacities'!$DA$17),(W8&lt;='Infill Capacities'!$DB$17))),((W8-'Infill Capacities'!$DA$17)*'Infill Capacities'!$CQ$7*('Infill Capacities'!$CV$17)+'Infill Capacities'!$CP$17))),((W8-'Infill Capacities'!$DC$17)*'Infill Capacities'!$CQ$7*'Infill Capacities'!$CW$17+'Infill Capacities'!$CQ$17))</f>
        <v>77.076197107555572</v>
      </c>
      <c r="AG8" s="61">
        <f>AE8/$C$19</f>
        <v>0.47520265984333215</v>
      </c>
      <c r="AH8" s="98">
        <f>AF8/$D$19</f>
        <v>0.12700956982929437</v>
      </c>
      <c r="AI8" s="446">
        <f t="shared" si="6"/>
        <v>108.93072321821985</v>
      </c>
      <c r="AJ8" s="447">
        <f t="shared" si="16"/>
        <v>-9.8054897534893826E-13</v>
      </c>
      <c r="AK8" s="322">
        <f t="shared" si="12"/>
        <v>-9.0015832666843025E-15</v>
      </c>
      <c r="AL8" s="38"/>
    </row>
    <row r="9" spans="1:38" x14ac:dyDescent="0.25">
      <c r="A9" s="212">
        <v>2</v>
      </c>
      <c r="B9" s="68">
        <f>B10+'Structural Information'!U10</f>
        <v>5.75</v>
      </c>
      <c r="C9" s="69">
        <f t="shared" si="7"/>
        <v>6.2133506269731131E-2</v>
      </c>
      <c r="D9" s="315">
        <f t="shared" si="8"/>
        <v>0.19263209112755733</v>
      </c>
      <c r="E9" s="68">
        <f>'Structural Information'!$Z$10</f>
        <v>40.367000000000004</v>
      </c>
      <c r="F9" s="69">
        <f t="shared" si="0"/>
        <v>7.7759796225461075</v>
      </c>
      <c r="G9" s="68">
        <f>((E9*D9)/(F12)*$L$15)</f>
        <v>26.770691764523214</v>
      </c>
      <c r="H9" s="68">
        <f>J9-J8+$O$20</f>
        <v>26.770691764523207</v>
      </c>
      <c r="I9" s="68">
        <f t="shared" si="13"/>
        <v>135.7014149827429</v>
      </c>
      <c r="J9" s="316">
        <f>I9-$O$20</f>
        <v>135.7014149827429</v>
      </c>
      <c r="K9" s="317">
        <f>IF(($H$20=0),(_xlfn.IFS((C9&lt;='Frame Capacities'!$BT$18),(C9*'Frame Capacities'!$BK$8*'Frame Capacities'!$BM$18),(AND((C9&gt;'Frame Capacities'!$BT$18),(C9&lt;='Frame Capacities'!$BU$18))),((C9-'Frame Capacities'!$BT$18)*'Frame Capacities'!$BK$8*('Frame Capacities'!$BN$18)+'Frame Capacities'!$BF$18),(AND((C9&gt;'Frame Capacities'!$BU$18),(C9&lt;='Frame Capacities'!$BV$18))),((C9-'Frame Capacities'!$BU$18)*'Frame Capacities'!$BK$8*('Frame Capacities'!$BO$18)+'Frame Capacities'!$BG$18),(AND((C9&gt;'Frame Capacities'!$BV$18),(C9&lt;='Frame Capacities'!$BW$18))),((C9-'Frame Capacities'!$BV$18)*'Frame Capacities'!$BK$8*('Frame Capacities'!$BP$18)+'Frame Capacities'!$BH$18),(AND((C9&gt;'Frame Capacities'!$BW$18),(C9&lt;='Frame Capacities'!$BX$18))),((C9-'Frame Capacities'!$BW$18)*'Frame Capacities'!$BK$8*('Frame Capacities'!$BQ$18)+'Frame Capacities'!$BI$18))),((C9-'Frame Capacities'!$BY$18)*'Frame Capacities'!$BK$8*'Frame Capacities'!$BR$18+'Frame Capacities'!$BK$18))</f>
        <v>69.605414982702186</v>
      </c>
      <c r="L9" s="318">
        <f>IF(($H$20=0),(_xlfn.IFS((C9&lt;='Infill Capacities'!$CY$18),(C9*'Infill Capacities'!$CS$18*'Infill Capacities'!$CQ$8),(AND((C9&gt;'Infill Capacities'!$CY$18),(C9&lt;='Infill Capacities'!$CZ$18))),((C9-'Infill Capacities'!$CY$18)*'Infill Capacities'!$CQ$8*('Infill Capacities'!$CT$18)+'Infill Capacities'!$CM$18),(AND((C9&gt;'Infill Capacities'!$CZ$18),(C9&lt;='Infill Capacities'!$DA$18))),((C9-'Infill Capacities'!$CZ$18)*'Infill Capacities'!$CQ$8*('Infill Capacities'!$CU$18)+'Infill Capacities'!$CN$18),(AND((C9&gt;'Infill Capacities'!$DA$18),(C9&lt;='Infill Capacities'!$DB$18))),((C9-'Infill Capacities'!$DA$18)*'Infill Capacities'!$CQ$8*('Infill Capacities'!$CV$18)+'Infill Capacities'!$CP$18))),((C9-'Infill Capacities'!$DC$18)*'Infill Capacities'!$CQ$8*'Infill Capacities'!$CW$18+'Infill Capacities'!$CQ$18))</f>
        <v>66.096000000000004</v>
      </c>
      <c r="M9" s="69">
        <f t="shared" si="1"/>
        <v>3.9850428425211173</v>
      </c>
      <c r="N9" s="319">
        <f t="shared" si="2"/>
        <v>1</v>
      </c>
      <c r="O9" s="320">
        <f t="shared" si="9"/>
        <v>135.7014149827022</v>
      </c>
      <c r="P9" s="421">
        <f t="shared" si="14"/>
        <v>4.0699887904338539E-11</v>
      </c>
      <c r="Q9" s="38"/>
      <c r="R9" s="177">
        <f>IF(($H$20=0),(_xlfn.IFS(('System Capacities'!$N$23+'System Capacities'!$N$36=2),((J9/$G$20)),('System Capacities'!$N$23+'System Capacities'!$N$36=3),(((J9-'System Capacities'!$H$61)/ABS($G$20))+('System Capacities'!$I$61*'System Capacities'!$D$10)),('System Capacities'!$N$23+'System Capacities'!$N$36=4),(((J9-'System Capacities'!$H$62)/($G$20))+('System Capacities'!$I$62*'System Capacities'!$D$10)),('System Capacities'!$N$23+'System Capacities'!$N$36=5),(((J9-'System Capacities'!$H$63)/($G$20))+('System Capacities'!$I$63*'System Capacities'!$D$10)),('System Capacities'!$N$23+'System Capacities'!$N$36=6),(((J9-'System Capacities'!$H$64)/($G$20))+('System Capacities'!$I$64*'System Capacities'!$D$10)),('System Capacities'!$N$23+'System Capacities'!$N$36=7),(((J9-'System Capacities'!$H$65)/($G$20))+('System Capacities'!$I$65*'System Capacities'!$D$10)),('System Capacities'!$N$23+'System Capacities'!$N$36=8),(((J9-'System Capacities'!$H$66)/($G$20))+('System Capacities'!$I$66*'System Capacities'!$D$10)),('System Capacities'!$N$23+'System Capacities'!$N$36=9),(((J9-'System Capacities'!$H$67)/($G$20))+('System Capacities'!$I$67*'System Capacities'!$D$10)),('System Capacities'!$N$23+'System Capacities'!$N$36=10),(((J9-'System Capacities'!$H$68)/($G$20))+('System Capacities'!$I$68*'System Capacities'!$D$10)))),((ABS(J9-$E$20)/(-1*$G$20))+($F$20*'System Capacities'!$D$10)))</f>
        <v>0.18640051880914363</v>
      </c>
      <c r="S9" s="454">
        <f t="shared" si="10"/>
        <v>0.19263209112750757</v>
      </c>
      <c r="T9" s="38"/>
      <c r="U9" s="440">
        <v>2</v>
      </c>
      <c r="V9" s="60">
        <f t="shared" si="3"/>
        <v>5.75</v>
      </c>
      <c r="W9" s="61">
        <f t="shared" si="4"/>
        <v>6.213350626971454E-2</v>
      </c>
      <c r="X9" s="443">
        <f t="shared" si="11"/>
        <v>0.19263209112750757</v>
      </c>
      <c r="Y9" s="441">
        <f>'Structural Information'!$Z$10</f>
        <v>40.367000000000004</v>
      </c>
      <c r="Z9" s="383">
        <f t="shared" si="5"/>
        <v>7.7759796225440985</v>
      </c>
      <c r="AA9" s="60">
        <f>((Y9*X9)/(Z12)*$L$15)</f>
        <v>26.770691764523793</v>
      </c>
      <c r="AB9" s="60">
        <f>AD9-AD8+$O$20</f>
        <v>26.770691764523804</v>
      </c>
      <c r="AC9" s="60">
        <f t="shared" si="15"/>
        <v>135.70141498274268</v>
      </c>
      <c r="AD9" s="444">
        <f>AC9-$O$20</f>
        <v>135.70141498274268</v>
      </c>
      <c r="AE9" s="137">
        <f>IF(($H$20=0),(_xlfn.IFS((W9&lt;='Frame Capacities'!$BT$18),(W9*'Frame Capacities'!$BK$8*'Frame Capacities'!$BM$18),(AND((W9&gt;'Frame Capacities'!$BT$18),(W9&lt;='Frame Capacities'!$BU$18))),((W9-'Frame Capacities'!$BT$18)*'Frame Capacities'!$BK$8*('Frame Capacities'!$BN$18)+'Frame Capacities'!$BF$18),(AND((W9&gt;'Frame Capacities'!$BU$18),(W9&lt;='Frame Capacities'!$BV$18))),((W9-'Frame Capacities'!$BU$18)*'Frame Capacities'!$BK$8*('Frame Capacities'!$BO$18)+'Frame Capacities'!$BG$18),(AND((W9&gt;'Frame Capacities'!$BV$18),(W9&lt;='Frame Capacities'!$BW$18))),((W9-'Frame Capacities'!$BV$18)*'Frame Capacities'!$BK$8*('Frame Capacities'!$BP$18)+'Frame Capacities'!$BH$18),(AND((W9&gt;'Frame Capacities'!$BW$18),(W9&lt;='Frame Capacities'!$BX$18))),((W9-'Frame Capacities'!$BW$18)*'Frame Capacities'!$BK$8*('Frame Capacities'!$BQ$18)+'Frame Capacities'!$BI$18))),((W9-'Frame Capacities'!$BY$18)*'Frame Capacities'!$BK$8*'Frame Capacities'!$BR$18+'Frame Capacities'!$BK$18))</f>
        <v>69.605414982742758</v>
      </c>
      <c r="AF9" s="445">
        <f>IF(($H$20=0),(_xlfn.IFS((W9&lt;='Infill Capacities'!$CY$18),(W9*'Infill Capacities'!$CS$18*'Infill Capacities'!$CQ$8),(AND((W9&gt;'Infill Capacities'!$CY$18),(W9&lt;='Infill Capacities'!$CZ$18))),((W9-'Infill Capacities'!$CY$18)*'Infill Capacities'!$CQ$8*('Infill Capacities'!$CT$18)+'Infill Capacities'!$CM$18),(AND((W9&gt;'Infill Capacities'!$CZ$18),(W9&lt;='Infill Capacities'!$DA$18))),((W9-'Infill Capacities'!$CZ$18)*'Infill Capacities'!$CQ$8*('Infill Capacities'!$CU$18)+'Infill Capacities'!$CN$18),(AND((W9&gt;'Infill Capacities'!$DA$18),(W9&lt;='Infill Capacities'!$DB$18))),((W9-'Infill Capacities'!$DA$18)*'Infill Capacities'!$CQ$8*('Infill Capacities'!$CV$18)+'Infill Capacities'!$CP$18))),((W9-'Infill Capacities'!$DC$18)*'Infill Capacities'!$CQ$8*'Infill Capacities'!$CW$18+'Infill Capacities'!$CQ$18))</f>
        <v>66.096000000000004</v>
      </c>
      <c r="AG9" s="61">
        <f>AE9/$C$20</f>
        <v>3.9850428425234399</v>
      </c>
      <c r="AH9" s="98">
        <f>AF9/$D$20</f>
        <v>1</v>
      </c>
      <c r="AI9" s="446">
        <f t="shared" si="6"/>
        <v>135.70141498274276</v>
      </c>
      <c r="AJ9" s="447">
        <f t="shared" si="16"/>
        <v>0</v>
      </c>
      <c r="AK9" s="322">
        <f t="shared" si="12"/>
        <v>-6.2832895517010857E-16</v>
      </c>
      <c r="AL9" s="38"/>
    </row>
    <row r="10" spans="1:38" x14ac:dyDescent="0.25">
      <c r="A10" s="212">
        <v>1</v>
      </c>
      <c r="B10" s="68">
        <f>B11+'Structural Information'!U11</f>
        <v>2.75</v>
      </c>
      <c r="C10" s="69">
        <f t="shared" si="7"/>
        <v>2.2660262975868861E-3</v>
      </c>
      <c r="D10" s="315">
        <f t="shared" si="8"/>
        <v>6.2315723183639371E-3</v>
      </c>
      <c r="E10" s="68">
        <f>'Structural Information'!$Z$11</f>
        <v>40.367000000000004</v>
      </c>
      <c r="F10" s="69">
        <f t="shared" si="0"/>
        <v>0.25154987977539706</v>
      </c>
      <c r="G10" s="68">
        <f>((E10*D10)/(F12)*$L$15)</f>
        <v>0.86602134030092059</v>
      </c>
      <c r="H10" s="68">
        <f>J10-J9+$O$21</f>
        <v>0.86602134030093225</v>
      </c>
      <c r="I10" s="68">
        <f t="shared" si="13"/>
        <v>136.56743632304384</v>
      </c>
      <c r="J10" s="316">
        <f>I10-$O$21</f>
        <v>136.56743632304384</v>
      </c>
      <c r="K10" s="317">
        <f>IF(($H$21=0),(_xlfn.IFS((C10&lt;='Frame Capacities'!$BT$19),(C10*'Frame Capacities'!$BK$9*'Frame Capacities'!$BM$19),(AND((C10&gt;'Frame Capacities'!$BT$19),(C10&lt;='Frame Capacities'!$BU$19))),((C10-'Frame Capacities'!$BT$19)*'Frame Capacities'!$BK$9*('Frame Capacities'!$BN$19)+'Frame Capacities'!$BF$19),(AND((C10&gt;'Frame Capacities'!$BU$19),(C10&lt;='Frame Capacities'!$BV$19))),((C10-'Frame Capacities'!$BU$19)*'Frame Capacities'!$BK$9*('Frame Capacities'!$BO$19)+'Frame Capacities'!$BG$19),(AND((C10&gt;'Frame Capacities'!$BV$19),(C10&lt;='Frame Capacities'!$BW$19))),((C10-'Frame Capacities'!$BV$19)*'Frame Capacities'!$BK$9*('Frame Capacities'!$BP$19)+'Frame Capacities'!$BH$19),(AND((C10&gt;'Frame Capacities'!$BW$19),(C10&lt;='Frame Capacities'!$BX$19))),((C10-'Frame Capacities'!$BW$19)*'Frame Capacities'!$BK$9*('Frame Capacities'!$BQ$19)+'Frame Capacities'!$BI$19))),((C10-'Frame Capacities'!$BY$19)*'Frame Capacities'!$BK$9*'Frame Capacities'!$BR$19+'Frame Capacities'!$BK$19))</f>
        <v>105.46591492150033</v>
      </c>
      <c r="L10" s="318">
        <f>IF(($H$21=0),(_xlfn.IFS((C10&lt;='Infill Capacities'!$CY$19),(C10*'Infill Capacities'!$CS$19*'Infill Capacities'!$CQ$9),(AND((C10&gt;'Infill Capacities'!$CY$19),(C10&lt;='Infill Capacities'!$CZ$19))),((C10-'Infill Capacities'!$CY$19)*'Infill Capacities'!$CQ$9*('Infill Capacities'!$CT$19)+'Infill Capacities'!$CM$19),(AND((C10&gt;'Infill Capacities'!$CZ$19),(C10&lt;='Infill Capacities'!$DA$19))),((C10-'Infill Capacities'!$CZ$19)*'Infill Capacities'!$CQ$9*('Infill Capacities'!$CU$19)+'Infill Capacities'!$CN$19),(AND((C10&gt;'Infill Capacities'!$DA$19),(C10&lt;='Infill Capacities'!$DB$19))),((C10-'Infill Capacities'!$DA$19)*'Infill Capacities'!$CQ$9*('Infill Capacities'!$CV$19)+'Infill Capacities'!$CP$19))),((C10-'Infill Capacities'!$DC$19)*'Infill Capacities'!$CQ$9*'Infill Capacities'!$CW$19+'Infill Capacities'!$CQ$19))</f>
        <v>31.10152140154355</v>
      </c>
      <c r="M10" s="69">
        <f t="shared" si="1"/>
        <v>0.52630847089436639</v>
      </c>
      <c r="N10" s="319">
        <f t="shared" si="2"/>
        <v>5.0253630277048884E-2</v>
      </c>
      <c r="O10" s="320">
        <f t="shared" si="9"/>
        <v>136.56743632304386</v>
      </c>
      <c r="P10" s="421">
        <f t="shared" si="14"/>
        <v>0</v>
      </c>
      <c r="Q10" s="38"/>
      <c r="R10" s="177">
        <f>IF(($H$21=0),(_xlfn.IFS(('System Capacities'!$N$24+'System Capacities'!$N$37=2),(J10/$G$21),('System Capacities'!$N$24+'System Capacities'!$N$37=3),(((J10-'System Capacities'!$L$61)/($G$21))+('System Capacities'!$M$61*'System Capacities'!$D$11)),('System Capacities'!$N$24+'System Capacities'!$N$37=4),(((J10-'System Capacities'!$L$62)/($G$21))+('System Capacities'!$M$62*'System Capacities'!$D$11)),('System Capacities'!$N$24+'System Capacities'!$N$37=5),(((J10-'System Capacities'!$L$63)/($G$21))+('System Capacities'!$M$63*'System Capacities'!$D$11)),('System Capacities'!$N$24+'System Capacities'!$N$37=6),(((J10-'System Capacities'!$L$64)/($G$21))+('System Capacities'!$M$64*'System Capacities'!$D$11)),('System Capacities'!$N$24+'System Capacities'!$N$37=7),(((J10-'System Capacities'!$L$65)/($G$21))+('System Capacities'!$M$65*'System Capacities'!$D$11)),('System Capacities'!$N$24+'System Capacities'!$N$37=8),(((J10-'System Capacities'!$L$66)/($G$21))+('System Capacities'!$M$66*'System Capacities'!$D$11)),('System Capacities'!$N$24+'System Capacities'!$N$37=9),(((J10-'System Capacities'!$L$67)/($G$21))+('System Capacities'!$M$67*'System Capacities'!$D$11)),('System Capacities'!$N$24+'System Capacities'!$N$37=10),(((J10-'System Capacities'!$L$68)/($G$21))+('System Capacities'!$M$68*'System Capacities'!$D$11)))),((ABS(J10-$E$21)/(-1*$G$21))+($F$21*'System Capacities'!$D$11)))</f>
        <v>6.2315723183639362E-3</v>
      </c>
      <c r="S10" s="454">
        <f t="shared" si="10"/>
        <v>6.2315723183639362E-3</v>
      </c>
      <c r="T10" s="38"/>
      <c r="U10" s="440">
        <v>1</v>
      </c>
      <c r="V10" s="60">
        <f t="shared" si="3"/>
        <v>2.75</v>
      </c>
      <c r="W10" s="61">
        <f t="shared" si="4"/>
        <v>2.2660262975868861E-3</v>
      </c>
      <c r="X10" s="443">
        <f t="shared" si="11"/>
        <v>6.2315723183639362E-3</v>
      </c>
      <c r="Y10" s="441">
        <f>'Structural Information'!$Z$11</f>
        <v>40.367000000000004</v>
      </c>
      <c r="Z10" s="383">
        <f t="shared" si="5"/>
        <v>0.25154987977539706</v>
      </c>
      <c r="AA10" s="60">
        <f>((Y10*X10)/(Z12)*$L$15)</f>
        <v>0.86602134030116307</v>
      </c>
      <c r="AB10" s="60">
        <f>AD10-AD9+$O$21</f>
        <v>0.86602134030115963</v>
      </c>
      <c r="AC10" s="60">
        <f t="shared" si="15"/>
        <v>136.56743632304384</v>
      </c>
      <c r="AD10" s="444">
        <f>AC10-$O$21</f>
        <v>136.56743632304384</v>
      </c>
      <c r="AE10" s="137">
        <f>IF(($H$21=0),(_xlfn.IFS((W10&lt;='Frame Capacities'!$BT$19),(W10*'Frame Capacities'!$BK$9*'Frame Capacities'!$BM$19),(AND((W10&gt;'Frame Capacities'!$BT$19),(W10&lt;='Frame Capacities'!$BU$19))),((W10-'Frame Capacities'!$BT$19)*'Frame Capacities'!$BK$9*('Frame Capacities'!$BN$19)+'Frame Capacities'!$BF$19),(AND((W10&gt;'Frame Capacities'!$BU$19),(W10&lt;='Frame Capacities'!$BV$19))),((W10-'Frame Capacities'!$BU$19)*'Frame Capacities'!$BK$9*('Frame Capacities'!$BO$19)+'Frame Capacities'!$BG$19),(AND((W10&gt;'Frame Capacities'!$BV$19),(W10&lt;='Frame Capacities'!$BW$19))),((W10-'Frame Capacities'!$BV$19)*'Frame Capacities'!$BK$9*('Frame Capacities'!$BP$19)+'Frame Capacities'!$BH$19),(AND((W10&gt;'Frame Capacities'!$BW$19),(W10&lt;='Frame Capacities'!$BX$19))),((W10-'Frame Capacities'!$BW$19)*'Frame Capacities'!$BK$9*('Frame Capacities'!$BQ$19)+'Frame Capacities'!$BI$19))),((W10-'Frame Capacities'!$BY$19)*'Frame Capacities'!$BK$9*'Frame Capacities'!$BR$19+'Frame Capacities'!$BK$19))</f>
        <v>105.46591492150033</v>
      </c>
      <c r="AF10" s="445">
        <f>IF(($H$21=0),(_xlfn.IFS((W10&lt;='Infill Capacities'!$CY$19),(W10*'Infill Capacities'!$CS$19*'Infill Capacities'!$CQ$9),(AND((W10&gt;'Infill Capacities'!$CY$19),(W10&lt;='Infill Capacities'!$CZ$19))),((W10-'Infill Capacities'!$CY$19)*'Infill Capacities'!$CQ$9*('Infill Capacities'!$CT$19)+'Infill Capacities'!$CM$19),(AND((W10&gt;'Infill Capacities'!$CZ$19),(W10&lt;='Infill Capacities'!$DA$19))),((W10-'Infill Capacities'!$CZ$19)*'Infill Capacities'!$CQ$9*('Infill Capacities'!$CU$19)+'Infill Capacities'!$CN$19),(AND((W10&gt;'Infill Capacities'!$DA$19),(W10&lt;='Infill Capacities'!$DB$19))),((W10-'Infill Capacities'!$DA$19)*'Infill Capacities'!$CQ$9*('Infill Capacities'!$CV$19)+'Infill Capacities'!$CP$19))),((W10-'Infill Capacities'!$DC$19)*'Infill Capacities'!$CQ$9*'Infill Capacities'!$CW$19+'Infill Capacities'!$CQ$19))</f>
        <v>31.10152140154355</v>
      </c>
      <c r="AG10" s="61">
        <f>AE10/$C$21</f>
        <v>0.52630847089436639</v>
      </c>
      <c r="AH10" s="98">
        <f>AF10/$D$21</f>
        <v>5.0253630277048884E-2</v>
      </c>
      <c r="AI10" s="446">
        <f t="shared" si="6"/>
        <v>136.56743632304386</v>
      </c>
      <c r="AJ10" s="447">
        <f t="shared" si="16"/>
        <v>0</v>
      </c>
      <c r="AK10" s="322">
        <f t="shared" si="12"/>
        <v>-2.0811483466068581E-16</v>
      </c>
      <c r="AL10" s="38"/>
    </row>
    <row r="11" spans="1:38" x14ac:dyDescent="0.25">
      <c r="A11" s="212">
        <v>0</v>
      </c>
      <c r="B11" s="68">
        <f>'Structural Information'!U12</f>
        <v>0</v>
      </c>
      <c r="C11" s="69" t="s">
        <v>83</v>
      </c>
      <c r="D11" s="315">
        <f t="shared" si="8"/>
        <v>0</v>
      </c>
      <c r="E11" s="68" t="s">
        <v>83</v>
      </c>
      <c r="F11" s="69">
        <v>0</v>
      </c>
      <c r="G11" s="68" t="s">
        <v>83</v>
      </c>
      <c r="H11" s="68" t="s">
        <v>83</v>
      </c>
      <c r="I11" s="68" t="s">
        <v>83</v>
      </c>
      <c r="J11" s="68" t="s">
        <v>83</v>
      </c>
      <c r="K11" s="317" t="s">
        <v>83</v>
      </c>
      <c r="L11" s="317" t="s">
        <v>83</v>
      </c>
      <c r="M11" s="224" t="s">
        <v>83</v>
      </c>
      <c r="N11" s="323" t="s">
        <v>83</v>
      </c>
      <c r="O11" s="324" t="s">
        <v>83</v>
      </c>
      <c r="P11" s="325" t="s">
        <v>83</v>
      </c>
      <c r="Q11" s="38"/>
      <c r="R11" s="178">
        <v>0</v>
      </c>
      <c r="S11" s="455">
        <f>R11</f>
        <v>0</v>
      </c>
      <c r="T11" s="38"/>
      <c r="U11" s="439">
        <v>0</v>
      </c>
      <c r="V11" s="100">
        <f t="shared" si="3"/>
        <v>0</v>
      </c>
      <c r="W11" s="174" t="s">
        <v>83</v>
      </c>
      <c r="X11" s="448">
        <f t="shared" si="11"/>
        <v>0</v>
      </c>
      <c r="Y11" s="237" t="str">
        <f>E11</f>
        <v>-</v>
      </c>
      <c r="Z11" s="385">
        <v>0</v>
      </c>
      <c r="AA11" s="100" t="s">
        <v>83</v>
      </c>
      <c r="AB11" s="100"/>
      <c r="AC11" s="449" t="s">
        <v>83</v>
      </c>
      <c r="AD11" s="449" t="s">
        <v>83</v>
      </c>
      <c r="AE11" s="134" t="s">
        <v>83</v>
      </c>
      <c r="AF11" s="134" t="s">
        <v>83</v>
      </c>
      <c r="AG11" s="161" t="s">
        <v>83</v>
      </c>
      <c r="AH11" s="134" t="s">
        <v>83</v>
      </c>
      <c r="AI11" s="450" t="s">
        <v>83</v>
      </c>
      <c r="AJ11" s="451" t="s">
        <v>83</v>
      </c>
      <c r="AK11" s="38"/>
      <c r="AL11" s="38"/>
    </row>
    <row r="12" spans="1:38" x14ac:dyDescent="0.25">
      <c r="A12" s="5"/>
      <c r="B12" s="422"/>
      <c r="C12" s="422"/>
      <c r="D12" s="422"/>
      <c r="E12" s="246" t="s">
        <v>95</v>
      </c>
      <c r="F12" s="327">
        <f>SUM(F5:F11)</f>
        <v>39.668216693550399</v>
      </c>
      <c r="G12" s="422"/>
      <c r="H12" s="422"/>
      <c r="I12" s="422"/>
      <c r="J12" s="422"/>
      <c r="K12" s="422"/>
      <c r="L12" s="422"/>
      <c r="M12" s="422"/>
      <c r="N12" s="422"/>
      <c r="O12" s="422"/>
      <c r="P12" s="6"/>
      <c r="Q12" s="38"/>
      <c r="R12" s="38"/>
      <c r="S12" s="38"/>
      <c r="T12" s="38"/>
      <c r="U12" s="38"/>
      <c r="V12" s="38"/>
      <c r="W12" s="38"/>
      <c r="X12" s="38"/>
      <c r="Y12" s="452" t="s">
        <v>95</v>
      </c>
      <c r="Z12" s="453">
        <f>SUM(Z5:Z11)</f>
        <v>39.668216693539293</v>
      </c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</row>
    <row r="13" spans="1:38" x14ac:dyDescent="0.25">
      <c r="A13" s="5"/>
      <c r="B13" s="422"/>
      <c r="C13" s="422"/>
      <c r="D13" s="422"/>
      <c r="E13" s="422"/>
      <c r="F13" s="422"/>
      <c r="G13" s="422"/>
      <c r="H13" s="422"/>
      <c r="I13" s="422"/>
      <c r="J13" s="422"/>
      <c r="K13" s="422"/>
      <c r="L13" s="422"/>
      <c r="M13" s="422"/>
      <c r="N13" s="422"/>
      <c r="O13" s="422"/>
      <c r="P13" s="6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</row>
    <row r="14" spans="1:38" ht="15" customHeight="1" thickBot="1" x14ac:dyDescent="0.3">
      <c r="A14" s="5"/>
      <c r="B14" s="876" t="s">
        <v>100</v>
      </c>
      <c r="C14" s="876"/>
      <c r="D14" s="876"/>
      <c r="E14" s="876"/>
      <c r="F14" s="876"/>
      <c r="G14" s="876"/>
      <c r="H14" s="876"/>
      <c r="I14" s="423"/>
      <c r="J14" s="423"/>
      <c r="K14" s="863" t="s">
        <v>293</v>
      </c>
      <c r="L14" s="863"/>
      <c r="M14" s="422"/>
      <c r="N14" s="712" t="s">
        <v>464</v>
      </c>
      <c r="O14" s="712"/>
      <c r="P14" s="6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</row>
    <row r="15" spans="1:38" ht="16.5" thickBot="1" x14ac:dyDescent="0.3">
      <c r="A15" s="5"/>
      <c r="B15" s="465" t="s">
        <v>9</v>
      </c>
      <c r="C15" s="465" t="s">
        <v>210</v>
      </c>
      <c r="D15" s="465" t="s">
        <v>211</v>
      </c>
      <c r="E15" s="465" t="s">
        <v>85</v>
      </c>
      <c r="F15" s="465" t="s">
        <v>87</v>
      </c>
      <c r="G15" s="465" t="s">
        <v>196</v>
      </c>
      <c r="H15" s="493" t="s">
        <v>466</v>
      </c>
      <c r="I15" s="494" t="s">
        <v>467</v>
      </c>
      <c r="J15" s="422"/>
      <c r="K15" s="328" t="s">
        <v>294</v>
      </c>
      <c r="L15" s="317">
        <f>S68</f>
        <v>136.56743632304384</v>
      </c>
      <c r="M15" s="56"/>
      <c r="N15" s="463" t="s">
        <v>460</v>
      </c>
      <c r="O15" s="463" t="s">
        <v>461</v>
      </c>
      <c r="P15" s="6"/>
      <c r="Q15" s="38"/>
      <c r="R15" s="853" t="s">
        <v>270</v>
      </c>
      <c r="S15" s="854"/>
      <c r="T15" s="2"/>
      <c r="U15" s="853" t="s">
        <v>270</v>
      </c>
      <c r="V15" s="884"/>
      <c r="W15" s="884"/>
      <c r="X15" s="884"/>
      <c r="Y15" s="884"/>
      <c r="Z15" s="884"/>
      <c r="AA15" s="884"/>
      <c r="AB15" s="884"/>
      <c r="AC15" s="884"/>
      <c r="AD15" s="884"/>
      <c r="AE15" s="884"/>
      <c r="AF15" s="884"/>
      <c r="AG15" s="884"/>
      <c r="AH15" s="884"/>
      <c r="AI15" s="884"/>
      <c r="AJ15" s="854"/>
      <c r="AK15" s="38"/>
      <c r="AL15" s="38"/>
    </row>
    <row r="16" spans="1:38" ht="15.75" customHeight="1" x14ac:dyDescent="0.25">
      <c r="A16" s="5"/>
      <c r="B16" s="475">
        <v>6</v>
      </c>
      <c r="C16" s="68">
        <f>'System Capacities'!N6</f>
        <v>10.57254973689585</v>
      </c>
      <c r="D16" s="68">
        <f>'System Capacities'!O6</f>
        <v>171.55659581870771</v>
      </c>
      <c r="E16" s="68">
        <f>IF(($H$16=0),('System Capacities'!P6),('System Capacities'!D56))</f>
        <v>182.12914555560354</v>
      </c>
      <c r="F16" s="68">
        <f>IF(($H$16=0),('System Capacities'!Q6),('System Capacities'!E56))</f>
        <v>9.8813489336206217E-4</v>
      </c>
      <c r="G16" s="68">
        <f>IF(($H$16=0),('System Capacities'!R6),('System Capacities'!F56))</f>
        <v>61438.691815284932</v>
      </c>
      <c r="H16" s="495">
        <v>1</v>
      </c>
      <c r="I16" s="422"/>
      <c r="J16" s="422"/>
      <c r="K16" s="422"/>
      <c r="L16" s="422"/>
      <c r="M16" s="422"/>
      <c r="N16" s="429">
        <v>6</v>
      </c>
      <c r="O16" s="430">
        <f t="shared" ref="O16:O21" si="17">P68</f>
        <v>0</v>
      </c>
      <c r="P16" s="6"/>
      <c r="Q16" s="38"/>
      <c r="R16" s="585" t="s">
        <v>98</v>
      </c>
      <c r="S16" s="581" t="s">
        <v>97</v>
      </c>
      <c r="T16" s="38"/>
      <c r="U16" s="581" t="s">
        <v>0</v>
      </c>
      <c r="V16" s="581" t="s">
        <v>89</v>
      </c>
      <c r="W16" s="581" t="s">
        <v>119</v>
      </c>
      <c r="X16" s="585" t="s">
        <v>91</v>
      </c>
      <c r="Y16" s="581" t="s">
        <v>93</v>
      </c>
      <c r="Z16" s="581" t="s">
        <v>94</v>
      </c>
      <c r="AA16" s="585" t="s">
        <v>456</v>
      </c>
      <c r="AB16" s="585" t="s">
        <v>457</v>
      </c>
      <c r="AC16" s="585" t="s">
        <v>458</v>
      </c>
      <c r="AD16" s="580" t="s">
        <v>459</v>
      </c>
      <c r="AE16" s="585" t="s">
        <v>207</v>
      </c>
      <c r="AF16" s="585" t="s">
        <v>206</v>
      </c>
      <c r="AG16" s="585" t="s">
        <v>208</v>
      </c>
      <c r="AH16" s="585" t="s">
        <v>209</v>
      </c>
      <c r="AI16" s="845" t="s">
        <v>391</v>
      </c>
      <c r="AJ16" s="845" t="s">
        <v>451</v>
      </c>
      <c r="AK16" s="872" t="s">
        <v>265</v>
      </c>
      <c r="AL16" s="38"/>
    </row>
    <row r="17" spans="1:38" x14ac:dyDescent="0.25">
      <c r="A17" s="5"/>
      <c r="B17" s="475">
        <v>5</v>
      </c>
      <c r="C17" s="68">
        <f>'System Capacities'!N7</f>
        <v>16.292206460508616</v>
      </c>
      <c r="D17" s="68">
        <f>'System Capacities'!O7</f>
        <v>348.81217408162945</v>
      </c>
      <c r="E17" s="68">
        <f>IF(($H$17=0),('System Capacities'!P7),('System Capacities'!H56))</f>
        <v>365.10438054213807</v>
      </c>
      <c r="F17" s="68">
        <f>IF(($H$17=0),('System Capacities'!Q7),('System Capacities'!I56))</f>
        <v>1.4977593939212409E-3</v>
      </c>
      <c r="G17" s="68">
        <f>IF(($H$17=0),('System Capacities'!R7),('System Capacities'!J56))</f>
        <v>81255.681436315077</v>
      </c>
      <c r="H17" s="495">
        <v>1</v>
      </c>
      <c r="I17" s="423"/>
      <c r="J17" s="422"/>
      <c r="K17" s="422"/>
      <c r="L17" s="422"/>
      <c r="M17" s="422"/>
      <c r="N17" s="429">
        <v>5</v>
      </c>
      <c r="O17" s="430">
        <f t="shared" si="17"/>
        <v>0</v>
      </c>
      <c r="P17" s="6"/>
      <c r="Q17" s="38"/>
      <c r="R17" s="580"/>
      <c r="S17" s="582"/>
      <c r="T17" s="38"/>
      <c r="U17" s="582"/>
      <c r="V17" s="582"/>
      <c r="W17" s="582"/>
      <c r="X17" s="580"/>
      <c r="Y17" s="582"/>
      <c r="Z17" s="582"/>
      <c r="AA17" s="580"/>
      <c r="AB17" s="580"/>
      <c r="AC17" s="580"/>
      <c r="AD17" s="847"/>
      <c r="AE17" s="580"/>
      <c r="AF17" s="580"/>
      <c r="AG17" s="580"/>
      <c r="AH17" s="580"/>
      <c r="AI17" s="846"/>
      <c r="AJ17" s="846"/>
      <c r="AK17" s="872"/>
      <c r="AL17" s="38"/>
    </row>
    <row r="18" spans="1:38" x14ac:dyDescent="0.25">
      <c r="A18" s="5"/>
      <c r="B18" s="475">
        <v>4</v>
      </c>
      <c r="C18" s="68">
        <f>'System Capacities'!N8</f>
        <v>25.447513777167412</v>
      </c>
      <c r="D18" s="68">
        <f>'System Capacities'!O8</f>
        <v>505.51466328235244</v>
      </c>
      <c r="E18" s="68">
        <f>IF(($H$18=0),('System Capacities'!P8),('System Capacities'!L56))</f>
        <v>530.96217705951983</v>
      </c>
      <c r="F18" s="68">
        <f>IF(($H$18=0),('System Capacities'!Q8),('System Capacities'!M56))</f>
        <v>2.0066112110200067E-3</v>
      </c>
      <c r="G18" s="68">
        <f>IF(($H$18=0),('System Capacities'!R8),('System Capacities'!N56))</f>
        <v>88202.134714081723</v>
      </c>
      <c r="H18" s="495">
        <v>1</v>
      </c>
      <c r="I18" s="422"/>
      <c r="J18" s="422"/>
      <c r="K18" s="422"/>
      <c r="L18" s="424"/>
      <c r="M18" s="422"/>
      <c r="N18" s="429">
        <v>4</v>
      </c>
      <c r="O18" s="430">
        <f t="shared" si="17"/>
        <v>0</v>
      </c>
      <c r="P18" s="6"/>
      <c r="Q18" s="38"/>
      <c r="R18" s="177">
        <f>IF(($H$16=0),(_xlfn.IFS(('System Capacities'!$N$19+'System Capacities'!$N$32=2),((AD5/$G$16)),('System Capacities'!$N$19+'System Capacities'!$N$32=3),(((AD5-'System Capacities'!$D$47)/($G$16))+('System Capacities'!$E$47*'System Capacities'!$D$6)),('System Capacities'!$N$19+'System Capacities'!$N$32=4),(((AD5-'System Capacities'!$D$48)/($G$16))+('System Capacities'!$E$48*'System Capacities'!$D$6)),('System Capacities'!$N$19+'System Capacities'!$N$32=5),(((AD5-'System Capacities'!$D$49)/($G$16))+('System Capacities'!$E$49*'System Capacities'!$D$6)),('System Capacities'!$N$19+'System Capacities'!$N$32=6),(((AD5-'System Capacities'!$D$50)/($G$16))+('System Capacities'!$E$50*'System Capacities'!$D$6)),('System Capacities'!$N$19+'System Capacities'!$N$32=7),(((AD5-'System Capacities'!$D$51)/($G$16))+('System Capacities'!$E$51*'System Capacities'!$D$6)),('System Capacities'!$N$19+'System Capacities'!$N$32=8),(((AD5-'System Capacities'!$D$52)/($G$16))+('System Capacities'!$E$52*'System Capacities'!$D$6)),('System Capacities'!$N$19+'System Capacities'!$N$32=9),(((AD5-'System Capacities'!$D$53)/($G$16))+('System Capacities'!$E$53*'System Capacities'!$D$6)),('System Capacities'!$N$19+'System Capacities'!$N$32=8),(((AD5-'System Capacities'!$D$54)/($G$16))+('System Capacities'!$E$54*'System Capacities'!$D$6)))),((ABS(AD5-$E$16)/(-1*$G$16))+($F$16*'System Capacities'!$D$6)))</f>
        <v>4.2404238141735941E-4</v>
      </c>
      <c r="S18" s="454">
        <f t="shared" ref="S18:S23" si="18">S19+R18</f>
        <v>0.19995986072668318</v>
      </c>
      <c r="T18" s="38"/>
      <c r="U18" s="440">
        <v>6</v>
      </c>
      <c r="V18" s="60">
        <f t="shared" ref="V18:V24" si="19">V5</f>
        <v>17.75</v>
      </c>
      <c r="W18" s="61">
        <f t="shared" ref="W18:W23" si="20">R18/(V18-V19)</f>
        <v>1.4134746047245314E-4</v>
      </c>
      <c r="X18" s="443">
        <f t="shared" ref="X18:X24" si="21">S18</f>
        <v>0.19995986072668318</v>
      </c>
      <c r="Y18" s="441">
        <f>'Structural Information'!$Z$6</f>
        <v>37.8446</v>
      </c>
      <c r="Z18" s="383">
        <f t="shared" ref="Z18:Z23" si="22">Y18*X18</f>
        <v>7.5674009452570337</v>
      </c>
      <c r="AA18" s="60">
        <f>((Y18*X18)/(Z25)*$L$15)</f>
        <v>26.052609188520652</v>
      </c>
      <c r="AB18" s="60">
        <f>AD18+$O$16</f>
        <v>26.052609188520652</v>
      </c>
      <c r="AC18" s="60">
        <f>AA18</f>
        <v>26.052609188520652</v>
      </c>
      <c r="AD18" s="464">
        <f>AC18-$O$16</f>
        <v>26.052609188520652</v>
      </c>
      <c r="AE18" s="135">
        <f>IF(($H$16=0),(_xlfn.IFS((W18&lt;='Frame Capacities'!$BT$14),(W18*'Frame Capacities'!$BK$4*'Frame Capacities'!$BM$14),(AND((W18&gt;'Frame Capacities'!$BT$14),(W18&lt;='Frame Capacities'!$BU$14))),((W18-'Frame Capacities'!$BT$14)*'Frame Capacities'!$BK$4*('Frame Capacities'!$BN$14)+'Frame Capacities'!$BF$14),(AND((W18&gt;'Frame Capacities'!$BU$14),(W18&lt;='Frame Capacities'!$BV$14))),((W18-'Frame Capacities'!$BU$14)*'Frame Capacities'!$BK$4*('Frame Capacities'!$BO$14)+'Frame Capacities'!$BG$14),(AND((W18&gt;'Frame Capacities'!$BV$14),(W18&lt;='Frame Capacities'!$BW$14))),((W18-'Frame Capacities'!$BV$14)*'Frame Capacities'!$BK$4*('Frame Capacities'!$BP$14)+'Frame Capacities'!$BH$14),(AND((W18&gt;'Frame Capacities'!$BW$14),(W18&lt;='Frame Capacities'!$BX$14))),((W18-'Frame Capacities'!$BW$14)*'Frame Capacities'!$BK$4*('Frame Capacities'!$BQ$14)+'Frame Capacities'!$BI$14))),((W18-'Frame Capacities'!$BY$14)*'Frame Capacities'!$BK$4*'Frame Capacities'!$BR$14+'Frame Capacities'!$BK$14))</f>
        <v>1.5123472170326107</v>
      </c>
      <c r="AF18" s="496">
        <f>IF(($H$16=0),(_xlfn.IFS((W18&lt;='Infill Capacities'!$CY$14),(W18*'Infill Capacities'!$CS$14*'Infill Capacities'!$CQ$4),(AND((W18&gt;'Infill Capacities'!$CY$14),(W18&lt;='Infill Capacities'!$CZ$14))),((W18-'Infill Capacities'!$CY$14)*'Infill Capacities'!$CQ$4*('Infill Capacities'!$CT$14)+'Infill Capacities'!$CM$14),(AND((W18&gt;'Infill Capacities'!$CZ$14),(W18&lt;='Infill Capacities'!$DA$14))),((W18-'Infill Capacities'!$CZ$14)*'Infill Capacities'!$CQ$4*('Infill Capacities'!$CU$14)+'Infill Capacities'!$CN$14),(AND((W18&gt;'Infill Capacities'!$DA$14),(W18&lt;='Infill Capacities'!$DB$14))),((W18-'Infill Capacities'!$DA$14)*'Infill Capacities'!$CQ$4*('Infill Capacities'!$CV$14)+'Infill Capacities'!$CP$14))),((W18-'Infill Capacities'!$DC$14)*'Infill Capacities'!$CQ$4*'Infill Capacities'!$CW$14+'Infill Capacities'!$CQ$14))</f>
        <v>24.540261971488064</v>
      </c>
      <c r="AG18" s="61">
        <f>AE18/$C$16</f>
        <v>0.14304470110505652</v>
      </c>
      <c r="AH18" s="98">
        <f>AF18/$D$16</f>
        <v>0.14304470110505671</v>
      </c>
      <c r="AI18" s="446">
        <f t="shared" ref="AI18:AI23" si="23">AE18+AF18</f>
        <v>26.052609188520677</v>
      </c>
      <c r="AJ18" s="447">
        <f>AD18-AI18</f>
        <v>0</v>
      </c>
      <c r="AK18" s="322">
        <f>(AD18-(AI18))/AD18</f>
        <v>-9.5456833408307261E-16</v>
      </c>
      <c r="AL18" s="38"/>
    </row>
    <row r="19" spans="1:38" x14ac:dyDescent="0.25">
      <c r="A19" s="5"/>
      <c r="B19" s="475">
        <v>3</v>
      </c>
      <c r="C19" s="68">
        <f>'System Capacities'!N9</f>
        <v>67.033560210219122</v>
      </c>
      <c r="D19" s="68">
        <f>'System Capacities'!O9</f>
        <v>606.85346160253027</v>
      </c>
      <c r="E19" s="68">
        <f>IF(($H$19=0),('System Capacities'!P9),('System Capacities'!D70))</f>
        <v>673.88702181274937</v>
      </c>
      <c r="F19" s="68">
        <f>IF(($H$19=0),('System Capacities'!Q9),('System Capacities'!E70))</f>
        <v>3.7308400584711251E-3</v>
      </c>
      <c r="G19" s="68">
        <f>IF(($H$19=0),('System Capacities'!R9),('System Capacities'!F70))</f>
        <v>96182.341110731155</v>
      </c>
      <c r="H19" s="495">
        <v>1</v>
      </c>
      <c r="I19" s="422"/>
      <c r="J19" s="422"/>
      <c r="K19" s="425" t="s">
        <v>287</v>
      </c>
      <c r="L19" s="321">
        <v>1</v>
      </c>
      <c r="M19" s="422"/>
      <c r="N19" s="431">
        <v>3</v>
      </c>
      <c r="O19" s="430">
        <f t="shared" si="17"/>
        <v>0</v>
      </c>
      <c r="P19" s="6"/>
      <c r="Q19" s="38"/>
      <c r="R19" s="177">
        <f>IF(($H$17=0),(_xlfn.IFS(('System Capacities'!$N$20+'System Capacities'!$N$33=2),((AD6/$G$17)),('System Capacities'!$N$20+'System Capacities'!$N$33=3),(((AD6-'System Capacities'!$H$47)/($G$17))+('System Capacities'!$I$47*'System Capacities'!$D$7)),('System Capacities'!$N$20+'System Capacities'!$N$33=4),(((AD6-'System Capacities'!$H$48)/($G$17))+('System Capacities'!$I$48*'System Capacities'!$D$7)),('System Capacities'!$N$20+'System Capacities'!$N$33=5),(((AD6-'System Capacities'!H$49)/($G$17))+('System Capacities'!$I$49*'System Capacities'!$D$7)),('System Capacities'!$N$20+'System Capacities'!$N$33=6),(((AD6-'System Capacities'!$H$50)/($G$17))+('System Capacities'!$I$50*'System Capacities'!$D$7)),('System Capacities'!$N$20+'System Capacities'!$N$33=7),(((AD6-'System Capacities'!$H$51)/($G$17))+('System Capacities'!$I$51*'System Capacities'!$D$7)),('System Capacities'!N33+'System Capacities'!$N$33=8),(((AD6-'System Capacities'!$H$52)/($G$17))+('System Capacities'!$I$52*'System Capacities'!$D$7)),('System Capacities'!N33+'System Capacities'!$N$33=9),(((AD6-'System Capacities'!$H$53)/($G$17))+('System Capacities'!$I$53*'System Capacities'!$D$7)),('System Capacities'!N33+'System Capacities'!$N$33=10),(((AD6-'System Capacities'!$H$54)/($G$17))+('System Capacities'!$I$54*'System Capacities'!$D$7)))),((ABS(AD6-$E$17)/(-1*$G$17))+($F$17*'System Capacities'!$D$7)))</f>
        <v>6.6189505567759276E-4</v>
      </c>
      <c r="S19" s="454">
        <f t="shared" si="18"/>
        <v>0.19953581834526582</v>
      </c>
      <c r="T19" s="38"/>
      <c r="U19" s="440">
        <v>5</v>
      </c>
      <c r="V19" s="60">
        <f t="shared" si="19"/>
        <v>14.75</v>
      </c>
      <c r="W19" s="61">
        <f t="shared" si="20"/>
        <v>2.2063168522586425E-4</v>
      </c>
      <c r="X19" s="443">
        <f t="shared" si="21"/>
        <v>0.19953581834526582</v>
      </c>
      <c r="Y19" s="441">
        <f>'Structural Information'!$Z$7</f>
        <v>40.367000000000004</v>
      </c>
      <c r="Z19" s="383">
        <f t="shared" si="22"/>
        <v>8.0546623791433465</v>
      </c>
      <c r="AA19" s="60">
        <f>((Y19*X19)/(Z25)*$L$15)</f>
        <v>27.730124599889827</v>
      </c>
      <c r="AB19" s="60">
        <f>AD19-AD18+$O$17</f>
        <v>27.73012459988983</v>
      </c>
      <c r="AC19" s="60">
        <f>AC18+AA19</f>
        <v>53.782733788410482</v>
      </c>
      <c r="AD19" s="444">
        <f>AC19-$O$17</f>
        <v>53.782733788410482</v>
      </c>
      <c r="AE19" s="137">
        <f>IF(($H$17=0),(_xlfn.IFS((W19&lt;='Frame Capacities'!$BT$15),(W19*'Frame Capacities'!$BK$5*'Frame Capacities'!$BM$15),(AND((W19&gt;'Frame Capacities'!$BT$15),(W19&lt;='Frame Capacities'!$BU$15))),((W19-'Frame Capacities'!$BT$15)*'Frame Capacities'!$BK$5*('Frame Capacities'!$BN$15)+'Frame Capacities'!$BF$15),(AND((W19&gt;'Frame Capacities'!$BU$15),(W19&lt;='Frame Capacities'!$BV$15))),((W19-'Frame Capacities'!$BU$15)*'Frame Capacities'!$BK$5*('Frame Capacities'!$BO$15)+'Frame Capacities'!$BG$15),(AND((W19&gt;'Frame Capacities'!$BV$15),(W19&lt;='Frame Capacities'!$BW$15))),((W19-'Frame Capacities'!$BV$15)*'Frame Capacities'!$BK$5*('Frame Capacities'!$BP$15)+'Frame Capacities'!$BH$15),(AND((W19&gt;'Frame Capacities'!$BW$15),(W19&lt;='Frame Capacities'!$BX$15))),((W19-'Frame Capacities'!$BW$15)*'Frame Capacities'!$BK$5*('Frame Capacities'!$BQ$15)+'Frame Capacities'!$BI$15))),((W19-'Frame Capacities'!$BY$15)*'Frame Capacities'!$BK$5*'Frame Capacities'!$BR$15+'Frame Capacities'!$BK$15))</f>
        <v>2.399969569223579</v>
      </c>
      <c r="AF19" s="445">
        <f>IF(($H$17=0),(_xlfn.IFS((W19&lt;='Infill Capacities'!$CY$15),(W19*'Infill Capacities'!$CS$15*'Infill Capacities'!$CQ$5),(AND((W19&gt;'Infill Capacities'!$CY$15),(W19&lt;='Infill Capacities'!$CZ$15))),((W19-'Infill Capacities'!$CY$15)*'Infill Capacities'!$CQ$5*('Infill Capacities'!$CT$15)+'Infill Capacities'!$CM$15),(AND((W19&gt;'Infill Capacities'!$CZ$15),(W19&lt;='Infill Capacities'!$DA$15))),((W19-'Infill Capacities'!$CZ$15)*'Infill Capacities'!$CQ$5*('Infill Capacities'!$CU$15)+'Infill Capacities'!$CN$15),(AND((W19&gt;'Infill Capacities'!$DA$15),(W19&lt;='Infill Capacities'!$DB$15))),((W19-'Infill Capacities'!$DA$15)*'Infill Capacities'!$CQ$5*('Infill Capacities'!$CV$15)+'Infill Capacities'!$CP$15))),((W19-'Infill Capacities'!$DC$15)*'Infill Capacities'!$CQ$5*'Infill Capacities'!$CW$15+'Infill Capacities'!$CQ$15))</f>
        <v>51.382764219186981</v>
      </c>
      <c r="AG19" s="61">
        <f>AE19/$C$17</f>
        <v>0.14730782936252182</v>
      </c>
      <c r="AH19" s="98">
        <f>AF19/$D$17</f>
        <v>0.14730782936252199</v>
      </c>
      <c r="AI19" s="446">
        <f t="shared" si="23"/>
        <v>53.78273378841056</v>
      </c>
      <c r="AJ19" s="447">
        <f>AD19-AI19</f>
        <v>-7.815970093361102E-14</v>
      </c>
      <c r="AK19" s="322">
        <f t="shared" ref="AK19:AK23" si="24">(AD19-(AI19))/AD19</f>
        <v>-1.4532489412141684E-15</v>
      </c>
      <c r="AL19" s="38"/>
    </row>
    <row r="20" spans="1:38" x14ac:dyDescent="0.25">
      <c r="A20" s="5"/>
      <c r="B20" s="475">
        <v>2</v>
      </c>
      <c r="C20" s="68">
        <f>'System Capacities'!N10</f>
        <v>17.466666666666669</v>
      </c>
      <c r="D20" s="68">
        <f>'System Capacities'!O10</f>
        <v>66.096000000000004</v>
      </c>
      <c r="E20" s="68">
        <f>IF(($H$20=0),('System Capacities'!P10),('System Capacities'!H70))</f>
        <v>91.99487743423262</v>
      </c>
      <c r="F20" s="68">
        <f>IF(($H$20=0),('System Capacities'!Q10),('System Capacities'!I70))</f>
        <v>0.08</v>
      </c>
      <c r="G20" s="68">
        <f>IF(($H$20=0),('System Capacities'!R10),('System Capacities'!J70))</f>
        <v>-815.42836940679661</v>
      </c>
      <c r="H20" s="495">
        <v>0</v>
      </c>
      <c r="I20" s="422"/>
      <c r="J20" s="422"/>
      <c r="K20" s="422"/>
      <c r="L20" s="424"/>
      <c r="M20" s="422"/>
      <c r="N20" s="431">
        <v>2</v>
      </c>
      <c r="O20" s="430">
        <f t="shared" si="17"/>
        <v>0</v>
      </c>
      <c r="P20" s="6"/>
      <c r="Q20" s="38"/>
      <c r="R20" s="177">
        <f>IF(($H$18=0),(_xlfn.IFS(('System Capacities'!$N$21+'System Capacities'!$N$34=2),((AD7/$G$18)),('System Capacities'!$N$21+'System Capacities'!$N$34=3),(((AD7-'System Capacities'!$L$47)/ABS($G$18))+('System Capacities'!$M$47*'System Capacities'!$D$8)),('System Capacities'!$N$21+'System Capacities'!$N$34=4),(((AD7-'System Capacities'!$L$48)/($G$18))+('System Capacities'!$M$48*'System Capacities'!$D$8)),('System Capacities'!$N$21+'System Capacities'!$N$34=5),(((AD7-'System Capacities'!$L$49)/($G$18))+('System Capacities'!$M$49*'System Capacities'!$D$8)),('System Capacities'!$N$21+'System Capacities'!$N$34=6),(((AD7-'System Capacities'!$L$50)/($G$18))+('System Capacities'!$M$50*'System Capacities'!$D$8)),('System Capacities'!$N$21+'System Capacities'!$N$34=7),(((AD7-'System Capacities'!$L$51)/($G$18))+('System Capacities'!$M$51*'System Capacities'!$D$8)),('System Capacities'!$N$21+'System Capacities'!$N$34=8),(((AD7-'System Capacities'!$L$52)/($G$18))+('System Capacities'!$M$52*'System Capacities'!$D$8)),('System Capacities'!$N$21+'System Capacities'!$N$34=9),(((AD7-'System Capacities'!$L$53)/($G$18))+('System Capacities'!$M$53*'System Capacities'!$D$8)),('System Capacities'!$N$21+'System Capacities'!$N$34=10),(((AD7-'System Capacities'!$L$54)/($G$18))+('System Capacities'!$M$54*'System Capacities'!$D$8)))),((ABS(AD7-$E$18)/(-1*$G$18))+($F$18*'System Capacities'!$D$8)))</f>
        <v>9.2311680437378793E-4</v>
      </c>
      <c r="S20" s="454">
        <f t="shared" si="18"/>
        <v>0.19887392328958822</v>
      </c>
      <c r="T20" s="38"/>
      <c r="U20" s="440">
        <v>4</v>
      </c>
      <c r="V20" s="60">
        <f t="shared" si="19"/>
        <v>11.75</v>
      </c>
      <c r="W20" s="61">
        <f t="shared" si="20"/>
        <v>3.0770560145792933E-4</v>
      </c>
      <c r="X20" s="443">
        <f t="shared" si="21"/>
        <v>0.19887392328958822</v>
      </c>
      <c r="Y20" s="441">
        <f>'Structural Information'!$Z$8</f>
        <v>40.367000000000004</v>
      </c>
      <c r="Z20" s="383">
        <f t="shared" si="22"/>
        <v>8.0279436614308093</v>
      </c>
      <c r="AA20" s="60">
        <f>((Y20*X20)/(Z25)*$L$15)</f>
        <v>27.638138947798875</v>
      </c>
      <c r="AB20" s="60">
        <f>AD20-AD19+$O$18</f>
        <v>27.638138947798879</v>
      </c>
      <c r="AC20" s="60">
        <f t="shared" ref="AC20:AC23" si="25">AC19+AA20</f>
        <v>81.420872736209361</v>
      </c>
      <c r="AD20" s="444">
        <f>AC20-$O$18</f>
        <v>81.420872736209361</v>
      </c>
      <c r="AE20" s="137">
        <f>IF(($H$18=0),(_xlfn.IFS((W20&lt;='Frame Capacities'!$BT$16),(W20*'Frame Capacities'!$BK$6*'Frame Capacities'!$BM$16),(AND((W20&gt;'Frame Capacities'!$BT$16),(W20&lt;='Frame Capacities'!$BU$16))),((W20-'Frame Capacities'!$BT$16)*'Frame Capacities'!$BK$6*('Frame Capacities'!$BN$16)+'Frame Capacities'!$BF$16),(AND((W20&gt;'Frame Capacities'!$BU$16),(W20&lt;='Frame Capacities'!$BV$16))),((W20-'Frame Capacities'!$BU$16)*'Frame Capacities'!$BK$6*('Frame Capacities'!$BO$16)+'Frame Capacities'!$BG$16),(AND((W20&gt;'Frame Capacities'!$BV$16),(W20&lt;='Frame Capacities'!$BW$16))),((W20-'Frame Capacities'!$BV$16)*'Frame Capacities'!$BK$6*('Frame Capacities'!$BP$16)+'Frame Capacities'!$BH$16),(AND((W20&gt;'Frame Capacities'!$BW$16),(W20&lt;='Frame Capacities'!$BX$16))),((W20-'Frame Capacities'!$BW$16)*'Frame Capacities'!$BK$6*('Frame Capacities'!$BQ$16)+'Frame Capacities'!$BI$16))),((W20-'Frame Capacities'!$BY$16)*'Frame Capacities'!$BK$6*'Frame Capacities'!$BR$16+'Frame Capacities'!$BK$16))</f>
        <v>3.902271894729374</v>
      </c>
      <c r="AF20" s="445">
        <f>IF(($H$18=0),(_xlfn.IFS((W20&lt;='Infill Capacities'!$CY$16),(W20*'Infill Capacities'!$CS$16*'Infill Capacities'!$CQ$6),(AND((W20&gt;'Infill Capacities'!$CY$16),(W20&lt;='Infill Capacities'!$CZ$16))),((W20-'Infill Capacities'!$CY$16)*'Infill Capacities'!$CQ$6*('Infill Capacities'!$CT$16)+'Infill Capacities'!$CM$16),(AND((W20&gt;'Infill Capacities'!$CZ$16),(W20&lt;='Infill Capacities'!$DA$16))),((W20-'Infill Capacities'!$CZ$16)*'Infill Capacities'!$CQ$6*('Infill Capacities'!$CU$16)+'Infill Capacities'!$CN$16),(AND((W20&gt;'Infill Capacities'!$DA$16),(W20&lt;='Infill Capacities'!$DB$16))),((W20-'Infill Capacities'!$DA$16)*'Infill Capacities'!$CQ$6*('Infill Capacities'!$CV$16)+'Infill Capacities'!$CP$16))),((W20-'Infill Capacities'!$DC$16)*'Infill Capacities'!$CQ$6*'Infill Capacities'!$CW$16+'Infill Capacities'!$CQ$16))</f>
        <v>77.518600841480065</v>
      </c>
      <c r="AG20" s="61">
        <f>AE20/$C$18</f>
        <v>0.15334589967805254</v>
      </c>
      <c r="AH20" s="98">
        <f>AF20/$D$18</f>
        <v>0.15334589967805243</v>
      </c>
      <c r="AI20" s="446">
        <f t="shared" si="23"/>
        <v>81.420872736209446</v>
      </c>
      <c r="AJ20" s="447">
        <f t="shared" ref="AJ20:AJ23" si="26">AD20-AI20</f>
        <v>0</v>
      </c>
      <c r="AK20" s="322">
        <f t="shared" si="24"/>
        <v>-1.0472146198611434E-15</v>
      </c>
      <c r="AL20" s="38"/>
    </row>
    <row r="21" spans="1:38" x14ac:dyDescent="0.25">
      <c r="A21" s="5"/>
      <c r="B21" s="475">
        <v>1</v>
      </c>
      <c r="C21" s="68">
        <f>'System Capacities'!N11</f>
        <v>200.38802480659299</v>
      </c>
      <c r="D21" s="68">
        <f>'System Capacities'!O11</f>
        <v>618.89103792264314</v>
      </c>
      <c r="E21" s="68">
        <f>IF(($H$21=0),('System Capacities'!P11),('System Capacities'!L70))</f>
        <v>819.2790627292361</v>
      </c>
      <c r="F21" s="68">
        <f>IF(($H$21=0),('System Capacities'!Q11),('System Capacities'!M70))</f>
        <v>4.3055098348240197E-3</v>
      </c>
      <c r="G21" s="68">
        <f>IF(($H$21=0),('System Capacities'!R11),('System Capacities'!N70))</f>
        <v>121726.29428278144</v>
      </c>
      <c r="H21" s="495">
        <v>1</v>
      </c>
      <c r="I21" s="422"/>
      <c r="J21" s="422"/>
      <c r="K21" s="422"/>
      <c r="L21" s="424"/>
      <c r="M21" s="422"/>
      <c r="N21" s="432">
        <v>1</v>
      </c>
      <c r="O21" s="433">
        <f t="shared" si="17"/>
        <v>0</v>
      </c>
      <c r="P21" s="6"/>
      <c r="Q21" s="38"/>
      <c r="R21" s="177">
        <f>IF(($H$19=0),(_xlfn.IFS(('System Capacities'!$N$22+'System Capacities'!$N$35=2),((AD8/$G$19)),('System Capacities'!$N$22+'System Capacities'!$N$35=3),(((AD8-'System Capacities'!$D$61)/($G$19))+('System Capacities'!$E$61*'System Capacities'!$D$9)),('System Capacities'!$N$22+'System Capacities'!$N$35=4),(((AD8-'System Capacities'!$D$62)/($G$19))+('System Capacities'!$E$62*'System Capacities'!$D$9)),('System Capacities'!$N$22+'System Capacities'!$N$35=5),(((AD8-'System Capacities'!$D$63)/($G$19))+('System Capacities'!$E$63*'System Capacities'!$D$9)),('System Capacities'!$N$22+'System Capacities'!$N$35=6),(((AD8-'System Capacities'!$D$64)/($G$19))+('System Capacities'!$E$64*'System Capacities'!$D$9)),('System Capacities'!$N$22+'System Capacities'!$N$35=7),(((AD8-'System Capacities'!$D$65)/($G$19))+('System Capacities'!$E$65*'System Capacities'!$D$9)),('System Capacities'!$N$22+'System Capacities'!$N$35=8),(((AD8-'System Capacities'!$D$66)/($G$19))+('System Capacities'!$E$66*'System Capacities'!$D$9)),('System Capacities'!$N$22+'System Capacities'!$N$35=9),(((AD8-'System Capacities'!$D$67)/($G$19))+('System Capacities'!$E$67*'System Capacities'!$D$9)),('System Capacities'!$N$22+'System Capacities'!$N$35=10),(((AD8-'System Capacities'!$D$68)/($G$19))+('System Capacities'!$E$68*'System Capacities'!$D$9)))),((ABS(AD8-$E$19)/(-1*$G$19))+($F$19*'System Capacities'!$D$9)))</f>
        <v>5.3187153577065856E-3</v>
      </c>
      <c r="S21" s="454">
        <f t="shared" si="18"/>
        <v>0.19795080648521443</v>
      </c>
      <c r="T21" s="38"/>
      <c r="U21" s="440">
        <v>3</v>
      </c>
      <c r="V21" s="60">
        <f t="shared" si="19"/>
        <v>8.75</v>
      </c>
      <c r="W21" s="61">
        <f t="shared" si="20"/>
        <v>1.7729051192355285E-3</v>
      </c>
      <c r="X21" s="443">
        <f t="shared" si="21"/>
        <v>0.19795080648521443</v>
      </c>
      <c r="Y21" s="441">
        <f>'Structural Information'!$Z$9</f>
        <v>40.367000000000004</v>
      </c>
      <c r="Z21" s="383">
        <f t="shared" si="22"/>
        <v>7.9906802053886521</v>
      </c>
      <c r="AA21" s="60">
        <f>((Y21*X21)/(Z25)*$L$15)</f>
        <v>27.509850482009522</v>
      </c>
      <c r="AB21" s="60">
        <f>AD21-AD20+$O$19</f>
        <v>27.509850482009526</v>
      </c>
      <c r="AC21" s="60">
        <f t="shared" si="25"/>
        <v>108.93072321821889</v>
      </c>
      <c r="AD21" s="444">
        <f>AC21-$O$19</f>
        <v>108.93072321821889</v>
      </c>
      <c r="AE21" s="137">
        <f>IF(($H$19=0),(_xlfn.IFS((W21&lt;='Frame Capacities'!$BT$17),(W21*'Frame Capacities'!$BK$7*'Frame Capacities'!$BM$17),(AND((W21&gt;'Frame Capacities'!$BT$17),(W21&lt;='Frame Capacities'!$BU$17))),((W21-'Frame Capacities'!$BT$17)*'Frame Capacities'!$BK$7*('Frame Capacities'!$BN$17)+'Frame Capacities'!$BF$17),(AND((W21&gt;'Frame Capacities'!$BU$17),(W21&lt;='Frame Capacities'!$BV$17))),((W21-'Frame Capacities'!$BU$17)*'Frame Capacities'!$BK$7*('Frame Capacities'!$BO$17)+'Frame Capacities'!$BG$17),(AND((W21&gt;'Frame Capacities'!$BV$17),(W21&lt;='Frame Capacities'!$BW$17))),((W21-'Frame Capacities'!$BV$17)*'Frame Capacities'!$BK$7*('Frame Capacities'!$BP$17)+'Frame Capacities'!$BH$17),(AND((W21&gt;'Frame Capacities'!$BW$17),(W21&lt;='Frame Capacities'!$BX$17))),((W21-'Frame Capacities'!$BW$17)*'Frame Capacities'!$BK$7*('Frame Capacities'!$BQ$17)+'Frame Capacities'!$BI$17))),((W21-'Frame Capacities'!$BY$17)*'Frame Capacities'!$BK$7*'Frame Capacities'!$BR$17+'Frame Capacities'!$BK$17))</f>
        <v>31.854526110664231</v>
      </c>
      <c r="AF21" s="445">
        <f>IF(($H$19=0),(_xlfn.IFS((W21&lt;='Infill Capacities'!$CY$17),(W21*'Infill Capacities'!$CS$17*'Infill Capacities'!$CQ$7),(AND((W21&gt;'Infill Capacities'!$CY$17),(W21&lt;='Infill Capacities'!$CZ$17))),((W21-'Infill Capacities'!$CY$17)*'Infill Capacities'!$CQ$7*('Infill Capacities'!$CT$17)+'Infill Capacities'!$CM$17),(AND((W21&gt;'Infill Capacities'!$CZ$17),(W21&lt;='Infill Capacities'!$DA$17))),((W21-'Infill Capacities'!$CZ$17)*'Infill Capacities'!$CQ$7*('Infill Capacities'!$CU$17)+'Infill Capacities'!$CN$17),(AND((W21&gt;'Infill Capacities'!$DA$17),(W21&lt;='Infill Capacities'!$DB$17))),((W21-'Infill Capacities'!$DA$17)*'Infill Capacities'!$CQ$7*('Infill Capacities'!$CV$17)+'Infill Capacities'!$CP$17))),((W21-'Infill Capacities'!$DC$17)*'Infill Capacities'!$CQ$7*'Infill Capacities'!$CW$17+'Infill Capacities'!$CQ$17))</f>
        <v>77.076197107554776</v>
      </c>
      <c r="AG21" s="61">
        <f>AE21/$C$19</f>
        <v>0.47520265984333138</v>
      </c>
      <c r="AH21" s="98">
        <f>AF21/$D$19</f>
        <v>0.12700956982929304</v>
      </c>
      <c r="AI21" s="446">
        <f t="shared" si="23"/>
        <v>108.93072321821901</v>
      </c>
      <c r="AJ21" s="447">
        <f t="shared" si="26"/>
        <v>-1.2789769243681803E-13</v>
      </c>
      <c r="AK21" s="322">
        <f t="shared" si="24"/>
        <v>-1.1741195565240393E-15</v>
      </c>
      <c r="AL21" s="38"/>
    </row>
    <row r="22" spans="1:38" x14ac:dyDescent="0.25">
      <c r="A22" s="5"/>
      <c r="B22" s="422"/>
      <c r="C22" s="422"/>
      <c r="D22" s="422"/>
      <c r="E22" s="422"/>
      <c r="F22" s="422"/>
      <c r="G22" s="422"/>
      <c r="H22" s="422"/>
      <c r="I22" s="422"/>
      <c r="J22" s="422"/>
      <c r="K22" s="422"/>
      <c r="L22" s="422"/>
      <c r="M22" s="422"/>
      <c r="N22" s="422"/>
      <c r="O22" s="422"/>
      <c r="P22" s="6"/>
      <c r="Q22" s="38"/>
      <c r="R22" s="177">
        <f>IF(($H$20=0),(_xlfn.IFS(('System Capacities'!$N$23+'System Capacities'!$N$36=2),((AD9/$G$20)),('System Capacities'!$N$23+'System Capacities'!$N$36=3),(((AD9-'System Capacities'!$H$61)/ABS($G$20))+('System Capacities'!$I$61*'System Capacities'!$D$10)),('System Capacities'!$N$23+'System Capacities'!$N$36=4),(((AD9-'System Capacities'!$H$62)/($G$20))+('System Capacities'!$I$62*'System Capacities'!$D$10)),('System Capacities'!$N$23+'System Capacities'!$N$36=5),(((AD9-'System Capacities'!$H$63)/($G$20))+('System Capacities'!$I$63*'System Capacities'!$D$10)),('System Capacities'!$N$23+'System Capacities'!$N$36=6),(((AD9-'System Capacities'!$H$64)/($G$20))+('System Capacities'!$I$64*'System Capacities'!$D$10)),('System Capacities'!$N$23+'System Capacities'!$N$36=7),(((AD9-'System Capacities'!$H$65)/($G$20))+('System Capacities'!$I$65*'System Capacities'!$D$10)),('System Capacities'!$N$23+'System Capacities'!$N$36=8),(((AD9-'System Capacities'!$H$66)/($G$20))+('System Capacities'!$I$66*'System Capacities'!$D$10)),('System Capacities'!$N$23+'System Capacities'!$N$36=9),(((AD9-'System Capacities'!$H$67)/($G$20))+('System Capacities'!$I$67*'System Capacities'!$D$10)),('System Capacities'!$N$23+'System Capacities'!$N$36=10),(((AD9-'System Capacities'!$H$68)/($G$20))+('System Capacities'!$I$68*'System Capacities'!$D$10)))),((ABS(AD9-$E$20)/(-1*$G$20))+($F$20*'System Capacities'!$D$10)))</f>
        <v>0.18640051880914391</v>
      </c>
      <c r="S22" s="454">
        <f>S23+R22</f>
        <v>0.19263209112750784</v>
      </c>
      <c r="T22" s="38"/>
      <c r="U22" s="440">
        <v>2</v>
      </c>
      <c r="V22" s="60">
        <f t="shared" si="19"/>
        <v>5.75</v>
      </c>
      <c r="W22" s="61">
        <f>R22/(V22-V23)</f>
        <v>6.2133506269714638E-2</v>
      </c>
      <c r="X22" s="443">
        <f t="shared" si="21"/>
        <v>0.19263209112750784</v>
      </c>
      <c r="Y22" s="441">
        <f>'Structural Information'!$Z$10</f>
        <v>40.367000000000004</v>
      </c>
      <c r="Z22" s="383">
        <f t="shared" si="22"/>
        <v>7.77597962254411</v>
      </c>
      <c r="AA22" s="60">
        <f>((Y22*X22)/(Z25)*$L$15)</f>
        <v>26.770691764523797</v>
      </c>
      <c r="AB22" s="60">
        <f>AD22-AD21+$O$20</f>
        <v>26.770691764523789</v>
      </c>
      <c r="AC22" s="60">
        <f t="shared" si="25"/>
        <v>135.70141498274268</v>
      </c>
      <c r="AD22" s="444">
        <f>AC22-$O$20</f>
        <v>135.70141498274268</v>
      </c>
      <c r="AE22" s="137">
        <f>IF(($H$20=0),(_xlfn.IFS((W22&lt;='Frame Capacities'!$BT$18),(W22*'Frame Capacities'!$BK$8*'Frame Capacities'!$BM$18),(AND((W22&gt;'Frame Capacities'!$BT$18),(W22&lt;='Frame Capacities'!$BU$18))),((W22-'Frame Capacities'!$BT$18)*'Frame Capacities'!$BK$8*('Frame Capacities'!$BN$18)+'Frame Capacities'!$BF$18),(AND((W22&gt;'Frame Capacities'!$BU$18),(W22&lt;='Frame Capacities'!$BV$18))),((W22-'Frame Capacities'!$BU$18)*'Frame Capacities'!$BK$8*('Frame Capacities'!$BO$18)+'Frame Capacities'!$BG$18),(AND((W22&gt;'Frame Capacities'!$BV$18),(W22&lt;='Frame Capacities'!$BW$18))),((W22-'Frame Capacities'!$BV$18)*'Frame Capacities'!$BK$8*('Frame Capacities'!$BP$18)+'Frame Capacities'!$BH$18),(AND((W22&gt;'Frame Capacities'!$BW$18),(W22&lt;='Frame Capacities'!$BX$18))),((W22-'Frame Capacities'!$BW$18)*'Frame Capacities'!$BK$8*('Frame Capacities'!$BQ$18)+'Frame Capacities'!$BI$18))),((W22-'Frame Capacities'!$BY$18)*'Frame Capacities'!$BK$8*'Frame Capacities'!$BR$18+'Frame Capacities'!$BK$18))</f>
        <v>69.605414982742516</v>
      </c>
      <c r="AF22" s="445">
        <f>IF(($H$20=0),(_xlfn.IFS((W22&lt;='Infill Capacities'!$CY$18),(W22*'Infill Capacities'!$CS$18*'Infill Capacities'!$CQ$8),(AND((W22&gt;'Infill Capacities'!$CY$18),(W22&lt;='Infill Capacities'!$CZ$18))),((W22-'Infill Capacities'!$CY$18)*'Infill Capacities'!$CQ$8*('Infill Capacities'!$CT$18)+'Infill Capacities'!$CM$18),(AND((W22&gt;'Infill Capacities'!$CZ$18),(W22&lt;='Infill Capacities'!$DA$18))),((W22-'Infill Capacities'!$CZ$18)*'Infill Capacities'!$CQ$8*('Infill Capacities'!$CU$18)+'Infill Capacities'!$CN$18),(AND((W22&gt;'Infill Capacities'!$DA$18),(W22&lt;='Infill Capacities'!$DB$18))),((W22-'Infill Capacities'!$DA$18)*'Infill Capacities'!$CQ$8*('Infill Capacities'!$CV$18)+'Infill Capacities'!$CP$18))),((W22-'Infill Capacities'!$DC$18)*'Infill Capacities'!$CQ$8*'Infill Capacities'!$CW$18+'Infill Capacities'!$CQ$18))</f>
        <v>66.096000000000004</v>
      </c>
      <c r="AG22" s="61">
        <f>AE22/$C$20</f>
        <v>3.9850428425234261</v>
      </c>
      <c r="AH22" s="98">
        <f>AF22/$D$20</f>
        <v>1</v>
      </c>
      <c r="AI22" s="446">
        <f t="shared" si="23"/>
        <v>135.70141498274251</v>
      </c>
      <c r="AJ22" s="447">
        <f t="shared" si="26"/>
        <v>0</v>
      </c>
      <c r="AK22" s="322">
        <f t="shared" si="24"/>
        <v>1.2566579103402171E-15</v>
      </c>
      <c r="AL22" s="38"/>
    </row>
    <row r="23" spans="1:38" ht="16.5" thickBot="1" x14ac:dyDescent="0.3">
      <c r="A23" s="5"/>
      <c r="B23" s="422"/>
      <c r="C23" s="422"/>
      <c r="D23" s="422"/>
      <c r="E23" s="422"/>
      <c r="F23" s="422"/>
      <c r="G23" s="422"/>
      <c r="H23" s="422"/>
      <c r="I23" s="422"/>
      <c r="J23" s="422"/>
      <c r="K23" s="422"/>
      <c r="L23" s="422"/>
      <c r="M23" s="422"/>
      <c r="N23" s="422"/>
      <c r="O23" s="422"/>
      <c r="P23" s="6"/>
      <c r="Q23" s="38"/>
      <c r="R23" s="177">
        <f>IF(($H$21=0),(_xlfn.IFS(('System Capacities'!$N$24+'System Capacities'!$N$37=2),(AD10/$G$21),('System Capacities'!$N$24+'System Capacities'!$N$37=3),(((AD10-'System Capacities'!$L$61)/($G$21))+('System Capacities'!$M$61*'System Capacities'!$D$11)),('System Capacities'!$N$24+'System Capacities'!$N$37=4),(((AD10-'System Capacities'!$L$62)/($G$21))+('System Capacities'!$M$62*'System Capacities'!$D$11)),('System Capacities'!$N$24+'System Capacities'!$N$37=5),(((AD10-'System Capacities'!$L$63)/($G$21))+('System Capacities'!$M$63*'System Capacities'!$D$11)),('System Capacities'!$N$24+'System Capacities'!$N$37=6),(((AD10-'System Capacities'!$L$64)/($G$21))+('System Capacities'!$M$64*'System Capacities'!$D$11)),('System Capacities'!$N$24+'System Capacities'!$N$37=7),(((AD10-'System Capacities'!$L$65)/($G$21))+('System Capacities'!$M$65*'System Capacities'!$D$11)),('System Capacities'!$N$24+'System Capacities'!$N$37=8),(((AD10-'System Capacities'!$L$66)/($G$21))+('System Capacities'!$M$66*'System Capacities'!$D$11)),('System Capacities'!$N$24+'System Capacities'!$N$37=9),(((AD10-'System Capacities'!$L$67)/($G$21))+('System Capacities'!$M$67*'System Capacities'!$D$11)),('System Capacities'!$N$24+'System Capacities'!$N$37=10),(((AD10-'System Capacities'!$L$68)/($G$21))+('System Capacities'!$M$68*'System Capacities'!$D$11)))),((ABS(AD10-$E$21)/(-1*$G$21))+($F$21*'System Capacities'!$D$11)))</f>
        <v>6.2315723183639362E-3</v>
      </c>
      <c r="S23" s="454">
        <f t="shared" si="18"/>
        <v>6.2315723183639362E-3</v>
      </c>
      <c r="T23" s="38"/>
      <c r="U23" s="440">
        <v>1</v>
      </c>
      <c r="V23" s="60">
        <f t="shared" si="19"/>
        <v>2.75</v>
      </c>
      <c r="W23" s="61">
        <f t="shared" si="20"/>
        <v>2.2660262975868861E-3</v>
      </c>
      <c r="X23" s="443">
        <f t="shared" si="21"/>
        <v>6.2315723183639362E-3</v>
      </c>
      <c r="Y23" s="441">
        <f>'Structural Information'!$Z$11</f>
        <v>40.367000000000004</v>
      </c>
      <c r="Z23" s="383">
        <f t="shared" si="22"/>
        <v>0.25154987977539706</v>
      </c>
      <c r="AA23" s="60">
        <f>((Y23*X23)/(Z25)*$L$15)</f>
        <v>0.86602134030116185</v>
      </c>
      <c r="AB23" s="60">
        <f>AD23-AD22+$O$21</f>
        <v>0.86602134030115963</v>
      </c>
      <c r="AC23" s="60">
        <f t="shared" si="25"/>
        <v>136.56743632304384</v>
      </c>
      <c r="AD23" s="444">
        <f>AC23-$O$21</f>
        <v>136.56743632304384</v>
      </c>
      <c r="AE23" s="137">
        <f>IF(($H$21=0),(_xlfn.IFS((W23&lt;='Frame Capacities'!$BT$19),(W23*'Frame Capacities'!$BK$9*'Frame Capacities'!$BM$19),(AND((W23&gt;'Frame Capacities'!$BT$19),(W23&lt;='Frame Capacities'!$BU$19))),((W23-'Frame Capacities'!$BT$19)*'Frame Capacities'!$BK$9*('Frame Capacities'!$BN$19)+'Frame Capacities'!$BF$19),(AND((W23&gt;'Frame Capacities'!$BU$19),(W23&lt;='Frame Capacities'!$BV$19))),((W23-'Frame Capacities'!$BU$19)*'Frame Capacities'!$BK$9*('Frame Capacities'!$BO$19)+'Frame Capacities'!$BG$19),(AND((W23&gt;'Frame Capacities'!$BV$19),(W23&lt;='Frame Capacities'!$BW$19))),((W23-'Frame Capacities'!$BV$19)*'Frame Capacities'!$BK$9*('Frame Capacities'!$BP$19)+'Frame Capacities'!$BH$19),(AND((W23&gt;'Frame Capacities'!$BW$19),(W23&lt;='Frame Capacities'!$BX$19))),((W23-'Frame Capacities'!$BW$19)*'Frame Capacities'!$BK$9*('Frame Capacities'!$BQ$19)+'Frame Capacities'!$BI$19))),((W23-'Frame Capacities'!$BY$19)*'Frame Capacities'!$BK$9*'Frame Capacities'!$BR$19+'Frame Capacities'!$BK$19))</f>
        <v>105.46591492150033</v>
      </c>
      <c r="AF23" s="445">
        <f>IF(($H$21=0),(_xlfn.IFS((W23&lt;='Infill Capacities'!$CY$19),(W23*'Infill Capacities'!$CS$19*'Infill Capacities'!$CQ$9),(AND((W23&gt;'Infill Capacities'!$CY$19),(W23&lt;='Infill Capacities'!$CZ$19))),((W23-'Infill Capacities'!$CY$19)*'Infill Capacities'!$CQ$9*('Infill Capacities'!$CT$19)+'Infill Capacities'!$CM$19),(AND((W23&gt;'Infill Capacities'!$CZ$19),(W23&lt;='Infill Capacities'!$DA$19))),((W23-'Infill Capacities'!$CZ$19)*'Infill Capacities'!$CQ$9*('Infill Capacities'!$CU$19)+'Infill Capacities'!$CN$19),(AND((W23&gt;'Infill Capacities'!$DA$19),(W23&lt;='Infill Capacities'!$DB$19))),((W23-'Infill Capacities'!$DA$19)*'Infill Capacities'!$CQ$9*('Infill Capacities'!$CV$19)+'Infill Capacities'!$CP$19))),((W23-'Infill Capacities'!$DC$19)*'Infill Capacities'!$CQ$9*'Infill Capacities'!$CW$19+'Infill Capacities'!$CQ$19))</f>
        <v>31.10152140154355</v>
      </c>
      <c r="AG23" s="61">
        <f>AE23/$C$21</f>
        <v>0.52630847089436639</v>
      </c>
      <c r="AH23" s="98">
        <f>AF23/$D$21</f>
        <v>5.0253630277048884E-2</v>
      </c>
      <c r="AI23" s="446">
        <f t="shared" si="23"/>
        <v>136.56743632304386</v>
      </c>
      <c r="AJ23" s="447">
        <f t="shared" si="26"/>
        <v>0</v>
      </c>
      <c r="AK23" s="322">
        <f t="shared" si="24"/>
        <v>-2.0811483466068581E-16</v>
      </c>
      <c r="AL23" s="38"/>
    </row>
    <row r="24" spans="1:38" ht="16.5" thickBot="1" x14ac:dyDescent="0.3">
      <c r="A24" s="5"/>
      <c r="B24" s="868" t="s">
        <v>341</v>
      </c>
      <c r="C24" s="869"/>
      <c r="D24" s="870"/>
      <c r="E24" s="422"/>
      <c r="F24" s="422"/>
      <c r="G24" s="422"/>
      <c r="H24" s="422"/>
      <c r="I24" s="422"/>
      <c r="J24" s="422"/>
      <c r="K24" s="422"/>
      <c r="L24" s="422"/>
      <c r="M24" s="422"/>
      <c r="N24" s="422"/>
      <c r="O24" s="422"/>
      <c r="P24" s="6"/>
      <c r="Q24" s="38"/>
      <c r="R24" s="178">
        <v>0</v>
      </c>
      <c r="S24" s="455">
        <f>R24</f>
        <v>0</v>
      </c>
      <c r="T24" s="38"/>
      <c r="U24" s="439">
        <v>0</v>
      </c>
      <c r="V24" s="100">
        <f t="shared" si="19"/>
        <v>0</v>
      </c>
      <c r="W24" s="174" t="s">
        <v>83</v>
      </c>
      <c r="X24" s="448">
        <f t="shared" si="21"/>
        <v>0</v>
      </c>
      <c r="Y24" s="237" t="str">
        <f>E11</f>
        <v>-</v>
      </c>
      <c r="Z24" s="385">
        <v>0</v>
      </c>
      <c r="AA24" s="100" t="s">
        <v>83</v>
      </c>
      <c r="AB24" s="100"/>
      <c r="AC24" s="449" t="s">
        <v>83</v>
      </c>
      <c r="AD24" s="449" t="s">
        <v>83</v>
      </c>
      <c r="AE24" s="134" t="s">
        <v>83</v>
      </c>
      <c r="AF24" s="134" t="s">
        <v>83</v>
      </c>
      <c r="AG24" s="161" t="s">
        <v>83</v>
      </c>
      <c r="AH24" s="134" t="s">
        <v>83</v>
      </c>
      <c r="AI24" s="450" t="s">
        <v>83</v>
      </c>
      <c r="AJ24" s="451" t="s">
        <v>83</v>
      </c>
      <c r="AK24" s="38"/>
      <c r="AL24" s="38"/>
    </row>
    <row r="25" spans="1:38" ht="16.5" thickBot="1" x14ac:dyDescent="0.3">
      <c r="A25" s="5"/>
      <c r="B25" s="329" t="s">
        <v>340</v>
      </c>
      <c r="C25" s="330">
        <v>3</v>
      </c>
      <c r="D25" s="331"/>
      <c r="E25" s="422"/>
      <c r="F25" s="422"/>
      <c r="G25" s="422"/>
      <c r="H25" s="422"/>
      <c r="I25" s="422"/>
      <c r="J25" s="422"/>
      <c r="K25" s="422"/>
      <c r="L25" s="422"/>
      <c r="M25" s="422"/>
      <c r="N25" s="422"/>
      <c r="O25" s="422"/>
      <c r="P25" s="6"/>
      <c r="Q25" s="38"/>
      <c r="R25" s="38"/>
      <c r="S25" s="38"/>
      <c r="T25" s="38"/>
      <c r="U25" s="38"/>
      <c r="V25" s="38"/>
      <c r="W25" s="38"/>
      <c r="X25" s="38"/>
      <c r="Y25" s="452" t="s">
        <v>95</v>
      </c>
      <c r="Z25" s="453">
        <f>SUM(Z18:Z24)</f>
        <v>39.66821669353935</v>
      </c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</row>
    <row r="26" spans="1:38" x14ac:dyDescent="0.25">
      <c r="A26" s="5"/>
      <c r="B26" s="866" t="s">
        <v>338</v>
      </c>
      <c r="C26" s="867"/>
      <c r="D26" s="332">
        <v>1</v>
      </c>
      <c r="E26" s="422"/>
      <c r="F26" s="422"/>
      <c r="G26" s="422"/>
      <c r="H26" s="422"/>
      <c r="I26" s="422"/>
      <c r="J26" s="422"/>
      <c r="K26" s="422"/>
      <c r="L26" s="422"/>
      <c r="M26" s="422"/>
      <c r="N26" s="422"/>
      <c r="O26" s="422"/>
      <c r="P26" s="6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</row>
    <row r="27" spans="1:38" ht="16.5" thickBot="1" x14ac:dyDescent="0.3">
      <c r="A27" s="5"/>
      <c r="B27" s="866" t="s">
        <v>339</v>
      </c>
      <c r="C27" s="867"/>
      <c r="D27" s="333">
        <v>2</v>
      </c>
      <c r="E27" s="422"/>
      <c r="F27" s="422"/>
      <c r="G27" s="422"/>
      <c r="H27" s="422"/>
      <c r="I27" s="422"/>
      <c r="J27" s="422"/>
      <c r="K27" s="422"/>
      <c r="L27" s="422"/>
      <c r="M27" s="422"/>
      <c r="N27" s="422"/>
      <c r="O27" s="422"/>
      <c r="P27" s="6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</row>
    <row r="28" spans="1:38" ht="16.5" thickBot="1" x14ac:dyDescent="0.3">
      <c r="A28" s="5"/>
      <c r="B28" s="864" t="s">
        <v>357</v>
      </c>
      <c r="C28" s="865"/>
      <c r="D28" s="334">
        <v>3</v>
      </c>
      <c r="E28" s="422"/>
      <c r="F28" s="422"/>
      <c r="G28" s="422"/>
      <c r="H28" s="422"/>
      <c r="I28" s="422"/>
      <c r="J28" s="422"/>
      <c r="K28" s="422"/>
      <c r="L28" s="422"/>
      <c r="M28" s="422"/>
      <c r="N28" s="422"/>
      <c r="O28" s="422"/>
      <c r="P28" s="6"/>
      <c r="Q28" s="38"/>
      <c r="R28" s="851" t="s">
        <v>271</v>
      </c>
      <c r="S28" s="852"/>
      <c r="T28" s="2"/>
      <c r="U28" s="851" t="s">
        <v>271</v>
      </c>
      <c r="V28" s="885"/>
      <c r="W28" s="885"/>
      <c r="X28" s="885"/>
      <c r="Y28" s="885"/>
      <c r="Z28" s="885"/>
      <c r="AA28" s="885"/>
      <c r="AB28" s="885"/>
      <c r="AC28" s="885"/>
      <c r="AD28" s="885"/>
      <c r="AE28" s="885"/>
      <c r="AF28" s="885"/>
      <c r="AG28" s="885"/>
      <c r="AH28" s="885"/>
      <c r="AI28" s="885"/>
      <c r="AJ28" s="852"/>
      <c r="AK28" s="38"/>
      <c r="AL28" s="38"/>
    </row>
    <row r="29" spans="1:38" ht="16.5" customHeight="1" thickBot="1" x14ac:dyDescent="0.3">
      <c r="A29" s="5"/>
      <c r="B29" s="422"/>
      <c r="C29" s="422"/>
      <c r="D29" s="426"/>
      <c r="E29" s="422"/>
      <c r="F29" s="422"/>
      <c r="G29" s="422"/>
      <c r="H29" s="422"/>
      <c r="I29" s="422"/>
      <c r="J29" s="422"/>
      <c r="K29" s="422"/>
      <c r="L29" s="422"/>
      <c r="M29" s="422"/>
      <c r="N29" s="422"/>
      <c r="O29" s="422"/>
      <c r="P29" s="6"/>
      <c r="Q29" s="38"/>
      <c r="R29" s="585" t="s">
        <v>98</v>
      </c>
      <c r="S29" s="581" t="s">
        <v>97</v>
      </c>
      <c r="T29" s="38"/>
      <c r="U29" s="581" t="s">
        <v>0</v>
      </c>
      <c r="V29" s="581" t="s">
        <v>89</v>
      </c>
      <c r="W29" s="581" t="s">
        <v>119</v>
      </c>
      <c r="X29" s="585" t="s">
        <v>91</v>
      </c>
      <c r="Y29" s="581" t="s">
        <v>93</v>
      </c>
      <c r="Z29" s="581" t="s">
        <v>94</v>
      </c>
      <c r="AA29" s="585" t="s">
        <v>456</v>
      </c>
      <c r="AB29" s="585" t="s">
        <v>457</v>
      </c>
      <c r="AC29" s="585" t="s">
        <v>458</v>
      </c>
      <c r="AD29" s="580" t="s">
        <v>459</v>
      </c>
      <c r="AE29" s="585" t="s">
        <v>207</v>
      </c>
      <c r="AF29" s="585" t="s">
        <v>206</v>
      </c>
      <c r="AG29" s="585" t="s">
        <v>208</v>
      </c>
      <c r="AH29" s="585" t="s">
        <v>209</v>
      </c>
      <c r="AI29" s="845" t="s">
        <v>391</v>
      </c>
      <c r="AJ29" s="845" t="s">
        <v>451</v>
      </c>
      <c r="AK29" s="872" t="s">
        <v>265</v>
      </c>
      <c r="AL29" s="38"/>
    </row>
    <row r="30" spans="1:38" ht="16.5" thickBot="1" x14ac:dyDescent="0.3">
      <c r="A30" s="5"/>
      <c r="B30" s="861" t="s">
        <v>358</v>
      </c>
      <c r="C30" s="862"/>
      <c r="D30" s="422"/>
      <c r="E30" s="422"/>
      <c r="F30" s="422"/>
      <c r="G30" s="422"/>
      <c r="H30" s="422"/>
      <c r="I30" s="422"/>
      <c r="J30" s="422"/>
      <c r="K30" s="422"/>
      <c r="L30" s="422"/>
      <c r="M30" s="422"/>
      <c r="N30" s="422"/>
      <c r="O30" s="422"/>
      <c r="P30" s="6"/>
      <c r="Q30" s="38"/>
      <c r="R30" s="580"/>
      <c r="S30" s="582"/>
      <c r="T30" s="38"/>
      <c r="U30" s="582"/>
      <c r="V30" s="582"/>
      <c r="W30" s="582"/>
      <c r="X30" s="580"/>
      <c r="Y30" s="582"/>
      <c r="Z30" s="582"/>
      <c r="AA30" s="580"/>
      <c r="AB30" s="580"/>
      <c r="AC30" s="580"/>
      <c r="AD30" s="847"/>
      <c r="AE30" s="580"/>
      <c r="AF30" s="580"/>
      <c r="AG30" s="580"/>
      <c r="AH30" s="580"/>
      <c r="AI30" s="846"/>
      <c r="AJ30" s="846"/>
      <c r="AK30" s="872"/>
      <c r="AL30" s="38"/>
    </row>
    <row r="31" spans="1:38" ht="16.5" thickBot="1" x14ac:dyDescent="0.3">
      <c r="A31" s="5"/>
      <c r="B31" s="419" t="s">
        <v>356</v>
      </c>
      <c r="C31" s="420">
        <v>5.0000000000000002E-5</v>
      </c>
      <c r="D31" s="422"/>
      <c r="E31" s="422"/>
      <c r="F31" s="422"/>
      <c r="G31" s="422"/>
      <c r="H31" s="422"/>
      <c r="I31" s="422"/>
      <c r="J31" s="422"/>
      <c r="K31" s="422"/>
      <c r="L31" s="422"/>
      <c r="M31" s="422"/>
      <c r="N31" s="422"/>
      <c r="O31" s="422"/>
      <c r="P31" s="6"/>
      <c r="Q31" s="38"/>
      <c r="R31" s="177">
        <f>IF(($H$16=0),(_xlfn.IFS(('System Capacities'!$N$19+'System Capacities'!$N$32=2),((AD18/$G$16)),('System Capacities'!$N$19+'System Capacities'!$N$32=3),(((AD18-'System Capacities'!$D$47)/($G$16))+('System Capacities'!$E$47*'System Capacities'!$D$6)),('System Capacities'!$N$19+'System Capacities'!$N$32=4),(((AD18-'System Capacities'!$D$48)/($G$16))+('System Capacities'!$E$48*'System Capacities'!$D$6)),('System Capacities'!$N$19+'System Capacities'!$N$32=5),(((AD18-'System Capacities'!$D$49)/($G$16))+('System Capacities'!$E$49*'System Capacities'!$D$6)),('System Capacities'!$N$19+'System Capacities'!$N$32=6),(((AD18-'System Capacities'!$D$50)/($G$16))+('System Capacities'!$E$50*'System Capacities'!$D$6)),('System Capacities'!$N$19+'System Capacities'!$N$32=7),(((AD18-'System Capacities'!$D$51)/($G$16))+('System Capacities'!$E$51*'System Capacities'!$D$6)),('System Capacities'!$N$19+'System Capacities'!$N$32=8),(((AD18-'System Capacities'!$D$52)/($G$16))+('System Capacities'!$E$52*'System Capacities'!$D$6)),('System Capacities'!$N$19+'System Capacities'!$N$32=9),(((AD18-'System Capacities'!$D$53)/($G$16))+('System Capacities'!$E$53*'System Capacities'!$D$6)),('System Capacities'!$N$19+'System Capacities'!$N$32=8),(((AD18-'System Capacities'!$D$54)/($G$16))+('System Capacities'!$E$54*'System Capacities'!$D$6)))),((ABS(AD18-$E$16)/(-1*$G$16))+($F$16*'System Capacities'!$D$6)))</f>
        <v>4.2404238141735941E-4</v>
      </c>
      <c r="S31" s="454">
        <f t="shared" ref="S31:S36" si="27">S32+R31</f>
        <v>0.19995986072668318</v>
      </c>
      <c r="T31" s="38"/>
      <c r="U31" s="440">
        <v>6</v>
      </c>
      <c r="V31" s="60">
        <f t="shared" ref="V31:V37" si="28">V5</f>
        <v>17.75</v>
      </c>
      <c r="W31" s="61">
        <f t="shared" ref="W31:W36" si="29">R31/(V31-V32)</f>
        <v>1.4134746047245314E-4</v>
      </c>
      <c r="X31" s="443">
        <f t="shared" ref="X31:X37" si="30">S31</f>
        <v>0.19995986072668318</v>
      </c>
      <c r="Y31" s="441">
        <f>'Structural Information'!$Z$6</f>
        <v>37.8446</v>
      </c>
      <c r="Z31" s="383">
        <f t="shared" ref="Z31:Z36" si="31">Y31*X31</f>
        <v>7.5674009452570337</v>
      </c>
      <c r="AA31" s="60">
        <f>((Y31*X31)/(Z38)*$L$15)</f>
        <v>26.052609188520652</v>
      </c>
      <c r="AB31" s="60">
        <f>AD31+$O$16</f>
        <v>26.052609188520652</v>
      </c>
      <c r="AC31" s="60">
        <f>AA31</f>
        <v>26.052609188520652</v>
      </c>
      <c r="AD31" s="464">
        <f>AC31-$O$16</f>
        <v>26.052609188520652</v>
      </c>
      <c r="AE31" s="135">
        <f>IF(($H$16=0),(_xlfn.IFS((W31&lt;='Frame Capacities'!$BT$14),(W31*'Frame Capacities'!$BK$4*'Frame Capacities'!$BM$14),(AND((W31&gt;'Frame Capacities'!$BT$14),(W31&lt;='Frame Capacities'!$BU$14))),((W31-'Frame Capacities'!$BT$14)*'Frame Capacities'!$BK$4*('Frame Capacities'!$BN$14)+'Frame Capacities'!$BF$14),(AND((W31&gt;'Frame Capacities'!$BU$14),(W31&lt;='Frame Capacities'!$BV$14))),((W31-'Frame Capacities'!$BU$14)*'Frame Capacities'!$BK$4*('Frame Capacities'!$BO$14)+'Frame Capacities'!$BG$14),(AND((W31&gt;'Frame Capacities'!$BV$14),(W31&lt;='Frame Capacities'!$BW$14))),((W31-'Frame Capacities'!$BV$14)*'Frame Capacities'!$BK$4*('Frame Capacities'!$BP$14)+'Frame Capacities'!$BH$14),(AND((W31&gt;'Frame Capacities'!$BW$14),(W31&lt;='Frame Capacities'!$BX$14))),((W31-'Frame Capacities'!$BW$14)*'Frame Capacities'!$BK$4*('Frame Capacities'!$BQ$14)+'Frame Capacities'!$BI$14))),((W31-'Frame Capacities'!$BY$14)*'Frame Capacities'!$BK$4*'Frame Capacities'!$BR$14+'Frame Capacities'!$BK$14))</f>
        <v>1.5123472170326107</v>
      </c>
      <c r="AF31" s="496">
        <f>IF(($H$16=0),(_xlfn.IFS((W31&lt;='Infill Capacities'!$CY$14),(W31*'Infill Capacities'!$CS$14*'Infill Capacities'!$CQ$4),(AND((W31&gt;'Infill Capacities'!$CY$14),(W31&lt;='Infill Capacities'!$CZ$14))),((W31-'Infill Capacities'!$CY$14)*'Infill Capacities'!$CQ$4*('Infill Capacities'!$CT$14)+'Infill Capacities'!$CM$14),(AND((W31&gt;'Infill Capacities'!$CZ$14),(W31&lt;='Infill Capacities'!$DA$14))),((W31-'Infill Capacities'!$CZ$14)*'Infill Capacities'!$CQ$4*('Infill Capacities'!$CU$14)+'Infill Capacities'!$CN$14),(AND((W31&gt;'Infill Capacities'!$DA$14),(W31&lt;='Infill Capacities'!$DB$14))),((W31-'Infill Capacities'!$DA$14)*'Infill Capacities'!$CQ$4*('Infill Capacities'!$CV$14)+'Infill Capacities'!$CP$14))),((W31-'Infill Capacities'!$DC$14)*'Infill Capacities'!$CQ$4*'Infill Capacities'!$CW$14+'Infill Capacities'!$CQ$14))</f>
        <v>24.540261971488064</v>
      </c>
      <c r="AG31" s="61">
        <f>AE31/$C$16</f>
        <v>0.14304470110505652</v>
      </c>
      <c r="AH31" s="98">
        <f>AF31/$D$16</f>
        <v>0.14304470110505671</v>
      </c>
      <c r="AI31" s="446">
        <f t="shared" ref="AI31:AI36" si="32">AE31+AF31</f>
        <v>26.052609188520677</v>
      </c>
      <c r="AJ31" s="447">
        <f>AD31-AI31</f>
        <v>0</v>
      </c>
      <c r="AK31" s="322">
        <f>(AD31-(AI31))/AD31</f>
        <v>-9.5456833408307261E-16</v>
      </c>
      <c r="AL31" s="38"/>
    </row>
    <row r="32" spans="1:38" ht="16.5" thickBot="1" x14ac:dyDescent="0.3">
      <c r="A32" s="5"/>
      <c r="B32" s="422"/>
      <c r="C32" s="422"/>
      <c r="D32" s="422"/>
      <c r="E32" s="422"/>
      <c r="F32" s="422"/>
      <c r="G32" s="422"/>
      <c r="H32" s="422"/>
      <c r="I32" s="422"/>
      <c r="J32" s="422"/>
      <c r="K32" s="422"/>
      <c r="L32" s="422"/>
      <c r="M32" s="422"/>
      <c r="N32" s="422"/>
      <c r="O32" s="422"/>
      <c r="P32" s="6"/>
      <c r="Q32" s="38"/>
      <c r="R32" s="177">
        <f>IF(($H$17=0),(_xlfn.IFS(('System Capacities'!$N$20+'System Capacities'!$N$33=2),((AD19/$G$17)),('System Capacities'!$N$20+'System Capacities'!$N$33=3),(((AD19-'System Capacities'!$H$47)/($G$17))+('System Capacities'!$I$47*'System Capacities'!$D$7)),('System Capacities'!$N$20+'System Capacities'!$N$33=4),(((AD19-'System Capacities'!$H$48)/($G$17))+('System Capacities'!$I$48*'System Capacities'!$D$7)),('System Capacities'!$N$20+'System Capacities'!$N$33=5),(((AD19-'System Capacities'!H$49)/($G$17))+('System Capacities'!$I$49*'System Capacities'!$D$7)),('System Capacities'!$N$20+'System Capacities'!$N$33=6),(((AD19-'System Capacities'!$H$50)/($G$17))+('System Capacities'!$I$50*'System Capacities'!$D$7)),('System Capacities'!$N$20+'System Capacities'!$N$33=7),(((AD19-'System Capacities'!$H$51)/($G$17))+('System Capacities'!$I$51*'System Capacities'!$D$7)),('System Capacities'!N46+'System Capacities'!$N$33=8),(((AD19-'System Capacities'!$H$52)/($G$17))+('System Capacities'!$I$52*'System Capacities'!$D$7)),('System Capacities'!N46+'System Capacities'!$N$33=9),(((AD19-'System Capacities'!$H$53)/($G$17))+('System Capacities'!$I$53*'System Capacities'!$D$7)),('System Capacities'!N46+'System Capacities'!$N$33=10),(((AD19-'System Capacities'!$H$54)/($G$17))+('System Capacities'!$I$54*'System Capacities'!$D$7)))),((ABS(AD19-$E$17)/(-1*$G$17))+($F$17*'System Capacities'!$D$7)))</f>
        <v>6.6189505567759276E-4</v>
      </c>
      <c r="S32" s="454">
        <f t="shared" si="27"/>
        <v>0.19953581834526582</v>
      </c>
      <c r="T32" s="38"/>
      <c r="U32" s="440">
        <v>5</v>
      </c>
      <c r="V32" s="60">
        <f t="shared" si="28"/>
        <v>14.75</v>
      </c>
      <c r="W32" s="61">
        <f t="shared" si="29"/>
        <v>2.2063168522586425E-4</v>
      </c>
      <c r="X32" s="443">
        <f t="shared" si="30"/>
        <v>0.19953581834526582</v>
      </c>
      <c r="Y32" s="441">
        <f>'Structural Information'!$Z$7</f>
        <v>40.367000000000004</v>
      </c>
      <c r="Z32" s="383">
        <f t="shared" si="31"/>
        <v>8.0546623791433465</v>
      </c>
      <c r="AA32" s="60">
        <f>((Y32*X32)/(Z38)*$L$15)</f>
        <v>27.730124599889827</v>
      </c>
      <c r="AB32" s="60">
        <f>AD32-AD31+$O$17</f>
        <v>27.73012459988983</v>
      </c>
      <c r="AC32" s="60">
        <f>AC31+AA32</f>
        <v>53.782733788410482</v>
      </c>
      <c r="AD32" s="444">
        <f>AC32-$O$17</f>
        <v>53.782733788410482</v>
      </c>
      <c r="AE32" s="137">
        <f>IF(($H$17=0),(_xlfn.IFS((W32&lt;='Frame Capacities'!$BT$15),(W32*'Frame Capacities'!$BK$5*'Frame Capacities'!$BM$15),(AND((W32&gt;'Frame Capacities'!$BT$15),(W32&lt;='Frame Capacities'!$BU$15))),((W32-'Frame Capacities'!$BT$15)*'Frame Capacities'!$BK$5*('Frame Capacities'!$BN$15)+'Frame Capacities'!$BF$15),(AND((W32&gt;'Frame Capacities'!$BU$15),(W32&lt;='Frame Capacities'!$BV$15))),((W32-'Frame Capacities'!$BU$15)*'Frame Capacities'!$BK$5*('Frame Capacities'!$BO$15)+'Frame Capacities'!$BG$15),(AND((W32&gt;'Frame Capacities'!$BV$15),(W32&lt;='Frame Capacities'!$BW$15))),((W32-'Frame Capacities'!$BV$15)*'Frame Capacities'!$BK$5*('Frame Capacities'!$BP$15)+'Frame Capacities'!$BH$15),(AND((W32&gt;'Frame Capacities'!$BW$15),(W32&lt;='Frame Capacities'!$BX$15))),((W32-'Frame Capacities'!$BW$15)*'Frame Capacities'!$BK$5*('Frame Capacities'!$BQ$15)+'Frame Capacities'!$BI$15))),((W32-'Frame Capacities'!$BY$15)*'Frame Capacities'!$BK$5*'Frame Capacities'!$BR$15+'Frame Capacities'!$BK$15))</f>
        <v>2.399969569223579</v>
      </c>
      <c r="AF32" s="445">
        <f>IF(($H$17=0),(_xlfn.IFS((W32&lt;='Infill Capacities'!$CY$15),(W32*'Infill Capacities'!$CS$15*'Infill Capacities'!$CQ$5),(AND((W32&gt;'Infill Capacities'!$CY$15),(W32&lt;='Infill Capacities'!$CZ$15))),((W32-'Infill Capacities'!$CY$15)*'Infill Capacities'!$CQ$5*('Infill Capacities'!$CT$15)+'Infill Capacities'!$CM$15),(AND((W32&gt;'Infill Capacities'!$CZ$15),(W32&lt;='Infill Capacities'!$DA$15))),((W32-'Infill Capacities'!$CZ$15)*'Infill Capacities'!$CQ$5*('Infill Capacities'!$CU$15)+'Infill Capacities'!$CN$15),(AND((W32&gt;'Infill Capacities'!$DA$15),(W32&lt;='Infill Capacities'!$DB$15))),((W32-'Infill Capacities'!$DA$15)*'Infill Capacities'!$CQ$5*('Infill Capacities'!$CV$15)+'Infill Capacities'!$CP$15))),((W32-'Infill Capacities'!$DC$15)*'Infill Capacities'!$CQ$5*'Infill Capacities'!$CW$15+'Infill Capacities'!$CQ$15))</f>
        <v>51.382764219186981</v>
      </c>
      <c r="AG32" s="61">
        <f>AE32/$C$17</f>
        <v>0.14730782936252182</v>
      </c>
      <c r="AH32" s="98">
        <f>AF32/$D$17</f>
        <v>0.14730782936252199</v>
      </c>
      <c r="AI32" s="446">
        <f t="shared" si="32"/>
        <v>53.78273378841056</v>
      </c>
      <c r="AJ32" s="447">
        <f>AD32-AI32</f>
        <v>-7.815970093361102E-14</v>
      </c>
      <c r="AK32" s="322">
        <f t="shared" ref="AK32:AK36" si="33">(AD32-(AI32))/AD32</f>
        <v>-1.4532489412141684E-15</v>
      </c>
      <c r="AL32" s="38"/>
    </row>
    <row r="33" spans="1:38" ht="16.5" thickBot="1" x14ac:dyDescent="0.3">
      <c r="A33" s="5"/>
      <c r="B33" s="859" t="s">
        <v>359</v>
      </c>
      <c r="C33" s="860"/>
      <c r="D33" s="422"/>
      <c r="E33" s="422"/>
      <c r="F33" s="422"/>
      <c r="G33" s="422"/>
      <c r="H33" s="422"/>
      <c r="I33" s="422"/>
      <c r="J33" s="422"/>
      <c r="K33" s="422"/>
      <c r="L33" s="422"/>
      <c r="M33" s="422"/>
      <c r="N33" s="422"/>
      <c r="O33" s="422"/>
      <c r="P33" s="6"/>
      <c r="Q33" s="38"/>
      <c r="R33" s="177">
        <f>IF(($H$18=0),(_xlfn.IFS(('System Capacities'!$N$21+'System Capacities'!$N$34=2),((AD20/$G$18)),('System Capacities'!$N$21+'System Capacities'!$N$34=3),(((AD20-'System Capacities'!$L$47)/ABS($G$18))+('System Capacities'!$M$47*'System Capacities'!$D$8)),('System Capacities'!$N$21+'System Capacities'!$N$34=4),(((AD20-'System Capacities'!$L$48)/($G$18))+('System Capacities'!$M$48*'System Capacities'!$D$8)),('System Capacities'!$N$21+'System Capacities'!$N$34=5),(((AD20-'System Capacities'!$L$49)/($G$18))+('System Capacities'!$M$49*'System Capacities'!$D$8)),('System Capacities'!$N$21+'System Capacities'!$N$34=6),(((AD20-'System Capacities'!$L$50)/($G$18))+('System Capacities'!$M$50*'System Capacities'!$D$8)),('System Capacities'!$N$21+'System Capacities'!$N$34=7),(((AD20-'System Capacities'!$L$51)/($G$18))+('System Capacities'!$M$51*'System Capacities'!$D$8)),('System Capacities'!$N$21+'System Capacities'!$N$34=8),(((AD20-'System Capacities'!$L$52)/($G$18))+('System Capacities'!$M$52*'System Capacities'!$D$8)),('System Capacities'!$N$21+'System Capacities'!$N$34=9),(((AD20-'System Capacities'!$L$53)/($G$18))+('System Capacities'!$M$53*'System Capacities'!$D$8)),('System Capacities'!$N$21+'System Capacities'!$N$34=10),(((AD20-'System Capacities'!$L$54)/($G$18))+('System Capacities'!$M$54*'System Capacities'!$D$8)))),((ABS(AD20-$E$18)/(-1*$G$18))+($F$18*'System Capacities'!$D$8)))</f>
        <v>9.2311680437378793E-4</v>
      </c>
      <c r="S33" s="454">
        <f t="shared" si="27"/>
        <v>0.19887392328958822</v>
      </c>
      <c r="T33" s="38"/>
      <c r="U33" s="440">
        <v>4</v>
      </c>
      <c r="V33" s="60">
        <f t="shared" si="28"/>
        <v>11.75</v>
      </c>
      <c r="W33" s="61">
        <f t="shared" si="29"/>
        <v>3.0770560145792933E-4</v>
      </c>
      <c r="X33" s="443">
        <f t="shared" si="30"/>
        <v>0.19887392328958822</v>
      </c>
      <c r="Y33" s="441">
        <f>'Structural Information'!$Z$8</f>
        <v>40.367000000000004</v>
      </c>
      <c r="Z33" s="383">
        <f t="shared" si="31"/>
        <v>8.0279436614308093</v>
      </c>
      <c r="AA33" s="60">
        <f>((Y33*X33)/(Z38)*$L$15)</f>
        <v>27.638138947798875</v>
      </c>
      <c r="AB33" s="60">
        <f>AD33-AD32+$O$18</f>
        <v>27.638138947798879</v>
      </c>
      <c r="AC33" s="60">
        <f t="shared" ref="AC33:AC36" si="34">AC32+AA33</f>
        <v>81.420872736209361</v>
      </c>
      <c r="AD33" s="444">
        <f>AC33-$O$18</f>
        <v>81.420872736209361</v>
      </c>
      <c r="AE33" s="137">
        <f>IF(($H$18=0),(_xlfn.IFS((W33&lt;='Frame Capacities'!$BT$16),(W33*'Frame Capacities'!$BK$6*'Frame Capacities'!$BM$16),(AND((W33&gt;'Frame Capacities'!$BT$16),(W33&lt;='Frame Capacities'!$BU$16))),((W33-'Frame Capacities'!$BT$16)*'Frame Capacities'!$BK$6*('Frame Capacities'!$BN$16)+'Frame Capacities'!$BF$16),(AND((W33&gt;'Frame Capacities'!$BU$16),(W33&lt;='Frame Capacities'!$BV$16))),((W33-'Frame Capacities'!$BU$16)*'Frame Capacities'!$BK$6*('Frame Capacities'!$BO$16)+'Frame Capacities'!$BG$16),(AND((W33&gt;'Frame Capacities'!$BV$16),(W33&lt;='Frame Capacities'!$BW$16))),((W33-'Frame Capacities'!$BV$16)*'Frame Capacities'!$BK$6*('Frame Capacities'!$BP$16)+'Frame Capacities'!$BH$16),(AND((W33&gt;'Frame Capacities'!$BW$16),(W33&lt;='Frame Capacities'!$BX$16))),((W33-'Frame Capacities'!$BW$16)*'Frame Capacities'!$BK$6*('Frame Capacities'!$BQ$16)+'Frame Capacities'!$BI$16))),((W33-'Frame Capacities'!$BY$16)*'Frame Capacities'!$BK$6*'Frame Capacities'!$BR$16+'Frame Capacities'!$BK$16))</f>
        <v>3.902271894729374</v>
      </c>
      <c r="AF33" s="445">
        <f>IF(($H$18=0),(_xlfn.IFS((W33&lt;='Infill Capacities'!$CY$16),(W33*'Infill Capacities'!$CS$16*'Infill Capacities'!$CQ$6),(AND((W33&gt;'Infill Capacities'!$CY$16),(W33&lt;='Infill Capacities'!$CZ$16))),((W33-'Infill Capacities'!$CY$16)*'Infill Capacities'!$CQ$6*('Infill Capacities'!$CT$16)+'Infill Capacities'!$CM$16),(AND((W33&gt;'Infill Capacities'!$CZ$16),(W33&lt;='Infill Capacities'!$DA$16))),((W33-'Infill Capacities'!$CZ$16)*'Infill Capacities'!$CQ$6*('Infill Capacities'!$CU$16)+'Infill Capacities'!$CN$16),(AND((W33&gt;'Infill Capacities'!$DA$16),(W33&lt;='Infill Capacities'!$DB$16))),((W33-'Infill Capacities'!$DA$16)*'Infill Capacities'!$CQ$6*('Infill Capacities'!$CV$16)+'Infill Capacities'!$CP$16))),((W33-'Infill Capacities'!$DC$16)*'Infill Capacities'!$CQ$6*'Infill Capacities'!$CW$16+'Infill Capacities'!$CQ$16))</f>
        <v>77.518600841480065</v>
      </c>
      <c r="AG33" s="61">
        <f>AE33/$C$18</f>
        <v>0.15334589967805254</v>
      </c>
      <c r="AH33" s="98">
        <f>AF33/$D$18</f>
        <v>0.15334589967805243</v>
      </c>
      <c r="AI33" s="446">
        <f t="shared" si="32"/>
        <v>81.420872736209446</v>
      </c>
      <c r="AJ33" s="447">
        <f t="shared" ref="AJ33:AJ36" si="35">AD33-AI33</f>
        <v>0</v>
      </c>
      <c r="AK33" s="322">
        <f t="shared" si="33"/>
        <v>-1.0472146198611434E-15</v>
      </c>
      <c r="AL33" s="38"/>
    </row>
    <row r="34" spans="1:38" x14ac:dyDescent="0.25">
      <c r="A34" s="5"/>
      <c r="B34" s="855" t="s">
        <v>0</v>
      </c>
      <c r="C34" s="857" t="s">
        <v>91</v>
      </c>
      <c r="D34" s="422"/>
      <c r="E34" s="422"/>
      <c r="F34" s="422"/>
      <c r="G34" s="422"/>
      <c r="H34" s="422"/>
      <c r="I34" s="422"/>
      <c r="J34" s="422"/>
      <c r="K34" s="422"/>
      <c r="L34" s="422"/>
      <c r="M34" s="422"/>
      <c r="N34" s="422"/>
      <c r="O34" s="422"/>
      <c r="P34" s="6"/>
      <c r="Q34" s="38"/>
      <c r="R34" s="177">
        <f>IF(($H$19=0),(_xlfn.IFS(('System Capacities'!$N$22+'System Capacities'!$N$35=2),((AD21/$G$19)),('System Capacities'!$N$22+'System Capacities'!$N$35=3),(((AD21-'System Capacities'!$D$61)/($G$19))+('System Capacities'!$E$61*'System Capacities'!$D$9)),('System Capacities'!$N$22+'System Capacities'!$N$35=4),(((AD21-'System Capacities'!$D$62)/($G$19))+('System Capacities'!$E$62*'System Capacities'!$D$9)),('System Capacities'!$N$22+'System Capacities'!$N$35=5),(((AD21-'System Capacities'!$D$63)/($G$19))+('System Capacities'!$E$63*'System Capacities'!$D$9)),('System Capacities'!$N$22+'System Capacities'!$N$35=6),(((AD21-'System Capacities'!$D$64)/($G$19))+('System Capacities'!$E$64*'System Capacities'!$D$9)),('System Capacities'!$N$22+'System Capacities'!$N$35=7),(((AD21-'System Capacities'!$D$65)/($G$19))+('System Capacities'!$E$65*'System Capacities'!$D$9)),('System Capacities'!$N$22+'System Capacities'!$N$35=8),(((AD21-'System Capacities'!$D$66)/($G$19))+('System Capacities'!$E$66*'System Capacities'!$D$9)),('System Capacities'!$N$22+'System Capacities'!$N$35=9),(((AD21-'System Capacities'!$D$67)/($G$19))+('System Capacities'!$E$67*'System Capacities'!$D$9)),('System Capacities'!$N$22+'System Capacities'!$N$35=10),(((AD21-'System Capacities'!$D$68)/($G$19))+('System Capacities'!$E$68*'System Capacities'!$D$9)))),((ABS(AD21-$E$19)/(-1*$G$19))+($F$19*'System Capacities'!$D$9)))</f>
        <v>5.3187153577065856E-3</v>
      </c>
      <c r="S34" s="454">
        <f t="shared" si="27"/>
        <v>0.19795080648521443</v>
      </c>
      <c r="T34" s="38"/>
      <c r="U34" s="440">
        <v>3</v>
      </c>
      <c r="V34" s="60">
        <f t="shared" si="28"/>
        <v>8.75</v>
      </c>
      <c r="W34" s="61">
        <f t="shared" si="29"/>
        <v>1.7729051192355285E-3</v>
      </c>
      <c r="X34" s="443">
        <f t="shared" si="30"/>
        <v>0.19795080648521443</v>
      </c>
      <c r="Y34" s="441">
        <f>'Structural Information'!$Z$9</f>
        <v>40.367000000000004</v>
      </c>
      <c r="Z34" s="383">
        <f t="shared" si="31"/>
        <v>7.9906802053886521</v>
      </c>
      <c r="AA34" s="60">
        <f>((Y34*X34)/(Z38)*$L$15)</f>
        <v>27.509850482009522</v>
      </c>
      <c r="AB34" s="60">
        <f>AD34-AD33+$O$19</f>
        <v>27.509850482009526</v>
      </c>
      <c r="AC34" s="60">
        <f t="shared" si="34"/>
        <v>108.93072321821889</v>
      </c>
      <c r="AD34" s="444">
        <f>AC34-$O$19</f>
        <v>108.93072321821889</v>
      </c>
      <c r="AE34" s="137">
        <f>IF(($H$19=0),(_xlfn.IFS((W34&lt;='Frame Capacities'!$BT$17),(W34*'Frame Capacities'!$BK$7*'Frame Capacities'!$BM$17),(AND((W34&gt;'Frame Capacities'!$BT$17),(W34&lt;='Frame Capacities'!$BU$17))),((W34-'Frame Capacities'!$BT$17)*'Frame Capacities'!$BK$7*('Frame Capacities'!$BN$17)+'Frame Capacities'!$BF$17),(AND((W34&gt;'Frame Capacities'!$BU$17),(W34&lt;='Frame Capacities'!$BV$17))),((W34-'Frame Capacities'!$BU$17)*'Frame Capacities'!$BK$7*('Frame Capacities'!$BO$17)+'Frame Capacities'!$BG$17),(AND((W34&gt;'Frame Capacities'!$BV$17),(W34&lt;='Frame Capacities'!$BW$17))),((W34-'Frame Capacities'!$BV$17)*'Frame Capacities'!$BK$7*('Frame Capacities'!$BP$17)+'Frame Capacities'!$BH$17),(AND((W34&gt;'Frame Capacities'!$BW$17),(W34&lt;='Frame Capacities'!$BX$17))),((W34-'Frame Capacities'!$BW$17)*'Frame Capacities'!$BK$7*('Frame Capacities'!$BQ$17)+'Frame Capacities'!$BI$17))),((W34-'Frame Capacities'!$BY$17)*'Frame Capacities'!$BK$7*'Frame Capacities'!$BR$17+'Frame Capacities'!$BK$17))</f>
        <v>31.854526110664231</v>
      </c>
      <c r="AF34" s="445">
        <f>IF(($H$19=0),(_xlfn.IFS((W34&lt;='Infill Capacities'!$CY$17),(W34*'Infill Capacities'!$CS$17*'Infill Capacities'!$CQ$7),(AND((W34&gt;'Infill Capacities'!$CY$17),(W34&lt;='Infill Capacities'!$CZ$17))),((W34-'Infill Capacities'!$CY$17)*'Infill Capacities'!$CQ$7*('Infill Capacities'!$CT$17)+'Infill Capacities'!$CM$17),(AND((W34&gt;'Infill Capacities'!$CZ$17),(W34&lt;='Infill Capacities'!$DA$17))),((W34-'Infill Capacities'!$CZ$17)*'Infill Capacities'!$CQ$7*('Infill Capacities'!$CU$17)+'Infill Capacities'!$CN$17),(AND((W34&gt;'Infill Capacities'!$DA$17),(W34&lt;='Infill Capacities'!$DB$17))),((W34-'Infill Capacities'!$DA$17)*'Infill Capacities'!$CQ$7*('Infill Capacities'!$CV$17)+'Infill Capacities'!$CP$17))),((W34-'Infill Capacities'!$DC$17)*'Infill Capacities'!$CQ$7*'Infill Capacities'!$CW$17+'Infill Capacities'!$CQ$17))</f>
        <v>77.076197107554776</v>
      </c>
      <c r="AG34" s="61">
        <f>AE34/$C$19</f>
        <v>0.47520265984333138</v>
      </c>
      <c r="AH34" s="98">
        <f>AF34/$D$19</f>
        <v>0.12700956982929304</v>
      </c>
      <c r="AI34" s="446">
        <f t="shared" si="32"/>
        <v>108.93072321821901</v>
      </c>
      <c r="AJ34" s="447">
        <f t="shared" si="35"/>
        <v>-1.2789769243681803E-13</v>
      </c>
      <c r="AK34" s="322">
        <f t="shared" si="33"/>
        <v>-1.1741195565240393E-15</v>
      </c>
      <c r="AL34" s="38"/>
    </row>
    <row r="35" spans="1:38" x14ac:dyDescent="0.25">
      <c r="A35" s="5"/>
      <c r="B35" s="856"/>
      <c r="C35" s="858"/>
      <c r="D35" s="422"/>
      <c r="E35" s="422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6"/>
      <c r="Q35" s="38"/>
      <c r="R35" s="177">
        <f>IF(($H$20=0),(_xlfn.IFS(('System Capacities'!$N$23+'System Capacities'!$N$36=2),((AD22/$G$20)),('System Capacities'!$N$23+'System Capacities'!$N$36=3),(((AD22-'System Capacities'!$H$61)/ABS($G$20))+('System Capacities'!$I$61*'System Capacities'!$D$10)),('System Capacities'!$N$23+'System Capacities'!$N$36=4),(((AD22-'System Capacities'!$H$62)/($G$20))+('System Capacities'!$I$62*'System Capacities'!$D$10)),('System Capacities'!$N$23+'System Capacities'!$N$36=5),(((AD22-'System Capacities'!$H$63)/($G$20))+('System Capacities'!$I$63*'System Capacities'!$D$10)),('System Capacities'!$N$23+'System Capacities'!$N$36=6),(((AD22-'System Capacities'!$H$64)/($G$20))+('System Capacities'!$I$64*'System Capacities'!$D$10)),('System Capacities'!$N$23+'System Capacities'!$N$36=7),(((AD22-'System Capacities'!$H$65)/($G$20))+('System Capacities'!$I$65*'System Capacities'!$D$10)),('System Capacities'!$N$23+'System Capacities'!$N$36=8),(((AD22-'System Capacities'!$H$66)/($G$20))+('System Capacities'!$I$66*'System Capacities'!$D$10)),('System Capacities'!$N$23+'System Capacities'!$N$36=9),(((AD22-'System Capacities'!$H$67)/($G$20))+('System Capacities'!$I$67*'System Capacities'!$D$10)),('System Capacities'!$N$23+'System Capacities'!$N$36=10),(((AD22-'System Capacities'!$H$68)/($G$20))+('System Capacities'!$I$68*'System Capacities'!$D$10)))),((ABS(AD22-$E$20)/(-1*$G$20))+($F$20*'System Capacities'!$D$10)))</f>
        <v>0.18640051880914391</v>
      </c>
      <c r="S35" s="454">
        <f t="shared" si="27"/>
        <v>0.19263209112750784</v>
      </c>
      <c r="T35" s="38"/>
      <c r="U35" s="440">
        <v>2</v>
      </c>
      <c r="V35" s="60">
        <f t="shared" si="28"/>
        <v>5.75</v>
      </c>
      <c r="W35" s="61">
        <f t="shared" si="29"/>
        <v>6.2133506269714638E-2</v>
      </c>
      <c r="X35" s="443">
        <f t="shared" si="30"/>
        <v>0.19263209112750784</v>
      </c>
      <c r="Y35" s="441">
        <f>'Structural Information'!$Z$10</f>
        <v>40.367000000000004</v>
      </c>
      <c r="Z35" s="383">
        <f t="shared" si="31"/>
        <v>7.77597962254411</v>
      </c>
      <c r="AA35" s="60">
        <f>((Y35*X35)/(Z38)*$L$15)</f>
        <v>26.770691764523797</v>
      </c>
      <c r="AB35" s="60">
        <f>AD35-AD34+$O$20</f>
        <v>26.770691764523789</v>
      </c>
      <c r="AC35" s="60">
        <f t="shared" si="34"/>
        <v>135.70141498274268</v>
      </c>
      <c r="AD35" s="444">
        <f>AC35-$O$20</f>
        <v>135.70141498274268</v>
      </c>
      <c r="AE35" s="137">
        <f>IF(($H$20=0),(_xlfn.IFS((W35&lt;='Frame Capacities'!$BT$18),(W35*'Frame Capacities'!$BK$8*'Frame Capacities'!$BM$18),(AND((W35&gt;'Frame Capacities'!$BT$18),(W35&lt;='Frame Capacities'!$BU$18))),((W35-'Frame Capacities'!$BT$18)*'Frame Capacities'!$BK$8*('Frame Capacities'!$BN$18)+'Frame Capacities'!$BF$18),(AND((W35&gt;'Frame Capacities'!$BU$18),(W35&lt;='Frame Capacities'!$BV$18))),((W35-'Frame Capacities'!$BU$18)*'Frame Capacities'!$BK$8*('Frame Capacities'!$BO$18)+'Frame Capacities'!$BG$18),(AND((W35&gt;'Frame Capacities'!$BV$18),(W35&lt;='Frame Capacities'!$BW$18))),((W35-'Frame Capacities'!$BV$18)*'Frame Capacities'!$BK$8*('Frame Capacities'!$BP$18)+'Frame Capacities'!$BH$18),(AND((W35&gt;'Frame Capacities'!$BW$18),(W35&lt;='Frame Capacities'!$BX$18))),((W35-'Frame Capacities'!$BW$18)*'Frame Capacities'!$BK$8*('Frame Capacities'!$BQ$18)+'Frame Capacities'!$BI$18))),((W35-'Frame Capacities'!$BY$18)*'Frame Capacities'!$BK$8*'Frame Capacities'!$BR$18+'Frame Capacities'!$BK$18))</f>
        <v>69.605414982742516</v>
      </c>
      <c r="AF35" s="445">
        <f>IF(($H$20=0),(_xlfn.IFS((W35&lt;='Infill Capacities'!$CY$18),(W35*'Infill Capacities'!$CS$18*'Infill Capacities'!$CQ$8),(AND((W35&gt;'Infill Capacities'!$CY$18),(W35&lt;='Infill Capacities'!$CZ$18))),((W35-'Infill Capacities'!$CY$18)*'Infill Capacities'!$CQ$8*('Infill Capacities'!$CT$18)+'Infill Capacities'!$CM$18),(AND((W35&gt;'Infill Capacities'!$CZ$18),(W35&lt;='Infill Capacities'!$DA$18))),((W35-'Infill Capacities'!$CZ$18)*'Infill Capacities'!$CQ$8*('Infill Capacities'!$CU$18)+'Infill Capacities'!$CN$18),(AND((W35&gt;'Infill Capacities'!$DA$18),(W35&lt;='Infill Capacities'!$DB$18))),((W35-'Infill Capacities'!$DA$18)*'Infill Capacities'!$CQ$8*('Infill Capacities'!$CV$18)+'Infill Capacities'!$CP$18))),((W35-'Infill Capacities'!$DC$18)*'Infill Capacities'!$CQ$8*'Infill Capacities'!$CW$18+'Infill Capacities'!$CQ$18))</f>
        <v>66.096000000000004</v>
      </c>
      <c r="AG35" s="61">
        <f>AE35/$C$20</f>
        <v>3.9850428425234261</v>
      </c>
      <c r="AH35" s="98">
        <f>AF35/$D$20</f>
        <v>1</v>
      </c>
      <c r="AI35" s="446">
        <f t="shared" si="32"/>
        <v>135.70141498274251</v>
      </c>
      <c r="AJ35" s="447">
        <f t="shared" si="35"/>
        <v>0</v>
      </c>
      <c r="AK35" s="322">
        <f t="shared" si="33"/>
        <v>1.2566579103402171E-15</v>
      </c>
      <c r="AL35" s="38"/>
    </row>
    <row r="36" spans="1:38" x14ac:dyDescent="0.25">
      <c r="A36" s="5"/>
      <c r="B36" s="415">
        <v>6</v>
      </c>
      <c r="C36" s="416">
        <v>0.19995986072674579</v>
      </c>
      <c r="D36" s="422"/>
      <c r="E36" s="422"/>
      <c r="F36" s="422"/>
      <c r="G36" s="422"/>
      <c r="H36" s="422"/>
      <c r="I36" s="422"/>
      <c r="J36" s="422"/>
      <c r="K36" s="422"/>
      <c r="L36" s="422"/>
      <c r="M36" s="422"/>
      <c r="N36" s="422"/>
      <c r="O36" s="422"/>
      <c r="P36" s="6"/>
      <c r="Q36" s="38"/>
      <c r="R36" s="177">
        <f>IF(($H$21=0),(_xlfn.IFS(('System Capacities'!$N$24+'System Capacities'!$N$37=2),(AD23/$G$21),('System Capacities'!$N$24+'System Capacities'!$N$37=3),(((AD23-'System Capacities'!$L$61)/($G$21))+('System Capacities'!$M$61*'System Capacities'!$D$11)),('System Capacities'!$N$24+'System Capacities'!$N$37=4),(((AD23-'System Capacities'!$L$62)/($G$21))+('System Capacities'!$M$62*'System Capacities'!$D$11)),('System Capacities'!$N$24+'System Capacities'!$N$37=5),(((AD23-'System Capacities'!$L$63)/($G$21))+('System Capacities'!$M$63*'System Capacities'!$D$11)),('System Capacities'!$N$24+'System Capacities'!$N$37=6),(((AD23-'System Capacities'!$L$64)/($G$21))+('System Capacities'!$M$64*'System Capacities'!$D$11)),('System Capacities'!$N$24+'System Capacities'!$N$37=7),(((AD23-'System Capacities'!$L$65)/($G$21))+('System Capacities'!$M$65*'System Capacities'!$D$11)),('System Capacities'!$N$24+'System Capacities'!$N$37=8),(((AD23-'System Capacities'!$L$66)/($G$21))+('System Capacities'!$M$66*'System Capacities'!$D$11)),('System Capacities'!$N$24+'System Capacities'!$N$37=9),(((AD23-'System Capacities'!$L$67)/($G$21))+('System Capacities'!$M$67*'System Capacities'!$D$11)),('System Capacities'!$N$24+'System Capacities'!$N$37=10),(((AD23-'System Capacities'!$L$68)/($G$21))+('System Capacities'!$M$68*'System Capacities'!$D$11)))),((ABS(AD23-$E$21)/(-1*$G$21))+($F$21*'System Capacities'!$D$11)))</f>
        <v>6.2315723183639362E-3</v>
      </c>
      <c r="S36" s="454">
        <f t="shared" si="27"/>
        <v>6.2315723183639362E-3</v>
      </c>
      <c r="T36" s="38"/>
      <c r="U36" s="440">
        <v>1</v>
      </c>
      <c r="V36" s="60">
        <f t="shared" si="28"/>
        <v>2.75</v>
      </c>
      <c r="W36" s="61">
        <f t="shared" si="29"/>
        <v>2.2660262975868861E-3</v>
      </c>
      <c r="X36" s="443">
        <f t="shared" si="30"/>
        <v>6.2315723183639362E-3</v>
      </c>
      <c r="Y36" s="441">
        <f>'Structural Information'!$Z$11</f>
        <v>40.367000000000004</v>
      </c>
      <c r="Z36" s="383">
        <f t="shared" si="31"/>
        <v>0.25154987977539706</v>
      </c>
      <c r="AA36" s="60">
        <f>((Y36*X36)/(Z38)*$L$15)</f>
        <v>0.86602134030116185</v>
      </c>
      <c r="AB36" s="60">
        <f>AD36-AD35+$O$21</f>
        <v>0.86602134030115963</v>
      </c>
      <c r="AC36" s="60">
        <f t="shared" si="34"/>
        <v>136.56743632304384</v>
      </c>
      <c r="AD36" s="444">
        <f>AC36-$O$21</f>
        <v>136.56743632304384</v>
      </c>
      <c r="AE36" s="137">
        <f>IF(($H$21=0),(_xlfn.IFS((W36&lt;='Frame Capacities'!$BT$19),(W36*'Frame Capacities'!$BK$9*'Frame Capacities'!$BM$19),(AND((W36&gt;'Frame Capacities'!$BT$19),(W36&lt;='Frame Capacities'!$BU$19))),((W36-'Frame Capacities'!$BT$19)*'Frame Capacities'!$BK$9*('Frame Capacities'!$BN$19)+'Frame Capacities'!$BF$19),(AND((W36&gt;'Frame Capacities'!$BU$19),(W36&lt;='Frame Capacities'!$BV$19))),((W36-'Frame Capacities'!$BU$19)*'Frame Capacities'!$BK$9*('Frame Capacities'!$BO$19)+'Frame Capacities'!$BG$19),(AND((W36&gt;'Frame Capacities'!$BV$19),(W36&lt;='Frame Capacities'!$BW$19))),((W36-'Frame Capacities'!$BV$19)*'Frame Capacities'!$BK$9*('Frame Capacities'!$BP$19)+'Frame Capacities'!$BH$19),(AND((W36&gt;'Frame Capacities'!$BW$19),(W36&lt;='Frame Capacities'!$BX$19))),((W36-'Frame Capacities'!$BW$19)*'Frame Capacities'!$BK$9*('Frame Capacities'!$BQ$19)+'Frame Capacities'!$BI$19))),((W36-'Frame Capacities'!$BY$19)*'Frame Capacities'!$BK$9*'Frame Capacities'!$BR$19+'Frame Capacities'!$BK$19))</f>
        <v>105.46591492150033</v>
      </c>
      <c r="AF36" s="445">
        <f>IF(($H$21=0),(_xlfn.IFS((W36&lt;='Infill Capacities'!$CY$19),(W36*'Infill Capacities'!$CS$19*'Infill Capacities'!$CQ$9),(AND((W36&gt;'Infill Capacities'!$CY$19),(W36&lt;='Infill Capacities'!$CZ$19))),((W36-'Infill Capacities'!$CY$19)*'Infill Capacities'!$CQ$9*('Infill Capacities'!$CT$19)+'Infill Capacities'!$CM$19),(AND((W36&gt;'Infill Capacities'!$CZ$19),(W36&lt;='Infill Capacities'!$DA$19))),((W36-'Infill Capacities'!$CZ$19)*'Infill Capacities'!$CQ$9*('Infill Capacities'!$CU$19)+'Infill Capacities'!$CN$19),(AND((W36&gt;'Infill Capacities'!$DA$19),(W36&lt;='Infill Capacities'!$DB$19))),((W36-'Infill Capacities'!$DA$19)*'Infill Capacities'!$CQ$9*('Infill Capacities'!$CV$19)+'Infill Capacities'!$CP$19))),((W36-'Infill Capacities'!$DC$19)*'Infill Capacities'!$CQ$9*'Infill Capacities'!$CW$19+'Infill Capacities'!$CQ$19))</f>
        <v>31.10152140154355</v>
      </c>
      <c r="AG36" s="61">
        <f>AE36/$C$21</f>
        <v>0.52630847089436639</v>
      </c>
      <c r="AH36" s="98">
        <f>AF36/$D$21</f>
        <v>5.0253630277048884E-2</v>
      </c>
      <c r="AI36" s="446">
        <f t="shared" si="32"/>
        <v>136.56743632304386</v>
      </c>
      <c r="AJ36" s="447">
        <f t="shared" si="35"/>
        <v>0</v>
      </c>
      <c r="AK36" s="322">
        <f t="shared" si="33"/>
        <v>-2.0811483466068581E-16</v>
      </c>
      <c r="AL36" s="38"/>
    </row>
    <row r="37" spans="1:38" x14ac:dyDescent="0.25">
      <c r="A37" s="5"/>
      <c r="B37" s="415">
        <v>5</v>
      </c>
      <c r="C37" s="416">
        <v>0.19953581834532494</v>
      </c>
      <c r="D37" s="422"/>
      <c r="E37" s="422"/>
      <c r="F37" s="422"/>
      <c r="G37" s="422"/>
      <c r="H37" s="422"/>
      <c r="I37" s="422"/>
      <c r="J37" s="422"/>
      <c r="K37" s="422"/>
      <c r="L37" s="422"/>
      <c r="M37" s="422"/>
      <c r="N37" s="422"/>
      <c r="O37" s="422"/>
      <c r="P37" s="6"/>
      <c r="Q37" s="38"/>
      <c r="R37" s="178">
        <v>0</v>
      </c>
      <c r="S37" s="455">
        <f>R37</f>
        <v>0</v>
      </c>
      <c r="T37" s="38"/>
      <c r="U37" s="439">
        <v>0</v>
      </c>
      <c r="V37" s="100">
        <f t="shared" si="28"/>
        <v>0</v>
      </c>
      <c r="W37" s="174" t="s">
        <v>83</v>
      </c>
      <c r="X37" s="448">
        <f t="shared" si="30"/>
        <v>0</v>
      </c>
      <c r="Y37" s="237" t="str">
        <f>E11</f>
        <v>-</v>
      </c>
      <c r="Z37" s="385">
        <v>0</v>
      </c>
      <c r="AA37" s="100" t="s">
        <v>83</v>
      </c>
      <c r="AB37" s="100"/>
      <c r="AC37" s="449" t="s">
        <v>83</v>
      </c>
      <c r="AD37" s="449" t="s">
        <v>83</v>
      </c>
      <c r="AE37" s="134" t="s">
        <v>83</v>
      </c>
      <c r="AF37" s="134" t="s">
        <v>83</v>
      </c>
      <c r="AG37" s="161" t="s">
        <v>83</v>
      </c>
      <c r="AH37" s="134" t="s">
        <v>83</v>
      </c>
      <c r="AI37" s="450" t="s">
        <v>83</v>
      </c>
      <c r="AJ37" s="451" t="s">
        <v>83</v>
      </c>
      <c r="AK37" s="38"/>
      <c r="AL37" s="38"/>
    </row>
    <row r="38" spans="1:38" x14ac:dyDescent="0.25">
      <c r="A38" s="5"/>
      <c r="B38" s="415">
        <v>4</v>
      </c>
      <c r="C38" s="416">
        <v>0.19887392328964326</v>
      </c>
      <c r="D38" s="422"/>
      <c r="E38" s="422"/>
      <c r="F38" s="422"/>
      <c r="G38" s="422"/>
      <c r="H38" s="422"/>
      <c r="I38" s="422"/>
      <c r="J38" s="422"/>
      <c r="K38" s="422"/>
      <c r="L38" s="422"/>
      <c r="M38" s="422"/>
      <c r="N38" s="422"/>
      <c r="O38" s="422"/>
      <c r="P38" s="6"/>
      <c r="Q38" s="38"/>
      <c r="R38" s="38"/>
      <c r="S38" s="38"/>
      <c r="T38" s="38"/>
      <c r="U38" s="38"/>
      <c r="V38" s="38"/>
      <c r="W38" s="38"/>
      <c r="X38" s="38"/>
      <c r="Y38" s="452" t="s">
        <v>95</v>
      </c>
      <c r="Z38" s="453">
        <f>SUM(Z31:Z37)</f>
        <v>39.66821669353935</v>
      </c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</row>
    <row r="39" spans="1:38" x14ac:dyDescent="0.25">
      <c r="A39" s="5"/>
      <c r="B39" s="415">
        <v>3</v>
      </c>
      <c r="C39" s="416">
        <v>0.19795080648526586</v>
      </c>
      <c r="D39" s="422"/>
      <c r="E39" s="422"/>
      <c r="F39" s="422"/>
      <c r="G39" s="422"/>
      <c r="H39" s="422"/>
      <c r="I39" s="422"/>
      <c r="J39" s="422"/>
      <c r="K39" s="422"/>
      <c r="L39" s="422"/>
      <c r="M39" s="422"/>
      <c r="N39" s="422"/>
      <c r="O39" s="422"/>
      <c r="P39" s="6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</row>
    <row r="40" spans="1:38" ht="16.5" thickBot="1" x14ac:dyDescent="0.3">
      <c r="A40" s="5"/>
      <c r="B40" s="415">
        <v>2</v>
      </c>
      <c r="C40" s="416">
        <v>0.19263209112755733</v>
      </c>
      <c r="D40" s="422"/>
      <c r="E40" s="422"/>
      <c r="F40" s="422"/>
      <c r="G40" s="422"/>
      <c r="H40" s="422"/>
      <c r="I40" s="422"/>
      <c r="J40" s="422"/>
      <c r="K40" s="422"/>
      <c r="L40" s="422"/>
      <c r="M40" s="422"/>
      <c r="N40" s="422"/>
      <c r="O40" s="422"/>
      <c r="P40" s="6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</row>
    <row r="41" spans="1:38" ht="16.5" thickBot="1" x14ac:dyDescent="0.3">
      <c r="A41" s="5"/>
      <c r="B41" s="415">
        <v>1</v>
      </c>
      <c r="C41" s="416">
        <v>6.2315723183639371E-3</v>
      </c>
      <c r="D41" s="422"/>
      <c r="E41" s="422"/>
      <c r="F41" s="422"/>
      <c r="G41" s="422"/>
      <c r="H41" s="422"/>
      <c r="I41" s="422"/>
      <c r="J41" s="422"/>
      <c r="K41" s="422"/>
      <c r="L41" s="422"/>
      <c r="M41" s="422"/>
      <c r="N41" s="422"/>
      <c r="O41" s="422"/>
      <c r="P41" s="6"/>
      <c r="Q41" s="38"/>
      <c r="R41" s="886" t="s">
        <v>272</v>
      </c>
      <c r="S41" s="888"/>
      <c r="T41" s="2"/>
      <c r="U41" s="886" t="s">
        <v>272</v>
      </c>
      <c r="V41" s="887"/>
      <c r="W41" s="887"/>
      <c r="X41" s="887"/>
      <c r="Y41" s="887"/>
      <c r="Z41" s="887"/>
      <c r="AA41" s="887"/>
      <c r="AB41" s="887"/>
      <c r="AC41" s="887"/>
      <c r="AD41" s="887"/>
      <c r="AE41" s="887"/>
      <c r="AF41" s="887"/>
      <c r="AG41" s="887"/>
      <c r="AH41" s="887"/>
      <c r="AI41" s="887"/>
      <c r="AJ41" s="888"/>
      <c r="AK41" s="38"/>
      <c r="AL41" s="38"/>
    </row>
    <row r="42" spans="1:38" ht="16.5" customHeight="1" thickBot="1" x14ac:dyDescent="0.3">
      <c r="A42" s="5"/>
      <c r="B42" s="417">
        <v>0</v>
      </c>
      <c r="C42" s="418">
        <v>0</v>
      </c>
      <c r="D42" s="422"/>
      <c r="E42" s="422"/>
      <c r="F42" s="422"/>
      <c r="G42" s="422"/>
      <c r="H42" s="422"/>
      <c r="I42" s="422"/>
      <c r="J42" s="422"/>
      <c r="K42" s="422"/>
      <c r="L42" s="422"/>
      <c r="M42" s="422"/>
      <c r="N42" s="422"/>
      <c r="O42" s="422"/>
      <c r="P42" s="6"/>
      <c r="Q42" s="38"/>
      <c r="R42" s="585" t="s">
        <v>98</v>
      </c>
      <c r="S42" s="581" t="s">
        <v>97</v>
      </c>
      <c r="T42" s="38"/>
      <c r="U42" s="581" t="s">
        <v>0</v>
      </c>
      <c r="V42" s="581" t="s">
        <v>89</v>
      </c>
      <c r="W42" s="581" t="s">
        <v>119</v>
      </c>
      <c r="X42" s="585" t="s">
        <v>91</v>
      </c>
      <c r="Y42" s="581" t="s">
        <v>93</v>
      </c>
      <c r="Z42" s="581" t="s">
        <v>94</v>
      </c>
      <c r="AA42" s="585" t="s">
        <v>456</v>
      </c>
      <c r="AB42" s="585" t="s">
        <v>457</v>
      </c>
      <c r="AC42" s="585" t="s">
        <v>458</v>
      </c>
      <c r="AD42" s="580" t="s">
        <v>459</v>
      </c>
      <c r="AE42" s="585" t="s">
        <v>207</v>
      </c>
      <c r="AF42" s="585" t="s">
        <v>206</v>
      </c>
      <c r="AG42" s="585" t="s">
        <v>208</v>
      </c>
      <c r="AH42" s="585" t="s">
        <v>209</v>
      </c>
      <c r="AI42" s="845" t="s">
        <v>391</v>
      </c>
      <c r="AJ42" s="845" t="s">
        <v>451</v>
      </c>
      <c r="AK42" s="872" t="s">
        <v>265</v>
      </c>
      <c r="AL42" s="38"/>
    </row>
    <row r="43" spans="1:38" x14ac:dyDescent="0.25">
      <c r="A43" s="5"/>
      <c r="B43" s="422"/>
      <c r="C43" s="422"/>
      <c r="D43" s="422"/>
      <c r="E43" s="422"/>
      <c r="F43" s="422"/>
      <c r="G43" s="422"/>
      <c r="H43" s="422"/>
      <c r="I43" s="422"/>
      <c r="J43" s="422"/>
      <c r="K43" s="422"/>
      <c r="L43" s="422"/>
      <c r="M43" s="422"/>
      <c r="N43" s="422"/>
      <c r="O43" s="422"/>
      <c r="P43" s="6"/>
      <c r="Q43" s="38"/>
      <c r="R43" s="580"/>
      <c r="S43" s="582"/>
      <c r="T43" s="38"/>
      <c r="U43" s="582"/>
      <c r="V43" s="582"/>
      <c r="W43" s="582"/>
      <c r="X43" s="580"/>
      <c r="Y43" s="582"/>
      <c r="Z43" s="582"/>
      <c r="AA43" s="580"/>
      <c r="AB43" s="580"/>
      <c r="AC43" s="580"/>
      <c r="AD43" s="847"/>
      <c r="AE43" s="580"/>
      <c r="AF43" s="580"/>
      <c r="AG43" s="580"/>
      <c r="AH43" s="580"/>
      <c r="AI43" s="846"/>
      <c r="AJ43" s="846"/>
      <c r="AK43" s="872"/>
      <c r="AL43" s="38"/>
    </row>
    <row r="44" spans="1:38" x14ac:dyDescent="0.25">
      <c r="A44" s="5"/>
      <c r="B44" s="422"/>
      <c r="C44" s="422"/>
      <c r="D44" s="422"/>
      <c r="E44" s="422"/>
      <c r="F44" s="422"/>
      <c r="G44" s="422"/>
      <c r="H44" s="422"/>
      <c r="I44" s="422"/>
      <c r="J44" s="422"/>
      <c r="K44" s="422"/>
      <c r="L44" s="422"/>
      <c r="M44" s="422"/>
      <c r="N44" s="422"/>
      <c r="O44" s="422"/>
      <c r="P44" s="6"/>
      <c r="Q44" s="38"/>
      <c r="R44" s="177">
        <f>IF(($H$16=0),(_xlfn.IFS(('System Capacities'!$N$19+'System Capacities'!$N$32=2),((AD31/$G$16)),('System Capacities'!$N$19+'System Capacities'!$N$32=3),(((AD31-'System Capacities'!$D$47)/($G$16))+('System Capacities'!$E$47*'System Capacities'!$D$6)),('System Capacities'!$N$19+'System Capacities'!$N$32=4),(((AD31-'System Capacities'!$D$48)/($G$16))+('System Capacities'!$E$48*'System Capacities'!$D$6)),('System Capacities'!$N$19+'System Capacities'!$N$32=5),(((AD31-'System Capacities'!$D$49)/($G$16))+('System Capacities'!$E$49*'System Capacities'!$D$6)),('System Capacities'!$N$19+'System Capacities'!$N$32=6),(((AD31-'System Capacities'!$D$50)/($G$16))+('System Capacities'!$E$50*'System Capacities'!$D$6)),('System Capacities'!$N$19+'System Capacities'!$N$32=7),(((AD31-'System Capacities'!$D$51)/($G$16))+('System Capacities'!$E$51*'System Capacities'!$D$6)),('System Capacities'!$N$19+'System Capacities'!$N$32=8),(((AD31-'System Capacities'!$D$52)/($G$16))+('System Capacities'!$E$52*'System Capacities'!$D$6)),('System Capacities'!$N$19+'System Capacities'!$N$32=9),(((AD31-'System Capacities'!$D$53)/($G$16))+('System Capacities'!$E$53*'System Capacities'!$D$6)),('System Capacities'!$N$19+'System Capacities'!$N$32=8),(((AD31-'System Capacities'!$D$54)/($G$16))+('System Capacities'!$E$54*'System Capacities'!$D$6)))),((ABS(AD31-$E$16)/(-1*$G$16))+($F$16*'System Capacities'!$D$6)))</f>
        <v>4.2404238141735941E-4</v>
      </c>
      <c r="S44" s="454">
        <f t="shared" ref="S44:S49" si="36">S45+R44</f>
        <v>0.19995986072668318</v>
      </c>
      <c r="T44" s="38"/>
      <c r="U44" s="440">
        <v>6</v>
      </c>
      <c r="V44" s="60">
        <f t="shared" ref="V44:V50" si="37">V5</f>
        <v>17.75</v>
      </c>
      <c r="W44" s="61">
        <f t="shared" ref="W44:W49" si="38">R44/(V44-V45)</f>
        <v>1.4134746047245314E-4</v>
      </c>
      <c r="X44" s="443">
        <f t="shared" ref="X44:X50" si="39">S44</f>
        <v>0.19995986072668318</v>
      </c>
      <c r="Y44" s="441">
        <f>'Structural Information'!$Z$6</f>
        <v>37.8446</v>
      </c>
      <c r="Z44" s="383">
        <f t="shared" ref="Z44:Z49" si="40">Y44*X44</f>
        <v>7.5674009452570337</v>
      </c>
      <c r="AA44" s="60">
        <f>((Y44*X44)/(Z51)*$L$15)</f>
        <v>26.052609188520652</v>
      </c>
      <c r="AB44" s="60">
        <f>AD44+$O$16</f>
        <v>26.052609188520652</v>
      </c>
      <c r="AC44" s="60">
        <f>AA44</f>
        <v>26.052609188520652</v>
      </c>
      <c r="AD44" s="464">
        <f>AC44-$O$16</f>
        <v>26.052609188520652</v>
      </c>
      <c r="AE44" s="135">
        <f>IF(($H$16=0),(_xlfn.IFS((W44&lt;='Frame Capacities'!$BT$14),(W44*'Frame Capacities'!$BK$4*'Frame Capacities'!$BM$14),(AND((W44&gt;'Frame Capacities'!$BT$14),(W44&lt;='Frame Capacities'!$BU$14))),((W44-'Frame Capacities'!$BT$14)*'Frame Capacities'!$BK$4*('Frame Capacities'!$BN$14)+'Frame Capacities'!$BF$14),(AND((W44&gt;'Frame Capacities'!$BU$14),(W44&lt;='Frame Capacities'!$BV$14))),((W44-'Frame Capacities'!$BU$14)*'Frame Capacities'!$BK$4*('Frame Capacities'!$BO$14)+'Frame Capacities'!$BG$14),(AND((W44&gt;'Frame Capacities'!$BV$14),(W44&lt;='Frame Capacities'!$BW$14))),((W44-'Frame Capacities'!$BV$14)*'Frame Capacities'!$BK$4*('Frame Capacities'!$BP$14)+'Frame Capacities'!$BH$14),(AND((W44&gt;'Frame Capacities'!$BW$14),(W44&lt;='Frame Capacities'!$BX$14))),((W44-'Frame Capacities'!$BW$14)*'Frame Capacities'!$BK$4*('Frame Capacities'!$BQ$14)+'Frame Capacities'!$BI$14))),((W44-'Frame Capacities'!$BY$14)*'Frame Capacities'!$BK$4*'Frame Capacities'!$BR$14+'Frame Capacities'!$BK$14))</f>
        <v>1.5123472170326107</v>
      </c>
      <c r="AF44" s="496">
        <f>IF(($H$16=0),(_xlfn.IFS((W44&lt;='Infill Capacities'!$CY$14),(W44*'Infill Capacities'!$CS$14*'Infill Capacities'!$CQ$4),(AND((W44&gt;'Infill Capacities'!$CY$14),(W44&lt;='Infill Capacities'!$CZ$14))),((W44-'Infill Capacities'!$CY$14)*'Infill Capacities'!$CQ$4*('Infill Capacities'!$CT$14)+'Infill Capacities'!$CM$14),(AND((W44&gt;'Infill Capacities'!$CZ$14),(W44&lt;='Infill Capacities'!$DA$14))),((W44-'Infill Capacities'!$CZ$14)*'Infill Capacities'!$CQ$4*('Infill Capacities'!$CU$14)+'Infill Capacities'!$CN$14),(AND((W44&gt;'Infill Capacities'!$DA$14),(W44&lt;='Infill Capacities'!$DB$14))),((W44-'Infill Capacities'!$DA$14)*'Infill Capacities'!$CQ$4*('Infill Capacities'!$CV$14)+'Infill Capacities'!$CP$14))),((W44-'Infill Capacities'!$DC$14)*'Infill Capacities'!$CQ$4*'Infill Capacities'!$CW$14+'Infill Capacities'!$CQ$14))</f>
        <v>24.540261971488064</v>
      </c>
      <c r="AG44" s="61">
        <f>AE44/$C$16</f>
        <v>0.14304470110505652</v>
      </c>
      <c r="AH44" s="98">
        <f>AF44/$D$16</f>
        <v>0.14304470110505671</v>
      </c>
      <c r="AI44" s="446">
        <f t="shared" ref="AI44:AI49" si="41">AE44+AF44</f>
        <v>26.052609188520677</v>
      </c>
      <c r="AJ44" s="447">
        <f>AD44-AI44</f>
        <v>0</v>
      </c>
      <c r="AK44" s="322">
        <f>(AD44-(AI44))/AD44</f>
        <v>-9.5456833408307261E-16</v>
      </c>
      <c r="AL44" s="38"/>
    </row>
    <row r="45" spans="1:38" x14ac:dyDescent="0.25">
      <c r="A45" s="5"/>
      <c r="B45" s="422"/>
      <c r="C45" s="422"/>
      <c r="D45" s="422"/>
      <c r="E45" s="422"/>
      <c r="F45" s="422"/>
      <c r="G45" s="422"/>
      <c r="H45" s="422"/>
      <c r="I45" s="422"/>
      <c r="J45" s="422"/>
      <c r="K45" s="422"/>
      <c r="L45" s="422"/>
      <c r="M45" s="422"/>
      <c r="N45" s="422"/>
      <c r="O45" s="422"/>
      <c r="P45" s="6"/>
      <c r="Q45" s="38"/>
      <c r="R45" s="177">
        <f>IF(($H$17=0),(_xlfn.IFS(('System Capacities'!$N$20+'System Capacities'!$N$33=2),((AD32/$G$17)),('System Capacities'!$N$20+'System Capacities'!$N$33=3),(((AD32-'System Capacities'!$H$47)/($G$17))+('System Capacities'!$I$47*'System Capacities'!$D$7)),('System Capacities'!$N$20+'System Capacities'!$N$33=4),(((AD32-'System Capacities'!$H$48)/($G$17))+('System Capacities'!$I$48*'System Capacities'!$D$7)),('System Capacities'!$N$20+'System Capacities'!$N$33=5),(((AD32-'System Capacities'!H$49)/($G$17))+('System Capacities'!$I$49*'System Capacities'!$D$7)),('System Capacities'!$N$20+'System Capacities'!$N$33=6),(((AD32-'System Capacities'!$H$50)/($G$17))+('System Capacities'!$I$50*'System Capacities'!$D$7)),('System Capacities'!$N$20+'System Capacities'!$N$33=7),(((AD32-'System Capacities'!$H$51)/($G$17))+('System Capacities'!$I$51*'System Capacities'!$D$7)),('System Capacities'!N59+'System Capacities'!$N$33=8),(((AD32-'System Capacities'!$H$52)/($G$17))+('System Capacities'!$I$52*'System Capacities'!$D$7)),('System Capacities'!N59+'System Capacities'!$N$33=9),(((AD32-'System Capacities'!$H$53)/($G$17))+('System Capacities'!$I$53*'System Capacities'!$D$7)),('System Capacities'!N59+'System Capacities'!$N$33=10),(((AD32-'System Capacities'!$H$54)/($G$17))+('System Capacities'!$I$54*'System Capacities'!$D$7)))),((ABS(AD32-$E$17)/(-1*$G$17))+($F$17*'System Capacities'!$D$7)))</f>
        <v>6.6189505567759276E-4</v>
      </c>
      <c r="S45" s="454">
        <f t="shared" si="36"/>
        <v>0.19953581834526582</v>
      </c>
      <c r="T45" s="38"/>
      <c r="U45" s="440">
        <v>5</v>
      </c>
      <c r="V45" s="60">
        <f t="shared" si="37"/>
        <v>14.75</v>
      </c>
      <c r="W45" s="61">
        <f t="shared" si="38"/>
        <v>2.2063168522586425E-4</v>
      </c>
      <c r="X45" s="443">
        <f t="shared" si="39"/>
        <v>0.19953581834526582</v>
      </c>
      <c r="Y45" s="441">
        <f>'Structural Information'!$Z$7</f>
        <v>40.367000000000004</v>
      </c>
      <c r="Z45" s="383">
        <f t="shared" si="40"/>
        <v>8.0546623791433465</v>
      </c>
      <c r="AA45" s="60">
        <f>((Y45*X45)/(Z51)*$L$15)</f>
        <v>27.730124599889827</v>
      </c>
      <c r="AB45" s="60">
        <f>AD45-AD44+$O$17</f>
        <v>27.73012459988983</v>
      </c>
      <c r="AC45" s="60">
        <f>AC44+AA45</f>
        <v>53.782733788410482</v>
      </c>
      <c r="AD45" s="444">
        <f>AC45-$O$17</f>
        <v>53.782733788410482</v>
      </c>
      <c r="AE45" s="137">
        <f>IF(($H$17=0),(_xlfn.IFS((W45&lt;='Frame Capacities'!$BT$15),(W45*'Frame Capacities'!$BK$5*'Frame Capacities'!$BM$15),(AND((W45&gt;'Frame Capacities'!$BT$15),(W45&lt;='Frame Capacities'!$BU$15))),((W45-'Frame Capacities'!$BT$15)*'Frame Capacities'!$BK$5*('Frame Capacities'!$BN$15)+'Frame Capacities'!$BF$15),(AND((W45&gt;'Frame Capacities'!$BU$15),(W45&lt;='Frame Capacities'!$BV$15))),((W45-'Frame Capacities'!$BU$15)*'Frame Capacities'!$BK$5*('Frame Capacities'!$BO$15)+'Frame Capacities'!$BG$15),(AND((W45&gt;'Frame Capacities'!$BV$15),(W45&lt;='Frame Capacities'!$BW$15))),((W45-'Frame Capacities'!$BV$15)*'Frame Capacities'!$BK$5*('Frame Capacities'!$BP$15)+'Frame Capacities'!$BH$15),(AND((W45&gt;'Frame Capacities'!$BW$15),(W45&lt;='Frame Capacities'!$BX$15))),((W45-'Frame Capacities'!$BW$15)*'Frame Capacities'!$BK$5*('Frame Capacities'!$BQ$15)+'Frame Capacities'!$BI$15))),((W45-'Frame Capacities'!$BY$15)*'Frame Capacities'!$BK$5*'Frame Capacities'!$BR$15+'Frame Capacities'!$BK$15))</f>
        <v>2.399969569223579</v>
      </c>
      <c r="AF45" s="445">
        <f>IF(($H$17=0),(_xlfn.IFS((W45&lt;='Infill Capacities'!$CY$15),(W45*'Infill Capacities'!$CS$15*'Infill Capacities'!$CQ$5),(AND((W45&gt;'Infill Capacities'!$CY$15),(W45&lt;='Infill Capacities'!$CZ$15))),((W45-'Infill Capacities'!$CY$15)*'Infill Capacities'!$CQ$5*('Infill Capacities'!$CT$15)+'Infill Capacities'!$CM$15),(AND((W45&gt;'Infill Capacities'!$CZ$15),(W45&lt;='Infill Capacities'!$DA$15))),((W45-'Infill Capacities'!$CZ$15)*'Infill Capacities'!$CQ$5*('Infill Capacities'!$CU$15)+'Infill Capacities'!$CN$15),(AND((W45&gt;'Infill Capacities'!$DA$15),(W45&lt;='Infill Capacities'!$DB$15))),((W45-'Infill Capacities'!$DA$15)*'Infill Capacities'!$CQ$5*('Infill Capacities'!$CV$15)+'Infill Capacities'!$CP$15))),((W45-'Infill Capacities'!$DC$15)*'Infill Capacities'!$CQ$5*'Infill Capacities'!$CW$15+'Infill Capacities'!$CQ$15))</f>
        <v>51.382764219186981</v>
      </c>
      <c r="AG45" s="61">
        <f>AE45/$C$17</f>
        <v>0.14730782936252182</v>
      </c>
      <c r="AH45" s="98">
        <f>AF45/$D$17</f>
        <v>0.14730782936252199</v>
      </c>
      <c r="AI45" s="446">
        <f t="shared" si="41"/>
        <v>53.78273378841056</v>
      </c>
      <c r="AJ45" s="447">
        <f>AD45-AI45</f>
        <v>-7.815970093361102E-14</v>
      </c>
      <c r="AK45" s="322">
        <f t="shared" ref="AK45:AK49" si="42">(AD45-(AI45))/AD45</f>
        <v>-1.4532489412141684E-15</v>
      </c>
      <c r="AL45" s="38"/>
    </row>
    <row r="46" spans="1:38" x14ac:dyDescent="0.25">
      <c r="A46" s="5"/>
      <c r="B46" s="422"/>
      <c r="C46" s="422"/>
      <c r="D46" s="422"/>
      <c r="E46" s="422"/>
      <c r="F46" s="422"/>
      <c r="G46" s="422"/>
      <c r="H46" s="422"/>
      <c r="I46" s="422"/>
      <c r="J46" s="422"/>
      <c r="K46" s="422"/>
      <c r="L46" s="422"/>
      <c r="M46" s="422"/>
      <c r="N46" s="422"/>
      <c r="O46" s="422"/>
      <c r="P46" s="6"/>
      <c r="Q46" s="38"/>
      <c r="R46" s="177">
        <f>IF(($H$18=0),(_xlfn.IFS(('System Capacities'!$N$21+'System Capacities'!$N$34=2),((AD33/$G$18)),('System Capacities'!$N$21+'System Capacities'!$N$34=3),(((AD33-'System Capacities'!$L$47)/ABS($G$18))+('System Capacities'!$M$47*'System Capacities'!$D$8)),('System Capacities'!$N$21+'System Capacities'!$N$34=4),(((AD33-'System Capacities'!$L$48)/($G$18))+('System Capacities'!$M$48*'System Capacities'!$D$8)),('System Capacities'!$N$21+'System Capacities'!$N$34=5),(((AD33-'System Capacities'!$L$49)/($G$18))+('System Capacities'!$M$49*'System Capacities'!$D$8)),('System Capacities'!$N$21+'System Capacities'!$N$34=6),(((AD33-'System Capacities'!$L$50)/($G$18))+('System Capacities'!$M$50*'System Capacities'!$D$8)),('System Capacities'!$N$21+'System Capacities'!$N$34=7),(((AD33-'System Capacities'!$L$51)/($G$18))+('System Capacities'!$M$51*'System Capacities'!$D$8)),('System Capacities'!$N$21+'System Capacities'!$N$34=8),(((AD33-'System Capacities'!$L$52)/($G$18))+('System Capacities'!$M$52*'System Capacities'!$D$8)),('System Capacities'!$N$21+'System Capacities'!$N$34=9),(((AD33-'System Capacities'!$L$53)/($G$18))+('System Capacities'!$M$53*'System Capacities'!$D$8)),('System Capacities'!$N$21+'System Capacities'!$N$34=10),(((AD33-'System Capacities'!$L$54)/($G$18))+('System Capacities'!$M$54*'System Capacities'!$D$8)))),((ABS(AD33-$E$18)/(-1*$G$18))+($F$18*'System Capacities'!$D$8)))</f>
        <v>9.2311680437378793E-4</v>
      </c>
      <c r="S46" s="454">
        <f t="shared" si="36"/>
        <v>0.19887392328958822</v>
      </c>
      <c r="T46" s="38"/>
      <c r="U46" s="440">
        <v>4</v>
      </c>
      <c r="V46" s="60">
        <f t="shared" si="37"/>
        <v>11.75</v>
      </c>
      <c r="W46" s="61">
        <f t="shared" si="38"/>
        <v>3.0770560145792933E-4</v>
      </c>
      <c r="X46" s="443">
        <f t="shared" si="39"/>
        <v>0.19887392328958822</v>
      </c>
      <c r="Y46" s="441">
        <f>'Structural Information'!$Z$8</f>
        <v>40.367000000000004</v>
      </c>
      <c r="Z46" s="383">
        <f t="shared" si="40"/>
        <v>8.0279436614308093</v>
      </c>
      <c r="AA46" s="60">
        <f>((Y46*X46)/(Z51)*$L$15)</f>
        <v>27.638138947798875</v>
      </c>
      <c r="AB46" s="60">
        <f>AD46-AD45+$O$18</f>
        <v>27.638138947798879</v>
      </c>
      <c r="AC46" s="60">
        <f t="shared" ref="AC46:AC49" si="43">AC45+AA46</f>
        <v>81.420872736209361</v>
      </c>
      <c r="AD46" s="444">
        <f>AC46-$O$18</f>
        <v>81.420872736209361</v>
      </c>
      <c r="AE46" s="137">
        <f>IF(($H$18=0),(_xlfn.IFS((W46&lt;='Frame Capacities'!$BT$16),(W46*'Frame Capacities'!$BK$6*'Frame Capacities'!$BM$16),(AND((W46&gt;'Frame Capacities'!$BT$16),(W46&lt;='Frame Capacities'!$BU$16))),((W46-'Frame Capacities'!$BT$16)*'Frame Capacities'!$BK$6*('Frame Capacities'!$BN$16)+'Frame Capacities'!$BF$16),(AND((W46&gt;'Frame Capacities'!$BU$16),(W46&lt;='Frame Capacities'!$BV$16))),((W46-'Frame Capacities'!$BU$16)*'Frame Capacities'!$BK$6*('Frame Capacities'!$BO$16)+'Frame Capacities'!$BG$16),(AND((W46&gt;'Frame Capacities'!$BV$16),(W46&lt;='Frame Capacities'!$BW$16))),((W46-'Frame Capacities'!$BV$16)*'Frame Capacities'!$BK$6*('Frame Capacities'!$BP$16)+'Frame Capacities'!$BH$16),(AND((W46&gt;'Frame Capacities'!$BW$16),(W46&lt;='Frame Capacities'!$BX$16))),((W46-'Frame Capacities'!$BW$16)*'Frame Capacities'!$BK$6*('Frame Capacities'!$BQ$16)+'Frame Capacities'!$BI$16))),((W46-'Frame Capacities'!$BY$16)*'Frame Capacities'!$BK$6*'Frame Capacities'!$BR$16+'Frame Capacities'!$BK$16))</f>
        <v>3.902271894729374</v>
      </c>
      <c r="AF46" s="445">
        <f>IF(($H$18=0),(_xlfn.IFS((W46&lt;='Infill Capacities'!$CY$16),(W46*'Infill Capacities'!$CS$16*'Infill Capacities'!$CQ$6),(AND((W46&gt;'Infill Capacities'!$CY$16),(W46&lt;='Infill Capacities'!$CZ$16))),((W46-'Infill Capacities'!$CY$16)*'Infill Capacities'!$CQ$6*('Infill Capacities'!$CT$16)+'Infill Capacities'!$CM$16),(AND((W46&gt;'Infill Capacities'!$CZ$16),(W46&lt;='Infill Capacities'!$DA$16))),((W46-'Infill Capacities'!$CZ$16)*'Infill Capacities'!$CQ$6*('Infill Capacities'!$CU$16)+'Infill Capacities'!$CN$16),(AND((W46&gt;'Infill Capacities'!$DA$16),(W46&lt;='Infill Capacities'!$DB$16))),((W46-'Infill Capacities'!$DA$16)*'Infill Capacities'!$CQ$6*('Infill Capacities'!$CV$16)+'Infill Capacities'!$CP$16))),((W46-'Infill Capacities'!$DC$16)*'Infill Capacities'!$CQ$6*'Infill Capacities'!$CW$16+'Infill Capacities'!$CQ$16))</f>
        <v>77.518600841480065</v>
      </c>
      <c r="AG46" s="61">
        <f>AE46/$C$18</f>
        <v>0.15334589967805254</v>
      </c>
      <c r="AH46" s="98">
        <f>AF46/$D$18</f>
        <v>0.15334589967805243</v>
      </c>
      <c r="AI46" s="446">
        <f t="shared" si="41"/>
        <v>81.420872736209446</v>
      </c>
      <c r="AJ46" s="447">
        <f t="shared" ref="AJ46:AJ49" si="44">AD46-AI46</f>
        <v>0</v>
      </c>
      <c r="AK46" s="322">
        <f t="shared" si="42"/>
        <v>-1.0472146198611434E-15</v>
      </c>
      <c r="AL46" s="38"/>
    </row>
    <row r="47" spans="1:38" x14ac:dyDescent="0.25">
      <c r="A47" s="5"/>
      <c r="B47" s="422"/>
      <c r="C47" s="422"/>
      <c r="D47" s="422"/>
      <c r="E47" s="422"/>
      <c r="F47" s="422"/>
      <c r="G47" s="422"/>
      <c r="H47" s="422"/>
      <c r="I47" s="422"/>
      <c r="J47" s="422"/>
      <c r="K47" s="422"/>
      <c r="L47" s="422"/>
      <c r="M47" s="422"/>
      <c r="N47" s="422"/>
      <c r="O47" s="422"/>
      <c r="P47" s="6"/>
      <c r="Q47" s="38"/>
      <c r="R47" s="177">
        <f>IF(($H$19=0),(_xlfn.IFS(('System Capacities'!$N$22+'System Capacities'!$N$35=2),((AD34/$G$19)),('System Capacities'!$N$22+'System Capacities'!$N$35=3),(((AD34-'System Capacities'!$D$61)/($G$19))+('System Capacities'!$E$61*'System Capacities'!$D$9)),('System Capacities'!$N$22+'System Capacities'!$N$35=4),(((AD34-'System Capacities'!$D$62)/($G$19))+('System Capacities'!$E$62*'System Capacities'!$D$9)),('System Capacities'!$N$22+'System Capacities'!$N$35=5),(((AD34-'System Capacities'!$D$63)/($G$19))+('System Capacities'!$E$63*'System Capacities'!$D$9)),('System Capacities'!$N$22+'System Capacities'!$N$35=6),(((AD34-'System Capacities'!$D$64)/($G$19))+('System Capacities'!$E$64*'System Capacities'!$D$9)),('System Capacities'!$N$22+'System Capacities'!$N$35=7),(((AD34-'System Capacities'!$D$65)/($G$19))+('System Capacities'!$E$65*'System Capacities'!$D$9)),('System Capacities'!$N$22+'System Capacities'!$N$35=8),(((AD34-'System Capacities'!$D$66)/($G$19))+('System Capacities'!$E$66*'System Capacities'!$D$9)),('System Capacities'!$N$22+'System Capacities'!$N$35=9),(((AD34-'System Capacities'!$D$67)/($G$19))+('System Capacities'!$E$67*'System Capacities'!$D$9)),('System Capacities'!$N$22+'System Capacities'!$N$35=10),(((AD34-'System Capacities'!$D$68)/($G$19))+('System Capacities'!$E$68*'System Capacities'!$D$9)))),((ABS(AD34-$E$19)/(-1*$G$19))+($F$19*'System Capacities'!$D$9)))</f>
        <v>5.3187153577065856E-3</v>
      </c>
      <c r="S47" s="454">
        <f t="shared" si="36"/>
        <v>0.19795080648521443</v>
      </c>
      <c r="T47" s="38"/>
      <c r="U47" s="440">
        <v>3</v>
      </c>
      <c r="V47" s="60">
        <f t="shared" si="37"/>
        <v>8.75</v>
      </c>
      <c r="W47" s="61">
        <f t="shared" si="38"/>
        <v>1.7729051192355285E-3</v>
      </c>
      <c r="X47" s="443">
        <f t="shared" si="39"/>
        <v>0.19795080648521443</v>
      </c>
      <c r="Y47" s="441">
        <f>'Structural Information'!$Z$9</f>
        <v>40.367000000000004</v>
      </c>
      <c r="Z47" s="383">
        <f t="shared" si="40"/>
        <v>7.9906802053886521</v>
      </c>
      <c r="AA47" s="60">
        <f>((Y47*X47)/(Z51)*$L$15)</f>
        <v>27.509850482009522</v>
      </c>
      <c r="AB47" s="60">
        <f>AD47-AD46+$O$19</f>
        <v>27.509850482009526</v>
      </c>
      <c r="AC47" s="60">
        <f t="shared" si="43"/>
        <v>108.93072321821889</v>
      </c>
      <c r="AD47" s="444">
        <f>AC47-$O$19</f>
        <v>108.93072321821889</v>
      </c>
      <c r="AE47" s="137">
        <f>IF(($H$19=0),(_xlfn.IFS((W47&lt;='Frame Capacities'!$BT$17),(W47*'Frame Capacities'!$BK$7*'Frame Capacities'!$BM$17),(AND((W47&gt;'Frame Capacities'!$BT$17),(W47&lt;='Frame Capacities'!$BU$17))),((W47-'Frame Capacities'!$BT$17)*'Frame Capacities'!$BK$7*('Frame Capacities'!$BN$17)+'Frame Capacities'!$BF$17),(AND((W47&gt;'Frame Capacities'!$BU$17),(W47&lt;='Frame Capacities'!$BV$17))),((W47-'Frame Capacities'!$BU$17)*'Frame Capacities'!$BK$7*('Frame Capacities'!$BO$17)+'Frame Capacities'!$BG$17),(AND((W47&gt;'Frame Capacities'!$BV$17),(W47&lt;='Frame Capacities'!$BW$17))),((W47-'Frame Capacities'!$BV$17)*'Frame Capacities'!$BK$7*('Frame Capacities'!$BP$17)+'Frame Capacities'!$BH$17),(AND((W47&gt;'Frame Capacities'!$BW$17),(W47&lt;='Frame Capacities'!$BX$17))),((W47-'Frame Capacities'!$BW$17)*'Frame Capacities'!$BK$7*('Frame Capacities'!$BQ$17)+'Frame Capacities'!$BI$17))),((W47-'Frame Capacities'!$BY$17)*'Frame Capacities'!$BK$7*'Frame Capacities'!$BR$17+'Frame Capacities'!$BK$17))</f>
        <v>31.854526110664231</v>
      </c>
      <c r="AF47" s="445">
        <f>IF(($H$19=0),(_xlfn.IFS((W47&lt;='Infill Capacities'!$CY$17),(W47*'Infill Capacities'!$CS$17*'Infill Capacities'!$CQ$7),(AND((W47&gt;'Infill Capacities'!$CY$17),(W47&lt;='Infill Capacities'!$CZ$17))),((W47-'Infill Capacities'!$CY$17)*'Infill Capacities'!$CQ$7*('Infill Capacities'!$CT$17)+'Infill Capacities'!$CM$17),(AND((W47&gt;'Infill Capacities'!$CZ$17),(W47&lt;='Infill Capacities'!$DA$17))),((W47-'Infill Capacities'!$CZ$17)*'Infill Capacities'!$CQ$7*('Infill Capacities'!$CU$17)+'Infill Capacities'!$CN$17),(AND((W47&gt;'Infill Capacities'!$DA$17),(W47&lt;='Infill Capacities'!$DB$17))),((W47-'Infill Capacities'!$DA$17)*'Infill Capacities'!$CQ$7*('Infill Capacities'!$CV$17)+'Infill Capacities'!$CP$17))),((W47-'Infill Capacities'!$DC$17)*'Infill Capacities'!$CQ$7*'Infill Capacities'!$CW$17+'Infill Capacities'!$CQ$17))</f>
        <v>77.076197107554776</v>
      </c>
      <c r="AG47" s="61">
        <f>AE47/$C$19</f>
        <v>0.47520265984333138</v>
      </c>
      <c r="AH47" s="98">
        <f>AF47/$D$19</f>
        <v>0.12700956982929304</v>
      </c>
      <c r="AI47" s="446">
        <f t="shared" si="41"/>
        <v>108.93072321821901</v>
      </c>
      <c r="AJ47" s="447">
        <f t="shared" si="44"/>
        <v>-1.2789769243681803E-13</v>
      </c>
      <c r="AK47" s="322">
        <f t="shared" si="42"/>
        <v>-1.1741195565240393E-15</v>
      </c>
      <c r="AL47" s="38"/>
    </row>
    <row r="48" spans="1:38" x14ac:dyDescent="0.25">
      <c r="A48" s="5"/>
      <c r="B48" s="422"/>
      <c r="C48" s="422"/>
      <c r="D48" s="422"/>
      <c r="E48" s="422"/>
      <c r="F48" s="422"/>
      <c r="G48" s="422"/>
      <c r="H48" s="422"/>
      <c r="I48" s="422"/>
      <c r="J48" s="422"/>
      <c r="K48" s="422"/>
      <c r="L48" s="422"/>
      <c r="M48" s="422"/>
      <c r="N48" s="422"/>
      <c r="O48" s="422"/>
      <c r="P48" s="6"/>
      <c r="Q48" s="38"/>
      <c r="R48" s="177">
        <f>IF(($H$20=0),(_xlfn.IFS(('System Capacities'!$N$23+'System Capacities'!$N$36=2),((AD35/$G$20)),('System Capacities'!$N$23+'System Capacities'!$N$36=3),(((AD35-'System Capacities'!$H$61)/ABS($G$20))+('System Capacities'!$I$61*'System Capacities'!$D$10)),('System Capacities'!$N$23+'System Capacities'!$N$36=4),(((AD35-'System Capacities'!$H$62)/($G$20))+('System Capacities'!$I$62*'System Capacities'!$D$10)),('System Capacities'!$N$23+'System Capacities'!$N$36=5),(((AD35-'System Capacities'!$H$63)/($G$20))+('System Capacities'!$I$63*'System Capacities'!$D$10)),('System Capacities'!$N$23+'System Capacities'!$N$36=6),(((AD35-'System Capacities'!$H$64)/($G$20))+('System Capacities'!$I$64*'System Capacities'!$D$10)),('System Capacities'!$N$23+'System Capacities'!$N$36=7),(((AD35-'System Capacities'!$H$65)/($G$20))+('System Capacities'!$I$65*'System Capacities'!$D$10)),('System Capacities'!$N$23+'System Capacities'!$N$36=8),(((AD35-'System Capacities'!$H$66)/($G$20))+('System Capacities'!$I$66*'System Capacities'!$D$10)),('System Capacities'!$N$23+'System Capacities'!$N$36=9),(((AD35-'System Capacities'!$H$67)/($G$20))+('System Capacities'!$I$67*'System Capacities'!$D$10)),('System Capacities'!$N$23+'System Capacities'!$N$36=10),(((AD35-'System Capacities'!$H$68)/($G$20))+('System Capacities'!$I$68*'System Capacities'!$D$10)))),((ABS(AD35-$E$20)/(-1*$G$20))+($F$20*'System Capacities'!$D$10)))</f>
        <v>0.18640051880914391</v>
      </c>
      <c r="S48" s="454">
        <f t="shared" si="36"/>
        <v>0.19263209112750784</v>
      </c>
      <c r="T48" s="38"/>
      <c r="U48" s="440">
        <v>2</v>
      </c>
      <c r="V48" s="60">
        <f t="shared" si="37"/>
        <v>5.75</v>
      </c>
      <c r="W48" s="61">
        <f t="shared" si="38"/>
        <v>6.2133506269714638E-2</v>
      </c>
      <c r="X48" s="443">
        <f t="shared" si="39"/>
        <v>0.19263209112750784</v>
      </c>
      <c r="Y48" s="441">
        <f>'Structural Information'!$Z$10</f>
        <v>40.367000000000004</v>
      </c>
      <c r="Z48" s="383">
        <f t="shared" si="40"/>
        <v>7.77597962254411</v>
      </c>
      <c r="AA48" s="60">
        <f>((Y48*X48)/(Z51)*$L$15)</f>
        <v>26.770691764523797</v>
      </c>
      <c r="AB48" s="60">
        <f>AD48-AD47+$O$20</f>
        <v>26.770691764523789</v>
      </c>
      <c r="AC48" s="60">
        <f t="shared" si="43"/>
        <v>135.70141498274268</v>
      </c>
      <c r="AD48" s="444">
        <f>AC48-$O$20</f>
        <v>135.70141498274268</v>
      </c>
      <c r="AE48" s="137">
        <f>IF(($H$20=0),(_xlfn.IFS((W48&lt;='Frame Capacities'!$BT$18),(W48*'Frame Capacities'!$BK$8*'Frame Capacities'!$BM$18),(AND((W48&gt;'Frame Capacities'!$BT$18),(W48&lt;='Frame Capacities'!$BU$18))),((W48-'Frame Capacities'!$BT$18)*'Frame Capacities'!$BK$8*('Frame Capacities'!$BN$18)+'Frame Capacities'!$BF$18),(AND((W48&gt;'Frame Capacities'!$BU$18),(W48&lt;='Frame Capacities'!$BV$18))),((W48-'Frame Capacities'!$BU$18)*'Frame Capacities'!$BK$8*('Frame Capacities'!$BO$18)+'Frame Capacities'!$BG$18),(AND((W48&gt;'Frame Capacities'!$BV$18),(W48&lt;='Frame Capacities'!$BW$18))),((W48-'Frame Capacities'!$BV$18)*'Frame Capacities'!$BK$8*('Frame Capacities'!$BP$18)+'Frame Capacities'!$BH$18),(AND((W48&gt;'Frame Capacities'!$BW$18),(W48&lt;='Frame Capacities'!$BX$18))),((W48-'Frame Capacities'!$BW$18)*'Frame Capacities'!$BK$8*('Frame Capacities'!$BQ$18)+'Frame Capacities'!$BI$18))),((W48-'Frame Capacities'!$BY$18)*'Frame Capacities'!$BK$8*'Frame Capacities'!$BR$18+'Frame Capacities'!$BK$18))</f>
        <v>69.605414982742516</v>
      </c>
      <c r="AF48" s="445">
        <f>IF(($H$20=0),(_xlfn.IFS((W48&lt;='Infill Capacities'!$CY$18),(W48*'Infill Capacities'!$CS$18*'Infill Capacities'!$CQ$8),(AND((W48&gt;'Infill Capacities'!$CY$18),(W48&lt;='Infill Capacities'!$CZ$18))),((W48-'Infill Capacities'!$CY$18)*'Infill Capacities'!$CQ$8*('Infill Capacities'!$CT$18)+'Infill Capacities'!$CM$18),(AND((W48&gt;'Infill Capacities'!$CZ$18),(W48&lt;='Infill Capacities'!$DA$18))),((W48-'Infill Capacities'!$CZ$18)*'Infill Capacities'!$CQ$8*('Infill Capacities'!$CU$18)+'Infill Capacities'!$CN$18),(AND((W48&gt;'Infill Capacities'!$DA$18),(W48&lt;='Infill Capacities'!$DB$18))),((W48-'Infill Capacities'!$DA$18)*'Infill Capacities'!$CQ$8*('Infill Capacities'!$CV$18)+'Infill Capacities'!$CP$18))),((W48-'Infill Capacities'!$DC$18)*'Infill Capacities'!$CQ$8*'Infill Capacities'!$CW$18+'Infill Capacities'!$CQ$18))</f>
        <v>66.096000000000004</v>
      </c>
      <c r="AG48" s="61">
        <f>AE48/$C$20</f>
        <v>3.9850428425234261</v>
      </c>
      <c r="AH48" s="98">
        <f>AF48/$D$20</f>
        <v>1</v>
      </c>
      <c r="AI48" s="446">
        <f t="shared" si="41"/>
        <v>135.70141498274251</v>
      </c>
      <c r="AJ48" s="447">
        <f t="shared" si="44"/>
        <v>0</v>
      </c>
      <c r="AK48" s="322">
        <f t="shared" si="42"/>
        <v>1.2566579103402171E-15</v>
      </c>
      <c r="AL48" s="38"/>
    </row>
    <row r="49" spans="1:38" x14ac:dyDescent="0.25">
      <c r="A49" s="5"/>
      <c r="B49" s="422"/>
      <c r="C49" s="422"/>
      <c r="D49" s="422"/>
      <c r="E49" s="422"/>
      <c r="F49" s="422"/>
      <c r="G49" s="422"/>
      <c r="H49" s="422"/>
      <c r="I49" s="422"/>
      <c r="J49" s="422"/>
      <c r="K49" s="422"/>
      <c r="L49" s="422"/>
      <c r="M49" s="422"/>
      <c r="N49" s="422"/>
      <c r="O49" s="422"/>
      <c r="P49" s="6"/>
      <c r="Q49" s="38"/>
      <c r="R49" s="177">
        <f>IF(($H$21=0),(_xlfn.IFS(('System Capacities'!$N$24+'System Capacities'!$N$37=2),(AD36/$G$21),('System Capacities'!$N$24+'System Capacities'!$N$37=3),(((AD36-'System Capacities'!$L$61)/($G$21))+('System Capacities'!$M$61*'System Capacities'!$D$11)),('System Capacities'!$N$24+'System Capacities'!$N$37=4),(((AD36-'System Capacities'!$L$62)/($G$21))+('System Capacities'!$M$62*'System Capacities'!$D$11)),('System Capacities'!$N$24+'System Capacities'!$N$37=5),(((AD36-'System Capacities'!$L$63)/($G$21))+('System Capacities'!$M$63*'System Capacities'!$D$11)),('System Capacities'!$N$24+'System Capacities'!$N$37=6),(((AD36-'System Capacities'!$L$64)/($G$21))+('System Capacities'!$M$64*'System Capacities'!$D$11)),('System Capacities'!$N$24+'System Capacities'!$N$37=7),(((AD36-'System Capacities'!$L$65)/($G$21))+('System Capacities'!$M$65*'System Capacities'!$D$11)),('System Capacities'!$N$24+'System Capacities'!$N$37=8),(((AD36-'System Capacities'!$L$66)/($G$21))+('System Capacities'!$M$66*'System Capacities'!$D$11)),('System Capacities'!$N$24+'System Capacities'!$N$37=9),(((AD36-'System Capacities'!$L$67)/($G$21))+('System Capacities'!$M$67*'System Capacities'!$D$11)),('System Capacities'!$N$24+'System Capacities'!$N$37=10),(((AD36-'System Capacities'!$L$68)/($G$21))+('System Capacities'!$M$68*'System Capacities'!$D$11)))),((ABS(AD36-$E$21)/(-1*$G$21))+($F$21*'System Capacities'!$D$11)))</f>
        <v>6.2315723183639362E-3</v>
      </c>
      <c r="S49" s="454">
        <f t="shared" si="36"/>
        <v>6.2315723183639362E-3</v>
      </c>
      <c r="T49" s="38"/>
      <c r="U49" s="440">
        <v>1</v>
      </c>
      <c r="V49" s="60">
        <f t="shared" si="37"/>
        <v>2.75</v>
      </c>
      <c r="W49" s="61">
        <f t="shared" si="38"/>
        <v>2.2660262975868861E-3</v>
      </c>
      <c r="X49" s="443">
        <f t="shared" si="39"/>
        <v>6.2315723183639362E-3</v>
      </c>
      <c r="Y49" s="441">
        <f>'Structural Information'!$Z$11</f>
        <v>40.367000000000004</v>
      </c>
      <c r="Z49" s="383">
        <f t="shared" si="40"/>
        <v>0.25154987977539706</v>
      </c>
      <c r="AA49" s="60">
        <f>((Y49*X49)/(Z51)*$L$15)</f>
        <v>0.86602134030116185</v>
      </c>
      <c r="AB49" s="60">
        <f>AD49-AD48+$O$21</f>
        <v>0.86602134030115963</v>
      </c>
      <c r="AC49" s="60">
        <f t="shared" si="43"/>
        <v>136.56743632304384</v>
      </c>
      <c r="AD49" s="444">
        <f>AC49-$O$21</f>
        <v>136.56743632304384</v>
      </c>
      <c r="AE49" s="137">
        <f>IF(($H$21=0),(_xlfn.IFS((W49&lt;='Frame Capacities'!$BT$19),(W49*'Frame Capacities'!$BK$9*'Frame Capacities'!$BM$19),(AND((W49&gt;'Frame Capacities'!$BT$19),(W49&lt;='Frame Capacities'!$BU$19))),((W49-'Frame Capacities'!$BT$19)*'Frame Capacities'!$BK$9*('Frame Capacities'!$BN$19)+'Frame Capacities'!$BF$19),(AND((W49&gt;'Frame Capacities'!$BU$19),(W49&lt;='Frame Capacities'!$BV$19))),((W49-'Frame Capacities'!$BU$19)*'Frame Capacities'!$BK$9*('Frame Capacities'!$BO$19)+'Frame Capacities'!$BG$19),(AND((W49&gt;'Frame Capacities'!$BV$19),(W49&lt;='Frame Capacities'!$BW$19))),((W49-'Frame Capacities'!$BV$19)*'Frame Capacities'!$BK$9*('Frame Capacities'!$BP$19)+'Frame Capacities'!$BH$19),(AND((W49&gt;'Frame Capacities'!$BW$19),(W49&lt;='Frame Capacities'!$BX$19))),((W49-'Frame Capacities'!$BW$19)*'Frame Capacities'!$BK$9*('Frame Capacities'!$BQ$19)+'Frame Capacities'!$BI$19))),((W49-'Frame Capacities'!$BY$19)*'Frame Capacities'!$BK$9*'Frame Capacities'!$BR$19+'Frame Capacities'!$BK$19))</f>
        <v>105.46591492150033</v>
      </c>
      <c r="AF49" s="445">
        <f>IF(($H$21=0),(_xlfn.IFS((W49&lt;='Infill Capacities'!$CY$19),(W49*'Infill Capacities'!$CS$19*'Infill Capacities'!$CQ$9),(AND((W49&gt;'Infill Capacities'!$CY$19),(W49&lt;='Infill Capacities'!$CZ$19))),((W49-'Infill Capacities'!$CY$19)*'Infill Capacities'!$CQ$9*('Infill Capacities'!$CT$19)+'Infill Capacities'!$CM$19),(AND((W49&gt;'Infill Capacities'!$CZ$19),(W49&lt;='Infill Capacities'!$DA$19))),((W49-'Infill Capacities'!$CZ$19)*'Infill Capacities'!$CQ$9*('Infill Capacities'!$CU$19)+'Infill Capacities'!$CN$19),(AND((W49&gt;'Infill Capacities'!$DA$19),(W49&lt;='Infill Capacities'!$DB$19))),((W49-'Infill Capacities'!$DA$19)*'Infill Capacities'!$CQ$9*('Infill Capacities'!$CV$19)+'Infill Capacities'!$CP$19))),((W49-'Infill Capacities'!$DC$19)*'Infill Capacities'!$CQ$9*'Infill Capacities'!$CW$19+'Infill Capacities'!$CQ$19))</f>
        <v>31.10152140154355</v>
      </c>
      <c r="AG49" s="61">
        <f>AE49/$C$21</f>
        <v>0.52630847089436639</v>
      </c>
      <c r="AH49" s="98">
        <f>AF49/$D$21</f>
        <v>5.0253630277048884E-2</v>
      </c>
      <c r="AI49" s="446">
        <f t="shared" si="41"/>
        <v>136.56743632304386</v>
      </c>
      <c r="AJ49" s="447">
        <f t="shared" si="44"/>
        <v>0</v>
      </c>
      <c r="AK49" s="322">
        <f t="shared" si="42"/>
        <v>-2.0811483466068581E-16</v>
      </c>
      <c r="AL49" s="38"/>
    </row>
    <row r="50" spans="1:38" ht="16.5" thickBot="1" x14ac:dyDescent="0.3">
      <c r="A50" s="39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1"/>
      <c r="Q50" s="38"/>
      <c r="R50" s="178">
        <v>0</v>
      </c>
      <c r="S50" s="455">
        <f>R50</f>
        <v>0</v>
      </c>
      <c r="T50" s="38"/>
      <c r="U50" s="439">
        <v>0</v>
      </c>
      <c r="V50" s="100">
        <f t="shared" si="37"/>
        <v>0</v>
      </c>
      <c r="W50" s="174" t="s">
        <v>83</v>
      </c>
      <c r="X50" s="448">
        <f t="shared" si="39"/>
        <v>0</v>
      </c>
      <c r="Y50" s="237" t="str">
        <f>E11</f>
        <v>-</v>
      </c>
      <c r="Z50" s="385">
        <v>0</v>
      </c>
      <c r="AA50" s="100" t="s">
        <v>83</v>
      </c>
      <c r="AB50" s="100"/>
      <c r="AC50" s="449" t="s">
        <v>83</v>
      </c>
      <c r="AD50" s="449" t="s">
        <v>83</v>
      </c>
      <c r="AE50" s="134" t="s">
        <v>83</v>
      </c>
      <c r="AF50" s="134" t="s">
        <v>83</v>
      </c>
      <c r="AG50" s="161" t="s">
        <v>83</v>
      </c>
      <c r="AH50" s="134" t="s">
        <v>83</v>
      </c>
      <c r="AI50" s="450" t="s">
        <v>83</v>
      </c>
      <c r="AJ50" s="451" t="s">
        <v>83</v>
      </c>
      <c r="AK50" s="38"/>
      <c r="AL50" s="38"/>
    </row>
    <row r="51" spans="1:38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452" t="s">
        <v>95</v>
      </c>
      <c r="Z51" s="453">
        <f>SUM(Z44:Z50)</f>
        <v>39.66821669353935</v>
      </c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</row>
    <row r="52" spans="1:38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</row>
    <row r="53" spans="1:38" ht="16.5" thickBot="1" x14ac:dyDescent="0.3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</row>
    <row r="54" spans="1:38" ht="15.75" customHeight="1" thickBot="1" x14ac:dyDescent="0.3">
      <c r="A54" s="38"/>
      <c r="B54" s="38"/>
      <c r="C54" s="336"/>
      <c r="D54" s="336"/>
      <c r="E54" s="848" t="s">
        <v>455</v>
      </c>
      <c r="F54" s="849"/>
      <c r="G54" s="849"/>
      <c r="H54" s="849"/>
      <c r="I54" s="850"/>
      <c r="J54" s="427"/>
      <c r="K54" s="427"/>
      <c r="L54" s="336"/>
      <c r="M54" s="38"/>
      <c r="N54" s="38"/>
      <c r="O54" s="336"/>
      <c r="P54" s="336"/>
      <c r="Q54" s="38"/>
      <c r="R54" s="889" t="s">
        <v>273</v>
      </c>
      <c r="S54" s="891"/>
      <c r="T54" s="2"/>
      <c r="U54" s="889" t="s">
        <v>273</v>
      </c>
      <c r="V54" s="890"/>
      <c r="W54" s="890"/>
      <c r="X54" s="890"/>
      <c r="Y54" s="890"/>
      <c r="Z54" s="890"/>
      <c r="AA54" s="890"/>
      <c r="AB54" s="890"/>
      <c r="AC54" s="890"/>
      <c r="AD54" s="890"/>
      <c r="AE54" s="890"/>
      <c r="AF54" s="890"/>
      <c r="AG54" s="890"/>
      <c r="AH54" s="890"/>
      <c r="AI54" s="890"/>
      <c r="AJ54" s="891"/>
      <c r="AK54" s="38"/>
      <c r="AL54" s="38"/>
    </row>
    <row r="55" spans="1:38" ht="15" customHeight="1" x14ac:dyDescent="0.25">
      <c r="A55" s="38"/>
      <c r="B55" s="38"/>
      <c r="C55" s="336"/>
      <c r="D55" s="336"/>
      <c r="E55" s="337" t="s">
        <v>9</v>
      </c>
      <c r="F55" s="337" t="s">
        <v>2</v>
      </c>
      <c r="G55" s="246" t="s">
        <v>395</v>
      </c>
      <c r="H55" s="246" t="s">
        <v>396</v>
      </c>
      <c r="I55" s="337" t="s">
        <v>394</v>
      </c>
      <c r="J55" s="428"/>
      <c r="K55" s="422"/>
      <c r="L55" s="336"/>
      <c r="M55" s="38"/>
      <c r="N55" s="38"/>
      <c r="O55" s="336"/>
      <c r="P55" s="336"/>
      <c r="Q55" s="38"/>
      <c r="R55" s="585" t="s">
        <v>98</v>
      </c>
      <c r="S55" s="581" t="s">
        <v>97</v>
      </c>
      <c r="T55" s="38"/>
      <c r="U55" s="581" t="s">
        <v>0</v>
      </c>
      <c r="V55" s="699" t="s">
        <v>89</v>
      </c>
      <c r="W55" s="581" t="s">
        <v>119</v>
      </c>
      <c r="X55" s="873" t="s">
        <v>91</v>
      </c>
      <c r="Y55" s="581" t="s">
        <v>93</v>
      </c>
      <c r="Z55" s="581" t="s">
        <v>94</v>
      </c>
      <c r="AA55" s="875" t="s">
        <v>456</v>
      </c>
      <c r="AB55" s="585" t="s">
        <v>457</v>
      </c>
      <c r="AC55" s="585" t="s">
        <v>458</v>
      </c>
      <c r="AD55" s="580" t="s">
        <v>459</v>
      </c>
      <c r="AE55" s="585" t="s">
        <v>207</v>
      </c>
      <c r="AF55" s="585" t="s">
        <v>206</v>
      </c>
      <c r="AG55" s="585" t="s">
        <v>208</v>
      </c>
      <c r="AH55" s="585" t="s">
        <v>209</v>
      </c>
      <c r="AI55" s="845" t="s">
        <v>391</v>
      </c>
      <c r="AJ55" s="845" t="s">
        <v>451</v>
      </c>
      <c r="AK55" s="871" t="s">
        <v>265</v>
      </c>
      <c r="AL55" s="38"/>
    </row>
    <row r="56" spans="1:38" ht="15" customHeight="1" x14ac:dyDescent="0.25">
      <c r="A56" s="38"/>
      <c r="B56" s="38"/>
      <c r="C56" s="11"/>
      <c r="D56" s="338"/>
      <c r="E56" s="339">
        <v>6</v>
      </c>
      <c r="F56" s="340">
        <v>17.75</v>
      </c>
      <c r="G56" s="341">
        <f t="shared" ref="G56:G61" si="45">AA57</f>
        <v>26.052609188520652</v>
      </c>
      <c r="H56" s="341">
        <f t="shared" ref="H56:H62" si="46">G56/$AC$62</f>
        <v>0.19076735926194319</v>
      </c>
      <c r="I56" s="342">
        <f t="shared" ref="I56:I62" si="47">H56/MAX($H$56:$H$62)</f>
        <v>0.93950566628987164</v>
      </c>
      <c r="J56" s="341"/>
      <c r="K56" s="422"/>
      <c r="L56" s="338"/>
      <c r="M56" s="38"/>
      <c r="N56" s="38"/>
      <c r="O56" s="343"/>
      <c r="P56" s="343"/>
      <c r="Q56" s="38"/>
      <c r="R56" s="580"/>
      <c r="S56" s="582"/>
      <c r="T56" s="38"/>
      <c r="U56" s="582"/>
      <c r="V56" s="700"/>
      <c r="W56" s="582"/>
      <c r="X56" s="874"/>
      <c r="Y56" s="582"/>
      <c r="Z56" s="582"/>
      <c r="AA56" s="592"/>
      <c r="AB56" s="580"/>
      <c r="AC56" s="580"/>
      <c r="AD56" s="847"/>
      <c r="AE56" s="580"/>
      <c r="AF56" s="580"/>
      <c r="AG56" s="580"/>
      <c r="AH56" s="580"/>
      <c r="AI56" s="846"/>
      <c r="AJ56" s="846"/>
      <c r="AK56" s="871"/>
      <c r="AL56" s="38"/>
    </row>
    <row r="57" spans="1:38" ht="15" customHeight="1" x14ac:dyDescent="0.25">
      <c r="A57" s="38"/>
      <c r="B57" s="38"/>
      <c r="C57" s="344"/>
      <c r="D57" s="345"/>
      <c r="E57" s="346">
        <v>5</v>
      </c>
      <c r="F57" s="340">
        <v>14.75</v>
      </c>
      <c r="G57" s="341">
        <f t="shared" si="45"/>
        <v>27.730124599889827</v>
      </c>
      <c r="H57" s="341">
        <f t="shared" si="46"/>
        <v>0.20305078096578985</v>
      </c>
      <c r="I57" s="342">
        <f t="shared" si="47"/>
        <v>1</v>
      </c>
      <c r="J57" s="341"/>
      <c r="K57" s="422"/>
      <c r="L57" s="345"/>
      <c r="M57" s="38"/>
      <c r="N57" s="38"/>
      <c r="O57" s="343"/>
      <c r="P57" s="343"/>
      <c r="Q57" s="38"/>
      <c r="R57" s="177">
        <f>IF(($H$16=0),(_xlfn.IFS(('System Capacities'!$N$19+'System Capacities'!$N$32=2),((AD44/$G$16)),('System Capacities'!$N$19+'System Capacities'!$N$32=3),(((AD44-'System Capacities'!$D$47)/($G$16))+('System Capacities'!$E$47*'System Capacities'!$D$6)),('System Capacities'!$N$19+'System Capacities'!$N$32=4),(((AD44-'System Capacities'!$D$48)/($G$16))+('System Capacities'!$E$48*'System Capacities'!$D$6)),('System Capacities'!$N$19+'System Capacities'!$N$32=5),(((AD44-'System Capacities'!$D$49)/($G$16))+('System Capacities'!$E$49*'System Capacities'!$D$6)),('System Capacities'!$N$19+'System Capacities'!$N$32=6),(((AD44-'System Capacities'!$D$50)/($G$16))+('System Capacities'!$E$50*'System Capacities'!$D$6)),('System Capacities'!$N$19+'System Capacities'!$N$32=7),(((AD44-'System Capacities'!$D$51)/($G$16))+('System Capacities'!$E$51*'System Capacities'!$D$6)),('System Capacities'!$N$19+'System Capacities'!$N$32=8),(((AD44-'System Capacities'!$D$52)/($G$16))+('System Capacities'!$E$52*'System Capacities'!$D$6)),('System Capacities'!$N$19+'System Capacities'!$N$32=9),(((AD44-'System Capacities'!$D$53)/($G$16))+('System Capacities'!$E$53*'System Capacities'!$D$6)),('System Capacities'!$N$19+'System Capacities'!$N$32=8),(((AD44-'System Capacities'!$D$54)/($G$16))+('System Capacities'!$E$54*'System Capacities'!$D$6)))),((ABS(AD44-$E$16)/(-1*$G$16))+($F$16*'System Capacities'!$D$6)))</f>
        <v>4.2404238141735941E-4</v>
      </c>
      <c r="S57" s="454">
        <f t="shared" ref="S57:S60" si="48">S58+R57</f>
        <v>0.19995986072668318</v>
      </c>
      <c r="T57" s="38"/>
      <c r="U57" s="440">
        <v>6</v>
      </c>
      <c r="V57" s="60">
        <f t="shared" ref="V57:V63" si="49">V5</f>
        <v>17.75</v>
      </c>
      <c r="W57" s="61">
        <f t="shared" ref="W57:W59" si="50">R57/(V57-V58)</f>
        <v>1.4134746047245314E-4</v>
      </c>
      <c r="X57" s="456">
        <f t="shared" ref="X57:X62" si="51">S57</f>
        <v>0.19995986072668318</v>
      </c>
      <c r="Y57" s="441">
        <f>'Structural Information'!$Z$6</f>
        <v>37.8446</v>
      </c>
      <c r="Z57" s="442">
        <f t="shared" ref="Z57:Z62" si="52">Y57*X57</f>
        <v>7.5674009452570337</v>
      </c>
      <c r="AA57" s="60">
        <f>((Y57*X57)/(Z64)*$L$15)</f>
        <v>26.052609188520652</v>
      </c>
      <c r="AB57" s="60">
        <f>AD57+$O$16</f>
        <v>26.052609188520652</v>
      </c>
      <c r="AC57" s="60">
        <f>AA57</f>
        <v>26.052609188520652</v>
      </c>
      <c r="AD57" s="464">
        <f>AC57-$O$16</f>
        <v>26.052609188520652</v>
      </c>
      <c r="AE57" s="135">
        <f>IF(($H$16=0),(_xlfn.IFS((W57&lt;='Frame Capacities'!$BT$14),(W57*'Frame Capacities'!$BK$4*'Frame Capacities'!$BM$14),(AND((W57&gt;'Frame Capacities'!$BT$14),(W57&lt;='Frame Capacities'!$BU$14))),((W57-'Frame Capacities'!$BT$14)*'Frame Capacities'!$BK$4*('Frame Capacities'!$BN$14)+'Frame Capacities'!$BF$14),(AND((W57&gt;'Frame Capacities'!$BU$14),(W57&lt;='Frame Capacities'!$BV$14))),((W57-'Frame Capacities'!$BU$14)*'Frame Capacities'!$BK$4*('Frame Capacities'!$BO$14)+'Frame Capacities'!$BG$14),(AND((W57&gt;'Frame Capacities'!$BV$14),(W57&lt;='Frame Capacities'!$BW$14))),((W57-'Frame Capacities'!$BV$14)*'Frame Capacities'!$BK$4*('Frame Capacities'!$BP$14)+'Frame Capacities'!$BH$14),(AND((W57&gt;'Frame Capacities'!$BW$14),(W57&lt;='Frame Capacities'!$BX$14))),((W57-'Frame Capacities'!$BW$14)*'Frame Capacities'!$BK$4*('Frame Capacities'!$BQ$14)+'Frame Capacities'!$BI$14))),((W57-'Frame Capacities'!$BY$14)*'Frame Capacities'!$BK$4*'Frame Capacities'!$BR$14+'Frame Capacities'!$BK$14))</f>
        <v>1.5123472170326107</v>
      </c>
      <c r="AF57" s="496">
        <f>IF(($H$16=0),(_xlfn.IFS((W57&lt;='Infill Capacities'!$CY$14),(W57*'Infill Capacities'!$CS$14*'Infill Capacities'!$CQ$4),(AND((W57&gt;'Infill Capacities'!$CY$14),(W57&lt;='Infill Capacities'!$CZ$14))),((W57-'Infill Capacities'!$CY$14)*'Infill Capacities'!$CQ$4*('Infill Capacities'!$CT$14)+'Infill Capacities'!$CM$14),(AND((W57&gt;'Infill Capacities'!$CZ$14),(W57&lt;='Infill Capacities'!$DA$14))),((W57-'Infill Capacities'!$CZ$14)*'Infill Capacities'!$CQ$4*('Infill Capacities'!$CU$14)+'Infill Capacities'!$CN$14),(AND((W57&gt;'Infill Capacities'!$DA$14),(W57&lt;='Infill Capacities'!$DB$14))),((W57-'Infill Capacities'!$DA$14)*'Infill Capacities'!$CQ$4*('Infill Capacities'!$CV$14)+'Infill Capacities'!$CP$14))),((W57-'Infill Capacities'!$DC$14)*'Infill Capacities'!$CQ$4*'Infill Capacities'!$CW$14+'Infill Capacities'!$CQ$14))</f>
        <v>24.540261971488064</v>
      </c>
      <c r="AG57" s="457">
        <f>AE57/$C$16</f>
        <v>0.14304470110505652</v>
      </c>
      <c r="AH57" s="458">
        <f>AF57/$D$16</f>
        <v>0.14304470110505671</v>
      </c>
      <c r="AI57" s="446">
        <f t="shared" ref="AI57:AI60" si="53">AE57+AF57</f>
        <v>26.052609188520677</v>
      </c>
      <c r="AJ57" s="447">
        <f>AD57-AI57</f>
        <v>0</v>
      </c>
      <c r="AK57" s="322">
        <f>(AD57-(AI57))/AD57</f>
        <v>-9.5456833408307261E-16</v>
      </c>
      <c r="AL57" s="38"/>
    </row>
    <row r="58" spans="1:38" ht="15" customHeight="1" x14ac:dyDescent="0.25">
      <c r="A58" s="38"/>
      <c r="B58" s="38"/>
      <c r="C58" s="344"/>
      <c r="D58" s="345"/>
      <c r="E58" s="346">
        <v>4</v>
      </c>
      <c r="F58" s="340">
        <v>11.75</v>
      </c>
      <c r="G58" s="341">
        <f t="shared" si="45"/>
        <v>27.638138947798875</v>
      </c>
      <c r="H58" s="341">
        <f t="shared" si="46"/>
        <v>0.20237722616702095</v>
      </c>
      <c r="I58" s="342">
        <f t="shared" si="47"/>
        <v>0.99668282586471613</v>
      </c>
      <c r="J58" s="341"/>
      <c r="K58" s="422"/>
      <c r="L58" s="345"/>
      <c r="M58" s="347"/>
      <c r="N58" s="343"/>
      <c r="O58" s="343"/>
      <c r="P58" s="343"/>
      <c r="Q58" s="38"/>
      <c r="R58" s="177">
        <f>IF(($H$17=0),(_xlfn.IFS(('System Capacities'!$N$20+'System Capacities'!$N$33=2),((AD45/$G$17)),('System Capacities'!$N$20+'System Capacities'!$N$33=3),(((AD45-'System Capacities'!$H$47)/($G$17))+('System Capacities'!$I$47*'System Capacities'!$D$7)),('System Capacities'!$N$20+'System Capacities'!$N$33=4),(((AD45-'System Capacities'!$H$48)/($G$17))+('System Capacities'!$I$48*'System Capacities'!$D$7)),('System Capacities'!$N$20+'System Capacities'!$N$33=5),(((AD45-'System Capacities'!H$49)/($G$17))+('System Capacities'!$I$49*'System Capacities'!$D$7)),('System Capacities'!$N$20+'System Capacities'!$N$33=6),(((AD45-'System Capacities'!$H$50)/($G$17))+('System Capacities'!$I$50*'System Capacities'!$D$7)),('System Capacities'!$N$20+'System Capacities'!$N$33=7),(((AD45-'System Capacities'!$H$51)/($G$17))+('System Capacities'!$I$51*'System Capacities'!$D$7)),('System Capacities'!N72+'System Capacities'!$N$33=8),(((AD45-'System Capacities'!$H$52)/($G$17))+('System Capacities'!$I$52*'System Capacities'!$D$7)),('System Capacities'!N72+'System Capacities'!$N$33=9),(((AD45-'System Capacities'!$H$53)/($G$17))+('System Capacities'!$I$53*'System Capacities'!$D$7)),('System Capacities'!N72+'System Capacities'!$N$33=10),(((AD45-'System Capacities'!$H$54)/($G$17))+('System Capacities'!$I$54*'System Capacities'!$D$7)))),((ABS(AD45-$E$17)/(-1*$G$17))+($F$17*'System Capacities'!$D$7)))</f>
        <v>6.6189505567759276E-4</v>
      </c>
      <c r="S58" s="454">
        <f t="shared" si="48"/>
        <v>0.19953581834526582</v>
      </c>
      <c r="T58" s="38"/>
      <c r="U58" s="440">
        <v>5</v>
      </c>
      <c r="V58" s="60">
        <f t="shared" si="49"/>
        <v>14.75</v>
      </c>
      <c r="W58" s="61">
        <f t="shared" si="50"/>
        <v>2.2063168522586425E-4</v>
      </c>
      <c r="X58" s="456">
        <f t="shared" si="51"/>
        <v>0.19953581834526582</v>
      </c>
      <c r="Y58" s="441">
        <f>'Structural Information'!$Z$7</f>
        <v>40.367000000000004</v>
      </c>
      <c r="Z58" s="442">
        <f t="shared" si="52"/>
        <v>8.0546623791433465</v>
      </c>
      <c r="AA58" s="60">
        <f>((Y58*X58)/(Z64)*$L$15)</f>
        <v>27.730124599889827</v>
      </c>
      <c r="AB58" s="60">
        <f>AD58-AD57+$O$17</f>
        <v>27.73012459988983</v>
      </c>
      <c r="AC58" s="60">
        <f>AC57+AA58</f>
        <v>53.782733788410482</v>
      </c>
      <c r="AD58" s="444">
        <f>AC58-$O$17</f>
        <v>53.782733788410482</v>
      </c>
      <c r="AE58" s="137">
        <f>IF(($H$17=0),(_xlfn.IFS((W58&lt;='Frame Capacities'!$BT$15),(W58*'Frame Capacities'!$BK$5*'Frame Capacities'!$BM$15),(AND((W58&gt;'Frame Capacities'!$BT$15),(W58&lt;='Frame Capacities'!$BU$15))),((W58-'Frame Capacities'!$BT$15)*'Frame Capacities'!$BK$5*('Frame Capacities'!$BN$15)+'Frame Capacities'!$BF$15),(AND((W58&gt;'Frame Capacities'!$BU$15),(W58&lt;='Frame Capacities'!$BV$15))),((W58-'Frame Capacities'!$BU$15)*'Frame Capacities'!$BK$5*('Frame Capacities'!$BO$15)+'Frame Capacities'!$BG$15),(AND((W58&gt;'Frame Capacities'!$BV$15),(W58&lt;='Frame Capacities'!$BW$15))),((W58-'Frame Capacities'!$BV$15)*'Frame Capacities'!$BK$5*('Frame Capacities'!$BP$15)+'Frame Capacities'!$BH$15),(AND((W58&gt;'Frame Capacities'!$BW$15),(W58&lt;='Frame Capacities'!$BX$15))),((W58-'Frame Capacities'!$BW$15)*'Frame Capacities'!$BK$5*('Frame Capacities'!$BQ$15)+'Frame Capacities'!$BI$15))),((W58-'Frame Capacities'!$BY$15)*'Frame Capacities'!$BK$5*'Frame Capacities'!$BR$15+'Frame Capacities'!$BK$15))</f>
        <v>2.399969569223579</v>
      </c>
      <c r="AF58" s="445">
        <f>IF(($H$17=0),(_xlfn.IFS((W58&lt;='Infill Capacities'!$CY$15),(W58*'Infill Capacities'!$CS$15*'Infill Capacities'!$CQ$5),(AND((W58&gt;'Infill Capacities'!$CY$15),(W58&lt;='Infill Capacities'!$CZ$15))),((W58-'Infill Capacities'!$CY$15)*'Infill Capacities'!$CQ$5*('Infill Capacities'!$CT$15)+'Infill Capacities'!$CM$15),(AND((W58&gt;'Infill Capacities'!$CZ$15),(W58&lt;='Infill Capacities'!$DA$15))),((W58-'Infill Capacities'!$CZ$15)*'Infill Capacities'!$CQ$5*('Infill Capacities'!$CU$15)+'Infill Capacities'!$CN$15),(AND((W58&gt;'Infill Capacities'!$DA$15),(W58&lt;='Infill Capacities'!$DB$15))),((W58-'Infill Capacities'!$DA$15)*'Infill Capacities'!$CQ$5*('Infill Capacities'!$CV$15)+'Infill Capacities'!$CP$15))),((W58-'Infill Capacities'!$DC$15)*'Infill Capacities'!$CQ$5*'Infill Capacities'!$CW$15+'Infill Capacities'!$CQ$15))</f>
        <v>51.382764219186981</v>
      </c>
      <c r="AG58" s="457">
        <f>AE58/$C$17</f>
        <v>0.14730782936252182</v>
      </c>
      <c r="AH58" s="458">
        <f>AF58/$D$17</f>
        <v>0.14730782936252199</v>
      </c>
      <c r="AI58" s="446">
        <f t="shared" si="53"/>
        <v>53.78273378841056</v>
      </c>
      <c r="AJ58" s="447">
        <f>AD58-AI58</f>
        <v>-7.815970093361102E-14</v>
      </c>
      <c r="AK58" s="322">
        <f t="shared" ref="AK58:AK62" si="54">(AD58-(AI58))/AD58</f>
        <v>-1.4532489412141684E-15</v>
      </c>
      <c r="AL58" s="38"/>
    </row>
    <row r="59" spans="1:38" ht="15" customHeight="1" x14ac:dyDescent="0.25">
      <c r="A59" s="38"/>
      <c r="B59" s="38"/>
      <c r="C59" s="344"/>
      <c r="D59" s="345"/>
      <c r="E59" s="346">
        <v>3</v>
      </c>
      <c r="F59" s="340">
        <v>8.75</v>
      </c>
      <c r="G59" s="341">
        <f t="shared" si="45"/>
        <v>27.509850482009522</v>
      </c>
      <c r="H59" s="341">
        <f t="shared" si="46"/>
        <v>0.20143784801624501</v>
      </c>
      <c r="I59" s="342">
        <f t="shared" si="47"/>
        <v>0.99205650457549044</v>
      </c>
      <c r="J59" s="341"/>
      <c r="K59" s="422"/>
      <c r="L59" s="345"/>
      <c r="M59" s="347"/>
      <c r="N59" s="343"/>
      <c r="O59" s="343"/>
      <c r="P59" s="343"/>
      <c r="Q59" s="38"/>
      <c r="R59" s="177">
        <f>IF(($H$18=0),(_xlfn.IFS(('System Capacities'!$N$21+'System Capacities'!$N$34=2),((AD46/$G$18)),('System Capacities'!$N$21+'System Capacities'!$N$34=3),(((AD46-'System Capacities'!$L$47)/ABS($G$18))+('System Capacities'!$M$47*'System Capacities'!$D$8)),('System Capacities'!$N$21+'System Capacities'!$N$34=4),(((AD46-'System Capacities'!$L$48)/($G$18))+('System Capacities'!$M$48*'System Capacities'!$D$8)),('System Capacities'!$N$21+'System Capacities'!$N$34=5),(((AD46-'System Capacities'!$L$49)/($G$18))+('System Capacities'!$M$49*'System Capacities'!$D$8)),('System Capacities'!$N$21+'System Capacities'!$N$34=6),(((AD46-'System Capacities'!$L$50)/($G$18))+('System Capacities'!$M$50*'System Capacities'!$D$8)),('System Capacities'!$N$21+'System Capacities'!$N$34=7),(((AD46-'System Capacities'!$L$51)/($G$18))+('System Capacities'!$M$51*'System Capacities'!$D$8)),('System Capacities'!$N$21+'System Capacities'!$N$34=8),(((AD46-'System Capacities'!$L$52)/($G$18))+('System Capacities'!$M$52*'System Capacities'!$D$8)),('System Capacities'!$N$21+'System Capacities'!$N$34=9),(((AD46-'System Capacities'!$L$53)/($G$18))+('System Capacities'!$M$53*'System Capacities'!$D$8)),('System Capacities'!$N$21+'System Capacities'!$N$34=10),(((AD46-'System Capacities'!$L$54)/($G$18))+('System Capacities'!$M$54*'System Capacities'!$D$8)))),((ABS(AD46-$E$18)/(-1*$G$18))+($F$18*'System Capacities'!$D$8)))</f>
        <v>9.2311680437378793E-4</v>
      </c>
      <c r="S59" s="454">
        <f t="shared" si="48"/>
        <v>0.19887392328958822</v>
      </c>
      <c r="T59" s="38"/>
      <c r="U59" s="440">
        <v>4</v>
      </c>
      <c r="V59" s="60">
        <f t="shared" si="49"/>
        <v>11.75</v>
      </c>
      <c r="W59" s="61">
        <f t="shared" si="50"/>
        <v>3.0770560145792933E-4</v>
      </c>
      <c r="X59" s="456">
        <f t="shared" si="51"/>
        <v>0.19887392328958822</v>
      </c>
      <c r="Y59" s="441">
        <f>'Structural Information'!$Z$8</f>
        <v>40.367000000000004</v>
      </c>
      <c r="Z59" s="442">
        <f t="shared" si="52"/>
        <v>8.0279436614308093</v>
      </c>
      <c r="AA59" s="60">
        <f>((Y59*X59)/(Z64)*$L$15)</f>
        <v>27.638138947798875</v>
      </c>
      <c r="AB59" s="60">
        <f>AD59-AD58+$O$18</f>
        <v>27.638138947798879</v>
      </c>
      <c r="AC59" s="60">
        <f t="shared" ref="AC59:AC62" si="55">AC58+AA59</f>
        <v>81.420872736209361</v>
      </c>
      <c r="AD59" s="444">
        <f>AC59-$O$18</f>
        <v>81.420872736209361</v>
      </c>
      <c r="AE59" s="137">
        <f>IF(($H$18=0),(_xlfn.IFS((W59&lt;='Frame Capacities'!$BT$16),(W59*'Frame Capacities'!$BK$6*'Frame Capacities'!$BM$16),(AND((W59&gt;'Frame Capacities'!$BT$16),(W59&lt;='Frame Capacities'!$BU$16))),((W59-'Frame Capacities'!$BT$16)*'Frame Capacities'!$BK$6*('Frame Capacities'!$BN$16)+'Frame Capacities'!$BF$16),(AND((W59&gt;'Frame Capacities'!$BU$16),(W59&lt;='Frame Capacities'!$BV$16))),((W59-'Frame Capacities'!$BU$16)*'Frame Capacities'!$BK$6*('Frame Capacities'!$BO$16)+'Frame Capacities'!$BG$16),(AND((W59&gt;'Frame Capacities'!$BV$16),(W59&lt;='Frame Capacities'!$BW$16))),((W59-'Frame Capacities'!$BV$16)*'Frame Capacities'!$BK$6*('Frame Capacities'!$BP$16)+'Frame Capacities'!$BH$16),(AND((W59&gt;'Frame Capacities'!$BW$16),(W59&lt;='Frame Capacities'!$BX$16))),((W59-'Frame Capacities'!$BW$16)*'Frame Capacities'!$BK$6*('Frame Capacities'!$BQ$16)+'Frame Capacities'!$BI$16))),((W59-'Frame Capacities'!$BY$16)*'Frame Capacities'!$BK$6*'Frame Capacities'!$BR$16+'Frame Capacities'!$BK$16))</f>
        <v>3.902271894729374</v>
      </c>
      <c r="AF59" s="445">
        <f>IF(($H$18=0),(_xlfn.IFS((W59&lt;='Infill Capacities'!$CY$16),(W59*'Infill Capacities'!$CS$16*'Infill Capacities'!$CQ$6),(AND((W59&gt;'Infill Capacities'!$CY$16),(W59&lt;='Infill Capacities'!$CZ$16))),((W59-'Infill Capacities'!$CY$16)*'Infill Capacities'!$CQ$6*('Infill Capacities'!$CT$16)+'Infill Capacities'!$CM$16),(AND((W59&gt;'Infill Capacities'!$CZ$16),(W59&lt;='Infill Capacities'!$DA$16))),((W59-'Infill Capacities'!$CZ$16)*'Infill Capacities'!$CQ$6*('Infill Capacities'!$CU$16)+'Infill Capacities'!$CN$16),(AND((W59&gt;'Infill Capacities'!$DA$16),(W59&lt;='Infill Capacities'!$DB$16))),((W59-'Infill Capacities'!$DA$16)*'Infill Capacities'!$CQ$6*('Infill Capacities'!$CV$16)+'Infill Capacities'!$CP$16))),((W59-'Infill Capacities'!$DC$16)*'Infill Capacities'!$CQ$6*'Infill Capacities'!$CW$16+'Infill Capacities'!$CQ$16))</f>
        <v>77.518600841480065</v>
      </c>
      <c r="AG59" s="457">
        <f>AE59/$C$18</f>
        <v>0.15334589967805254</v>
      </c>
      <c r="AH59" s="458">
        <f>AF59/$D$18</f>
        <v>0.15334589967805243</v>
      </c>
      <c r="AI59" s="446">
        <f t="shared" si="53"/>
        <v>81.420872736209446</v>
      </c>
      <c r="AJ59" s="447">
        <f t="shared" ref="AJ59:AJ62" si="56">AD59-AI59</f>
        <v>0</v>
      </c>
      <c r="AK59" s="322">
        <f t="shared" si="54"/>
        <v>-1.0472146198611434E-15</v>
      </c>
      <c r="AL59" s="38"/>
    </row>
    <row r="60" spans="1:38" ht="15" customHeight="1" x14ac:dyDescent="0.25">
      <c r="A60" s="38"/>
      <c r="B60" s="38"/>
      <c r="C60" s="344"/>
      <c r="D60" s="345"/>
      <c r="E60" s="346">
        <v>2</v>
      </c>
      <c r="F60" s="340">
        <v>5.75</v>
      </c>
      <c r="G60" s="341">
        <f t="shared" si="45"/>
        <v>26.770691764523797</v>
      </c>
      <c r="H60" s="341">
        <f t="shared" si="46"/>
        <v>0.19602543977759812</v>
      </c>
      <c r="I60" s="342">
        <f t="shared" si="47"/>
        <v>0.96540106295195505</v>
      </c>
      <c r="J60" s="341"/>
      <c r="K60" s="422"/>
      <c r="L60" s="345"/>
      <c r="M60" s="347"/>
      <c r="N60" s="343"/>
      <c r="O60" s="343"/>
      <c r="P60" s="343"/>
      <c r="Q60" s="38"/>
      <c r="R60" s="177">
        <f>IF(($H$19=0),(_xlfn.IFS(('System Capacities'!$N$22+'System Capacities'!$N$35=2),((AD47/$G$19)),('System Capacities'!$N$22+'System Capacities'!$N$35=3),(((AD47-'System Capacities'!$D$61)/($G$19))+('System Capacities'!$E$61*'System Capacities'!$D$9)),('System Capacities'!$N$22+'System Capacities'!$N$35=4),(((AD47-'System Capacities'!$D$62)/($G$19))+('System Capacities'!$E$62*'System Capacities'!$D$9)),('System Capacities'!$N$22+'System Capacities'!$N$35=5),(((AD47-'System Capacities'!$D$63)/($G$19))+('System Capacities'!$E$63*'System Capacities'!$D$9)),('System Capacities'!$N$22+'System Capacities'!$N$35=6),(((AD47-'System Capacities'!$D$64)/($G$19))+('System Capacities'!$E$64*'System Capacities'!$D$9)),('System Capacities'!$N$22+'System Capacities'!$N$35=7),(((AD47-'System Capacities'!$D$65)/($G$19))+('System Capacities'!$E$65*'System Capacities'!$D$9)),('System Capacities'!$N$22+'System Capacities'!$N$35=8),(((AD47-'System Capacities'!$D$66)/($G$19))+('System Capacities'!$E$66*'System Capacities'!$D$9)),('System Capacities'!$N$22+'System Capacities'!$N$35=9),(((AD47-'System Capacities'!$D$67)/($G$19))+('System Capacities'!$E$67*'System Capacities'!$D$9)),('System Capacities'!$N$22+'System Capacities'!$N$35=10),(((AD47-'System Capacities'!$D$68)/($G$19))+('System Capacities'!$E$68*'System Capacities'!$D$9)))),((ABS(AD47-$E$19)/(-1*$G$19))+($F$19*'System Capacities'!$D$9)))</f>
        <v>5.3187153577065856E-3</v>
      </c>
      <c r="S60" s="454">
        <f t="shared" si="48"/>
        <v>0.19795080648521443</v>
      </c>
      <c r="T60" s="38"/>
      <c r="U60" s="440">
        <v>3</v>
      </c>
      <c r="V60" s="60">
        <f t="shared" si="49"/>
        <v>8.75</v>
      </c>
      <c r="W60" s="61">
        <f>R60/(V60-V61)</f>
        <v>1.7729051192355285E-3</v>
      </c>
      <c r="X60" s="456">
        <f t="shared" si="51"/>
        <v>0.19795080648521443</v>
      </c>
      <c r="Y60" s="441">
        <f>'Structural Information'!$Z$9</f>
        <v>40.367000000000004</v>
      </c>
      <c r="Z60" s="442">
        <f t="shared" si="52"/>
        <v>7.9906802053886521</v>
      </c>
      <c r="AA60" s="60">
        <f>((Y60*X60)/(Z64)*$L$15)</f>
        <v>27.509850482009522</v>
      </c>
      <c r="AB60" s="60">
        <f>AD60-AD59+$O$19</f>
        <v>27.509850482009526</v>
      </c>
      <c r="AC60" s="60">
        <f t="shared" si="55"/>
        <v>108.93072321821889</v>
      </c>
      <c r="AD60" s="444">
        <f>AC60-$O$19</f>
        <v>108.93072321821889</v>
      </c>
      <c r="AE60" s="137">
        <f>IF(($H$19=0),(_xlfn.IFS((W60&lt;='Frame Capacities'!$BT$17),(W60*'Frame Capacities'!$BK$7*'Frame Capacities'!$BM$17),(AND((W60&gt;'Frame Capacities'!$BT$17),(W60&lt;='Frame Capacities'!$BU$17))),((W60-'Frame Capacities'!$BT$17)*'Frame Capacities'!$BK$7*('Frame Capacities'!$BN$17)+'Frame Capacities'!$BF$17),(AND((W60&gt;'Frame Capacities'!$BU$17),(W60&lt;='Frame Capacities'!$BV$17))),((W60-'Frame Capacities'!$BU$17)*'Frame Capacities'!$BK$7*('Frame Capacities'!$BO$17)+'Frame Capacities'!$BG$17),(AND((W60&gt;'Frame Capacities'!$BV$17),(W60&lt;='Frame Capacities'!$BW$17))),((W60-'Frame Capacities'!$BV$17)*'Frame Capacities'!$BK$7*('Frame Capacities'!$BP$17)+'Frame Capacities'!$BH$17),(AND((W60&gt;'Frame Capacities'!$BW$17),(W60&lt;='Frame Capacities'!$BX$17))),((W60-'Frame Capacities'!$BW$17)*'Frame Capacities'!$BK$7*('Frame Capacities'!$BQ$17)+'Frame Capacities'!$BI$17))),((W60-'Frame Capacities'!$BY$17)*'Frame Capacities'!$BK$7*'Frame Capacities'!$BR$17+'Frame Capacities'!$BK$17))</f>
        <v>31.854526110664231</v>
      </c>
      <c r="AF60" s="445">
        <f>IF(($H$19=0),(_xlfn.IFS((W60&lt;='Infill Capacities'!$CY$17),(W60*'Infill Capacities'!$CS$17*'Infill Capacities'!$CQ$7),(AND((W60&gt;'Infill Capacities'!$CY$17),(W60&lt;='Infill Capacities'!$CZ$17))),((W60-'Infill Capacities'!$CY$17)*'Infill Capacities'!$CQ$7*('Infill Capacities'!$CT$17)+'Infill Capacities'!$CM$17),(AND((W60&gt;'Infill Capacities'!$CZ$17),(W60&lt;='Infill Capacities'!$DA$17))),((W60-'Infill Capacities'!$CZ$17)*'Infill Capacities'!$CQ$7*('Infill Capacities'!$CU$17)+'Infill Capacities'!$CN$17),(AND((W60&gt;'Infill Capacities'!$DA$17),(W60&lt;='Infill Capacities'!$DB$17))),((W60-'Infill Capacities'!$DA$17)*'Infill Capacities'!$CQ$7*('Infill Capacities'!$CV$17)+'Infill Capacities'!$CP$17))),((W60-'Infill Capacities'!$DC$17)*'Infill Capacities'!$CQ$7*'Infill Capacities'!$CW$17+'Infill Capacities'!$CQ$17))</f>
        <v>77.076197107554776</v>
      </c>
      <c r="AG60" s="457">
        <f>AE60/$C$19</f>
        <v>0.47520265984333138</v>
      </c>
      <c r="AH60" s="458">
        <f>AF60/$D$19</f>
        <v>0.12700956982929304</v>
      </c>
      <c r="AI60" s="446">
        <f t="shared" si="53"/>
        <v>108.93072321821901</v>
      </c>
      <c r="AJ60" s="447">
        <f t="shared" si="56"/>
        <v>-1.2789769243681803E-13</v>
      </c>
      <c r="AK60" s="322">
        <f t="shared" si="54"/>
        <v>-1.1741195565240393E-15</v>
      </c>
      <c r="AL60" s="38"/>
    </row>
    <row r="61" spans="1:38" ht="15" customHeight="1" x14ac:dyDescent="0.25">
      <c r="A61" s="38"/>
      <c r="B61" s="38"/>
      <c r="C61" s="344"/>
      <c r="D61" s="345"/>
      <c r="E61" s="346">
        <v>1</v>
      </c>
      <c r="F61" s="340">
        <v>2.75</v>
      </c>
      <c r="G61" s="341">
        <f t="shared" si="45"/>
        <v>0.86602134030116185</v>
      </c>
      <c r="H61" s="341">
        <f t="shared" si="46"/>
        <v>6.3413458114028676E-3</v>
      </c>
      <c r="I61" s="342">
        <f t="shared" si="47"/>
        <v>3.1230344356426101E-2</v>
      </c>
      <c r="J61" s="341"/>
      <c r="K61" s="422"/>
      <c r="L61" s="345"/>
      <c r="M61" s="347"/>
      <c r="N61" s="343"/>
      <c r="O61" s="343"/>
      <c r="P61" s="343"/>
      <c r="Q61" s="38"/>
      <c r="R61" s="177">
        <f>IF(($H$20=0),(_xlfn.IFS(('System Capacities'!$N$23+'System Capacities'!$N$36=2),((AD48/$G$20)),('System Capacities'!$N$23+'System Capacities'!$N$36=3),(((AD48-'System Capacities'!$H$61)/ABS($G$20))+('System Capacities'!$I$61*'System Capacities'!$D$10)),('System Capacities'!$N$23+'System Capacities'!$N$36=4),(((AD48-'System Capacities'!$H$62)/($G$20))+('System Capacities'!$I$62*'System Capacities'!$D$10)),('System Capacities'!$N$23+'System Capacities'!$N$36=5),(((AD48-'System Capacities'!$H$63)/($G$20))+('System Capacities'!$I$63*'System Capacities'!$D$10)),('System Capacities'!$N$23+'System Capacities'!$N$36=6),(((AD48-'System Capacities'!$H$64)/($G$20))+('System Capacities'!$I$64*'System Capacities'!$D$10)),('System Capacities'!$N$23+'System Capacities'!$N$36=7),(((AD48-'System Capacities'!$H$65)/($G$20))+('System Capacities'!$I$65*'System Capacities'!$D$10)),('System Capacities'!$N$23+'System Capacities'!$N$36=8),(((AD48-'System Capacities'!$H$66)/($G$20))+('System Capacities'!$I$66*'System Capacities'!$D$10)),('System Capacities'!$N$23+'System Capacities'!$N$36=9),(((AD48-'System Capacities'!$H$67)/($G$20))+('System Capacities'!$I$67*'System Capacities'!$D$10)),('System Capacities'!$N$23+'System Capacities'!$N$36=10),(((AD48-'System Capacities'!$H$68)/($G$20))+('System Capacities'!$I$68*'System Capacities'!$D$10)))),((ABS(AD48-$E$20)/(-1*$G$20))+($F$20*'System Capacities'!$D$10)))</f>
        <v>0.18640051880914391</v>
      </c>
      <c r="S61" s="454">
        <f>S62+R61</f>
        <v>0.19263209112750784</v>
      </c>
      <c r="T61" s="38"/>
      <c r="U61" s="440">
        <v>2</v>
      </c>
      <c r="V61" s="60">
        <f t="shared" si="49"/>
        <v>5.75</v>
      </c>
      <c r="W61" s="61">
        <f>R61/(V61-V62)</f>
        <v>6.2133506269714638E-2</v>
      </c>
      <c r="X61" s="456">
        <f>S61</f>
        <v>0.19263209112750784</v>
      </c>
      <c r="Y61" s="441">
        <f>'Structural Information'!$Z$10</f>
        <v>40.367000000000004</v>
      </c>
      <c r="Z61" s="442">
        <f t="shared" si="52"/>
        <v>7.77597962254411</v>
      </c>
      <c r="AA61" s="60">
        <f>((Y61*X61)/(Z64)*$L$15)</f>
        <v>26.770691764523797</v>
      </c>
      <c r="AB61" s="60">
        <f>AD61-AD60+$O$20</f>
        <v>26.770691764523789</v>
      </c>
      <c r="AC61" s="60">
        <f t="shared" si="55"/>
        <v>135.70141498274268</v>
      </c>
      <c r="AD61" s="444">
        <f>AC61-$O$20</f>
        <v>135.70141498274268</v>
      </c>
      <c r="AE61" s="137">
        <f>IF(($H$20=0),(_xlfn.IFS((W61&lt;='Frame Capacities'!$BT$18),(W61*'Frame Capacities'!$BK$8*'Frame Capacities'!$BM$18),(AND((W61&gt;'Frame Capacities'!$BT$18),(W61&lt;='Frame Capacities'!$BU$18))),((W61-'Frame Capacities'!$BT$18)*'Frame Capacities'!$BK$8*('Frame Capacities'!$BN$18)+'Frame Capacities'!$BF$18),(AND((W61&gt;'Frame Capacities'!$BU$18),(W61&lt;='Frame Capacities'!$BV$18))),((W61-'Frame Capacities'!$BU$18)*'Frame Capacities'!$BK$8*('Frame Capacities'!$BO$18)+'Frame Capacities'!$BG$18),(AND((W61&gt;'Frame Capacities'!$BV$18),(W61&lt;='Frame Capacities'!$BW$18))),((W61-'Frame Capacities'!$BV$18)*'Frame Capacities'!$BK$8*('Frame Capacities'!$BP$18)+'Frame Capacities'!$BH$18),(AND((W61&gt;'Frame Capacities'!$BW$18),(W61&lt;='Frame Capacities'!$BX$18))),((W61-'Frame Capacities'!$BW$18)*'Frame Capacities'!$BK$8*('Frame Capacities'!$BQ$18)+'Frame Capacities'!$BI$18))),((W61-'Frame Capacities'!$BY$18)*'Frame Capacities'!$BK$8*'Frame Capacities'!$BR$18+'Frame Capacities'!$BK$18))</f>
        <v>69.605414982742516</v>
      </c>
      <c r="AF61" s="445">
        <f>IF(($H$20=0),(_xlfn.IFS((W61&lt;='Infill Capacities'!$CY$18),(W61*'Infill Capacities'!$CS$18*'Infill Capacities'!$CQ$8),(AND((W61&gt;'Infill Capacities'!$CY$18),(W61&lt;='Infill Capacities'!$CZ$18))),((W61-'Infill Capacities'!$CY$18)*'Infill Capacities'!$CQ$8*('Infill Capacities'!$CT$18)+'Infill Capacities'!$CM$18),(AND((W61&gt;'Infill Capacities'!$CZ$18),(W61&lt;='Infill Capacities'!$DA$18))),((W61-'Infill Capacities'!$CZ$18)*'Infill Capacities'!$CQ$8*('Infill Capacities'!$CU$18)+'Infill Capacities'!$CN$18),(AND((W61&gt;'Infill Capacities'!$DA$18),(W61&lt;='Infill Capacities'!$DB$18))),((W61-'Infill Capacities'!$DA$18)*'Infill Capacities'!$CQ$8*('Infill Capacities'!$CV$18)+'Infill Capacities'!$CP$18))),((W61-'Infill Capacities'!$DC$18)*'Infill Capacities'!$CQ$8*'Infill Capacities'!$CW$18+'Infill Capacities'!$CQ$18))</f>
        <v>66.096000000000004</v>
      </c>
      <c r="AG61" s="457">
        <f>AE61/$C$20</f>
        <v>3.9850428425234261</v>
      </c>
      <c r="AH61" s="458">
        <f>AF61/$D$20</f>
        <v>1</v>
      </c>
      <c r="AI61" s="446">
        <f>AE61+AF61</f>
        <v>135.70141498274251</v>
      </c>
      <c r="AJ61" s="447">
        <f t="shared" si="56"/>
        <v>0</v>
      </c>
      <c r="AK61" s="322">
        <f t="shared" si="54"/>
        <v>1.2566579103402171E-15</v>
      </c>
      <c r="AL61" s="38"/>
    </row>
    <row r="62" spans="1:38" ht="15" customHeight="1" x14ac:dyDescent="0.25">
      <c r="A62" s="38"/>
      <c r="B62" s="38"/>
      <c r="C62" s="344"/>
      <c r="D62" s="345"/>
      <c r="E62" s="348">
        <v>0</v>
      </c>
      <c r="F62" s="349">
        <v>0</v>
      </c>
      <c r="G62" s="350">
        <v>0</v>
      </c>
      <c r="H62" s="350">
        <f t="shared" si="46"/>
        <v>0</v>
      </c>
      <c r="I62" s="351">
        <f t="shared" si="47"/>
        <v>0</v>
      </c>
      <c r="J62" s="341"/>
      <c r="K62" s="422"/>
      <c r="L62" s="345"/>
      <c r="M62" s="347"/>
      <c r="N62" s="343"/>
      <c r="O62" s="343"/>
      <c r="P62" s="343"/>
      <c r="Q62" s="38"/>
      <c r="R62" s="177">
        <f>IF(($H$21=0),(_xlfn.IFS(('System Capacities'!$N$24+'System Capacities'!$N$37=2),(AD49/$G$21),('System Capacities'!$N$24+'System Capacities'!$N$37=3),(((AD49-'System Capacities'!$L$61)/($G$21))+('System Capacities'!$M$61*'System Capacities'!$D$11)),('System Capacities'!$N$24+'System Capacities'!$N$37=4),(((AD49-'System Capacities'!$L$62)/($G$21))+('System Capacities'!$M$62*'System Capacities'!$D$11)),('System Capacities'!$N$24+'System Capacities'!$N$37=5),(((AD49-'System Capacities'!$L$63)/($G$21))+('System Capacities'!$M$63*'System Capacities'!$D$11)),('System Capacities'!$N$24+'System Capacities'!$N$37=6),(((AD49-'System Capacities'!$L$64)/($G$21))+('System Capacities'!$M$64*'System Capacities'!$D$11)),('System Capacities'!$N$24+'System Capacities'!$N$37=7),(((AD49-'System Capacities'!$L$65)/($G$21))+('System Capacities'!$M$65*'System Capacities'!$D$11)),('System Capacities'!$N$24+'System Capacities'!$N$37=8),(((AD49-'System Capacities'!$L$66)/($G$21))+('System Capacities'!$M$66*'System Capacities'!$D$11)),('System Capacities'!$N$24+'System Capacities'!$N$37=9),(((AD49-'System Capacities'!$L$67)/($G$21))+('System Capacities'!$M$67*'System Capacities'!$D$11)),('System Capacities'!$N$24+'System Capacities'!$N$37=10),(((AD49-'System Capacities'!$L$68)/($G$21))+('System Capacities'!$M$68*'System Capacities'!$D$11)))),((ABS(AD49-$E$21)/(-1*$G$21))+($F$21*'System Capacities'!$D$11)))</f>
        <v>6.2315723183639362E-3</v>
      </c>
      <c r="S62" s="454">
        <f>S63+R62</f>
        <v>6.2315723183639362E-3</v>
      </c>
      <c r="T62" s="38"/>
      <c r="U62" s="440">
        <v>1</v>
      </c>
      <c r="V62" s="60">
        <f t="shared" si="49"/>
        <v>2.75</v>
      </c>
      <c r="W62" s="61">
        <f>R62/(V62-V63)</f>
        <v>2.2660262975868861E-3</v>
      </c>
      <c r="X62" s="456">
        <f t="shared" si="51"/>
        <v>6.2315723183639362E-3</v>
      </c>
      <c r="Y62" s="441">
        <f>'Structural Information'!$Z$11</f>
        <v>40.367000000000004</v>
      </c>
      <c r="Z62" s="442">
        <f t="shared" si="52"/>
        <v>0.25154987977539706</v>
      </c>
      <c r="AA62" s="60">
        <f>((Y62*X62)/(Z64)*$L$15)</f>
        <v>0.86602134030116185</v>
      </c>
      <c r="AB62" s="60">
        <f>AD62-AD61+$O$21</f>
        <v>0.86602134030115963</v>
      </c>
      <c r="AC62" s="60">
        <f t="shared" si="55"/>
        <v>136.56743632304384</v>
      </c>
      <c r="AD62" s="444">
        <f>AC62-$O$21</f>
        <v>136.56743632304384</v>
      </c>
      <c r="AE62" s="137">
        <f>IF(($H$21=0),(_xlfn.IFS((W62&lt;='Frame Capacities'!$BT$19),(W62*'Frame Capacities'!$BK$9*'Frame Capacities'!$BM$19),(AND((W62&gt;'Frame Capacities'!$BT$19),(W62&lt;='Frame Capacities'!$BU$19))),((W62-'Frame Capacities'!$BT$19)*'Frame Capacities'!$BK$9*('Frame Capacities'!$BN$19)+'Frame Capacities'!$BF$19),(AND((W62&gt;'Frame Capacities'!$BU$19),(W62&lt;='Frame Capacities'!$BV$19))),((W62-'Frame Capacities'!$BU$19)*'Frame Capacities'!$BK$9*('Frame Capacities'!$BO$19)+'Frame Capacities'!$BG$19),(AND((W62&gt;'Frame Capacities'!$BV$19),(W62&lt;='Frame Capacities'!$BW$19))),((W62-'Frame Capacities'!$BV$19)*'Frame Capacities'!$BK$9*('Frame Capacities'!$BP$19)+'Frame Capacities'!$BH$19),(AND((W62&gt;'Frame Capacities'!$BW$19),(W62&lt;='Frame Capacities'!$BX$19))),((W62-'Frame Capacities'!$BW$19)*'Frame Capacities'!$BK$9*('Frame Capacities'!$BQ$19)+'Frame Capacities'!$BI$19))),((W62-'Frame Capacities'!$BY$19)*'Frame Capacities'!$BK$9*'Frame Capacities'!$BR$19+'Frame Capacities'!$BK$19))</f>
        <v>105.46591492150033</v>
      </c>
      <c r="AF62" s="445">
        <f>IF(($H$21=0),(_xlfn.IFS((W62&lt;='Infill Capacities'!$CY$19),(W62*'Infill Capacities'!$CS$19*'Infill Capacities'!$CQ$9),(AND((W62&gt;'Infill Capacities'!$CY$19),(W62&lt;='Infill Capacities'!$CZ$19))),((W62-'Infill Capacities'!$CY$19)*'Infill Capacities'!$CQ$9*('Infill Capacities'!$CT$19)+'Infill Capacities'!$CM$19),(AND((W62&gt;'Infill Capacities'!$CZ$19),(W62&lt;='Infill Capacities'!$DA$19))),((W62-'Infill Capacities'!$CZ$19)*'Infill Capacities'!$CQ$9*('Infill Capacities'!$CU$19)+'Infill Capacities'!$CN$19),(AND((W62&gt;'Infill Capacities'!$DA$19),(W62&lt;='Infill Capacities'!$DB$19))),((W62-'Infill Capacities'!$DA$19)*'Infill Capacities'!$CQ$9*('Infill Capacities'!$CV$19)+'Infill Capacities'!$CP$19))),((W62-'Infill Capacities'!$DC$19)*'Infill Capacities'!$CQ$9*'Infill Capacities'!$CW$19+'Infill Capacities'!$CQ$19))</f>
        <v>31.10152140154355</v>
      </c>
      <c r="AG62" s="457">
        <f>AE62/$C$21</f>
        <v>0.52630847089436639</v>
      </c>
      <c r="AH62" s="458">
        <f>AF62/$D$21</f>
        <v>5.0253630277048884E-2</v>
      </c>
      <c r="AI62" s="446">
        <f>AE62+AF62</f>
        <v>136.56743632304386</v>
      </c>
      <c r="AJ62" s="447">
        <f t="shared" si="56"/>
        <v>0</v>
      </c>
      <c r="AK62" s="322">
        <f t="shared" si="54"/>
        <v>-2.0811483466068581E-16</v>
      </c>
      <c r="AL62" s="38"/>
    </row>
    <row r="63" spans="1:38" ht="15" customHeight="1" x14ac:dyDescent="0.25">
      <c r="A63" s="38"/>
      <c r="B63" s="38"/>
      <c r="C63" s="344"/>
      <c r="D63" s="345"/>
      <c r="E63" s="347"/>
      <c r="F63" s="344"/>
      <c r="G63" s="345"/>
      <c r="H63" s="345"/>
      <c r="I63" s="347"/>
      <c r="J63" s="347"/>
      <c r="K63" s="343"/>
      <c r="L63" s="345"/>
      <c r="M63" s="347"/>
      <c r="N63" s="343"/>
      <c r="O63" s="343"/>
      <c r="P63" s="343"/>
      <c r="Q63" s="38"/>
      <c r="R63" s="178">
        <v>0</v>
      </c>
      <c r="S63" s="455">
        <f>R63</f>
        <v>0</v>
      </c>
      <c r="T63" s="38"/>
      <c r="U63" s="439">
        <v>0</v>
      </c>
      <c r="V63" s="100">
        <f t="shared" si="49"/>
        <v>0</v>
      </c>
      <c r="W63" s="461" t="s">
        <v>83</v>
      </c>
      <c r="X63" s="462">
        <f>S63</f>
        <v>0</v>
      </c>
      <c r="Y63" s="237" t="str">
        <f t="shared" ref="Y63" si="57">E11</f>
        <v>-</v>
      </c>
      <c r="Z63" s="236">
        <v>0</v>
      </c>
      <c r="AA63" s="100" t="s">
        <v>83</v>
      </c>
      <c r="AB63" s="100"/>
      <c r="AC63" s="449" t="s">
        <v>83</v>
      </c>
      <c r="AD63" s="449" t="s">
        <v>83</v>
      </c>
      <c r="AE63" s="134" t="s">
        <v>83</v>
      </c>
      <c r="AF63" s="134" t="s">
        <v>83</v>
      </c>
      <c r="AG63" s="161" t="s">
        <v>83</v>
      </c>
      <c r="AH63" s="134" t="s">
        <v>83</v>
      </c>
      <c r="AI63" s="450" t="s">
        <v>83</v>
      </c>
      <c r="AJ63" s="451" t="s">
        <v>83</v>
      </c>
      <c r="AK63" s="38"/>
      <c r="AL63" s="38"/>
    </row>
    <row r="64" spans="1:38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422"/>
      <c r="V64" s="422"/>
      <c r="W64" s="422"/>
      <c r="X64" s="459" t="s">
        <v>102</v>
      </c>
      <c r="Y64" s="452" t="s">
        <v>95</v>
      </c>
      <c r="Z64" s="460">
        <f>SUM(Z57:Z63)</f>
        <v>39.66821669353935</v>
      </c>
      <c r="AA64" s="422"/>
      <c r="AB64" s="422"/>
      <c r="AC64" s="422"/>
      <c r="AD64" s="422"/>
      <c r="AE64" s="422"/>
      <c r="AF64" s="422"/>
      <c r="AG64" s="422"/>
      <c r="AH64" s="422"/>
      <c r="AI64" s="422"/>
      <c r="AJ64" s="422"/>
      <c r="AK64" s="38"/>
      <c r="AL64" s="38"/>
    </row>
    <row r="65" spans="1:38" ht="15" customHeight="1" x14ac:dyDescent="0.25">
      <c r="A65" s="38"/>
      <c r="B65" s="38"/>
      <c r="C65" s="336"/>
      <c r="D65" s="336"/>
      <c r="E65" s="336"/>
      <c r="F65" s="336"/>
      <c r="G65" s="336"/>
      <c r="H65" s="336"/>
      <c r="I65" s="336"/>
      <c r="J65" s="336"/>
      <c r="K65" s="336"/>
      <c r="L65" s="336"/>
      <c r="M65" s="336"/>
      <c r="N65" s="336"/>
      <c r="O65" s="336"/>
      <c r="P65" s="336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</row>
    <row r="66" spans="1:38" ht="15" customHeight="1" x14ac:dyDescent="0.25">
      <c r="A66" s="38"/>
      <c r="B66" s="38"/>
      <c r="C66" s="336"/>
      <c r="D66" s="336"/>
      <c r="E66" s="336"/>
      <c r="F66" s="336"/>
      <c r="G66" s="336"/>
      <c r="H66" s="336"/>
      <c r="I66" s="336"/>
      <c r="J66" s="336"/>
      <c r="K66" s="336"/>
      <c r="L66" s="336"/>
      <c r="M66" s="336"/>
      <c r="N66" s="336"/>
      <c r="O66" s="336"/>
      <c r="P66" s="336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</row>
    <row r="67" spans="1:38" ht="15.75" customHeight="1" x14ac:dyDescent="0.25">
      <c r="A67" s="38"/>
      <c r="B67" s="38"/>
      <c r="C67" s="11"/>
      <c r="D67" s="338"/>
      <c r="E67" s="338"/>
      <c r="F67" s="343"/>
      <c r="G67" s="338"/>
      <c r="H67" s="338"/>
      <c r="I67" s="338"/>
      <c r="J67" s="338"/>
      <c r="K67" s="343"/>
      <c r="L67" s="338"/>
      <c r="M67" s="338"/>
      <c r="N67" s="343"/>
      <c r="O67" s="434" t="s">
        <v>460</v>
      </c>
      <c r="P67" s="435" t="s">
        <v>461</v>
      </c>
      <c r="Q67" s="38"/>
      <c r="R67" s="863" t="s">
        <v>293</v>
      </c>
      <c r="S67" s="863"/>
      <c r="T67" s="38"/>
      <c r="U67" s="38"/>
      <c r="V67" s="38"/>
      <c r="W67" s="22"/>
      <c r="X67" s="22"/>
      <c r="Y67" s="352"/>
      <c r="Z67" s="352"/>
      <c r="AA67" s="352"/>
      <c r="AB67" s="352"/>
      <c r="AC67" s="352"/>
      <c r="AD67" s="352"/>
      <c r="AE67" s="38"/>
      <c r="AF67" s="38"/>
      <c r="AG67" s="38"/>
      <c r="AH67" s="38"/>
      <c r="AI67" s="38"/>
      <c r="AJ67" s="38"/>
      <c r="AK67" s="38"/>
      <c r="AL67" s="38"/>
    </row>
    <row r="68" spans="1:38" ht="15" customHeight="1" x14ac:dyDescent="0.25">
      <c r="A68" s="38"/>
      <c r="B68" s="38"/>
      <c r="C68" s="344"/>
      <c r="D68" s="345"/>
      <c r="E68" s="347"/>
      <c r="F68" s="343"/>
      <c r="G68" s="345"/>
      <c r="H68" s="345"/>
      <c r="I68" s="347"/>
      <c r="J68" s="347"/>
      <c r="K68" s="343"/>
      <c r="L68" s="345"/>
      <c r="M68" s="347"/>
      <c r="N68" s="343"/>
      <c r="O68" s="429">
        <v>6</v>
      </c>
      <c r="P68" s="430">
        <v>0</v>
      </c>
      <c r="Q68" s="38"/>
      <c r="R68" s="328" t="s">
        <v>295</v>
      </c>
      <c r="S68" s="68">
        <v>136.56743632304384</v>
      </c>
      <c r="T68" s="353" t="s">
        <v>288</v>
      </c>
      <c r="U68" s="38"/>
      <c r="V68" s="38"/>
      <c r="W68" s="22"/>
      <c r="X68" s="22"/>
      <c r="Y68" s="352"/>
      <c r="Z68" s="352"/>
      <c r="AA68" s="352"/>
      <c r="AB68" s="352"/>
      <c r="AC68" s="352"/>
      <c r="AD68" s="352"/>
      <c r="AE68" s="38"/>
      <c r="AF68" s="38"/>
      <c r="AG68" s="38"/>
      <c r="AH68" s="38"/>
      <c r="AI68" s="38"/>
      <c r="AJ68" s="38"/>
      <c r="AK68" s="38"/>
      <c r="AL68" s="38"/>
    </row>
    <row r="69" spans="1:38" x14ac:dyDescent="0.25">
      <c r="A69" s="38"/>
      <c r="B69" s="38"/>
      <c r="C69" s="344"/>
      <c r="D69" s="345"/>
      <c r="E69" s="347"/>
      <c r="F69" s="343"/>
      <c r="G69" s="345"/>
      <c r="H69" s="345"/>
      <c r="I69" s="347"/>
      <c r="J69" s="347"/>
      <c r="K69" s="343"/>
      <c r="L69" s="345"/>
      <c r="M69" s="347"/>
      <c r="N69" s="343"/>
      <c r="O69" s="429">
        <v>5</v>
      </c>
      <c r="P69" s="430">
        <v>0</v>
      </c>
      <c r="Q69" s="38"/>
      <c r="R69" s="436" t="s">
        <v>462</v>
      </c>
      <c r="S69" s="437">
        <f>(D5-X57)*1000</f>
        <v>6.2616578588858829E-11</v>
      </c>
      <c r="T69" s="38"/>
      <c r="U69" s="38"/>
      <c r="V69" s="38"/>
      <c r="W69" s="22"/>
      <c r="X69" s="22"/>
      <c r="Y69" s="352"/>
      <c r="Z69" s="352"/>
      <c r="AA69" s="352"/>
      <c r="AB69" s="352"/>
      <c r="AC69" s="352"/>
      <c r="AD69" s="352"/>
      <c r="AE69" s="38"/>
      <c r="AF69" s="38"/>
      <c r="AG69" s="38"/>
      <c r="AH69" s="38"/>
      <c r="AI69" s="38"/>
      <c r="AJ69" s="38"/>
      <c r="AK69" s="38"/>
      <c r="AL69" s="38"/>
    </row>
    <row r="70" spans="1:38" x14ac:dyDescent="0.25">
      <c r="A70" s="38"/>
      <c r="B70" s="38"/>
      <c r="C70" s="344"/>
      <c r="D70" s="345"/>
      <c r="E70" s="347"/>
      <c r="F70" s="343"/>
      <c r="G70" s="345"/>
      <c r="H70" s="345"/>
      <c r="I70" s="347"/>
      <c r="J70" s="347"/>
      <c r="K70" s="343"/>
      <c r="L70" s="345"/>
      <c r="M70" s="347"/>
      <c r="N70" s="343"/>
      <c r="O70" s="429">
        <v>4</v>
      </c>
      <c r="P70" s="430">
        <v>0</v>
      </c>
      <c r="Q70" s="38"/>
      <c r="R70" s="438" t="s">
        <v>463</v>
      </c>
      <c r="S70" s="438">
        <v>0.01</v>
      </c>
      <c r="T70" s="38"/>
      <c r="U70" s="38"/>
      <c r="V70" s="38"/>
      <c r="W70" s="22"/>
      <c r="X70" s="22"/>
      <c r="Y70" s="352"/>
      <c r="Z70" s="352"/>
      <c r="AA70" s="352"/>
      <c r="AB70" s="352"/>
      <c r="AC70" s="352"/>
      <c r="AD70" s="352"/>
      <c r="AE70" s="38"/>
      <c r="AF70" s="38"/>
      <c r="AG70" s="38"/>
      <c r="AH70" s="38"/>
      <c r="AI70" s="38"/>
      <c r="AJ70" s="38"/>
      <c r="AK70" s="38"/>
      <c r="AL70" s="38"/>
    </row>
    <row r="71" spans="1:38" x14ac:dyDescent="0.25">
      <c r="A71" s="38"/>
      <c r="B71" s="38"/>
      <c r="C71" s="344"/>
      <c r="D71" s="345"/>
      <c r="E71" s="347"/>
      <c r="F71" s="343"/>
      <c r="G71" s="345"/>
      <c r="H71" s="345"/>
      <c r="I71" s="347"/>
      <c r="J71" s="347"/>
      <c r="K71" s="343"/>
      <c r="L71" s="345"/>
      <c r="M71" s="347"/>
      <c r="N71" s="343"/>
      <c r="O71" s="431">
        <v>3</v>
      </c>
      <c r="P71" s="430">
        <v>0</v>
      </c>
      <c r="Q71" s="38"/>
      <c r="R71" s="38"/>
      <c r="S71" s="38"/>
      <c r="T71" s="38"/>
      <c r="U71" s="38"/>
      <c r="V71" s="38"/>
      <c r="W71" s="22"/>
      <c r="X71" s="22"/>
      <c r="Y71" s="352"/>
      <c r="Z71" s="352"/>
      <c r="AA71" s="352"/>
      <c r="AB71" s="352"/>
      <c r="AC71" s="352"/>
      <c r="AD71" s="352"/>
      <c r="AE71" s="38"/>
      <c r="AF71" s="38"/>
      <c r="AG71" s="38"/>
      <c r="AH71" s="38"/>
      <c r="AI71" s="38"/>
      <c r="AJ71" s="38"/>
      <c r="AK71" s="38"/>
      <c r="AL71" s="38"/>
    </row>
    <row r="72" spans="1:38" x14ac:dyDescent="0.25">
      <c r="A72" s="38"/>
      <c r="B72" s="38"/>
      <c r="C72" s="344"/>
      <c r="D72" s="345"/>
      <c r="E72" s="347"/>
      <c r="F72" s="343"/>
      <c r="G72" s="345"/>
      <c r="H72" s="345"/>
      <c r="I72" s="347"/>
      <c r="J72" s="347"/>
      <c r="K72" s="343"/>
      <c r="L72" s="345"/>
      <c r="M72" s="347"/>
      <c r="N72" s="343"/>
      <c r="O72" s="431">
        <v>2</v>
      </c>
      <c r="P72" s="430">
        <v>0</v>
      </c>
      <c r="Q72" s="38"/>
      <c r="R72" s="38"/>
      <c r="S72" s="38"/>
      <c r="T72" s="38"/>
      <c r="U72" s="38"/>
      <c r="V72" s="38"/>
      <c r="W72" s="22"/>
      <c r="X72" s="22"/>
      <c r="Y72" s="352"/>
      <c r="Z72" s="352"/>
      <c r="AA72" s="352"/>
      <c r="AB72" s="352"/>
      <c r="AC72" s="352"/>
      <c r="AD72" s="352"/>
      <c r="AE72" s="38"/>
      <c r="AF72" s="38"/>
      <c r="AG72" s="38"/>
      <c r="AH72" s="38"/>
      <c r="AI72" s="38"/>
      <c r="AJ72" s="38"/>
      <c r="AK72" s="38"/>
      <c r="AL72" s="38"/>
    </row>
    <row r="73" spans="1:38" x14ac:dyDescent="0.25">
      <c r="A73" s="38"/>
      <c r="B73" s="38"/>
      <c r="C73" s="344"/>
      <c r="D73" s="345"/>
      <c r="E73" s="347"/>
      <c r="F73" s="343"/>
      <c r="G73" s="345"/>
      <c r="H73" s="345"/>
      <c r="I73" s="347"/>
      <c r="J73" s="347"/>
      <c r="K73" s="343"/>
      <c r="L73" s="345"/>
      <c r="M73" s="347"/>
      <c r="N73" s="343"/>
      <c r="O73" s="432">
        <v>1</v>
      </c>
      <c r="P73" s="433">
        <v>0</v>
      </c>
      <c r="Q73" s="38"/>
      <c r="R73" s="38"/>
      <c r="S73" s="38"/>
      <c r="T73" s="38"/>
      <c r="U73" s="38"/>
      <c r="V73" s="38"/>
      <c r="W73" s="38"/>
      <c r="X73" s="38"/>
      <c r="Y73" s="38">
        <f>X57*1000</f>
        <v>199.95986072668319</v>
      </c>
      <c r="Z73" s="38">
        <f>AG61*1000</f>
        <v>3985.0428425234263</v>
      </c>
      <c r="AA73" s="38">
        <f>AH61*1000</f>
        <v>1000</v>
      </c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</row>
    <row r="74" spans="1:38" x14ac:dyDescent="0.25">
      <c r="A74" s="38"/>
      <c r="B74" s="38"/>
      <c r="C74" s="344"/>
      <c r="D74" s="345"/>
      <c r="E74" s="347"/>
      <c r="F74" s="343"/>
      <c r="G74" s="345"/>
      <c r="H74" s="345"/>
      <c r="I74" s="347"/>
      <c r="J74" s="347"/>
      <c r="K74" s="343"/>
      <c r="L74" s="345"/>
      <c r="M74" s="347"/>
      <c r="N74" s="343"/>
      <c r="O74" s="343"/>
      <c r="P74" s="343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</row>
    <row r="75" spans="1:38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</row>
    <row r="76" spans="1:38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</row>
    <row r="77" spans="1:38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</row>
    <row r="78" spans="1:38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</row>
    <row r="79" spans="1:38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</row>
    <row r="80" spans="1:38" ht="15" customHeight="1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</row>
    <row r="81" spans="1:38" ht="15" customHeight="1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</row>
    <row r="82" spans="1:38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</row>
    <row r="83" spans="1:38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</row>
    <row r="84" spans="1:38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</row>
    <row r="85" spans="1:38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</row>
    <row r="86" spans="1:38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</row>
    <row r="87" spans="1:38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</row>
    <row r="88" spans="1:38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</row>
    <row r="89" spans="1:38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</row>
    <row r="90" spans="1:38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</row>
    <row r="91" spans="1:38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</row>
    <row r="93" spans="1:38" x14ac:dyDescent="0.25"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8" x14ac:dyDescent="0.25">
      <c r="R94" s="354"/>
      <c r="S94" s="355"/>
      <c r="U94" s="355"/>
      <c r="V94" s="355"/>
      <c r="W94" s="355"/>
      <c r="X94" s="354"/>
      <c r="Y94" s="355"/>
      <c r="Z94" s="355"/>
      <c r="AA94" s="354"/>
      <c r="AB94" s="354"/>
      <c r="AC94" s="354"/>
      <c r="AD94" s="354"/>
      <c r="AE94" s="354"/>
      <c r="AF94" s="354"/>
      <c r="AG94" s="354"/>
      <c r="AH94" s="354"/>
      <c r="AI94" s="354"/>
      <c r="AJ94" s="354"/>
    </row>
    <row r="95" spans="1:38" x14ac:dyDescent="0.25">
      <c r="R95" s="354"/>
      <c r="S95" s="355"/>
      <c r="U95" s="355"/>
      <c r="V95" s="355"/>
      <c r="W95" s="355"/>
      <c r="X95" s="354"/>
      <c r="Y95" s="355"/>
      <c r="Z95" s="355"/>
      <c r="AA95" s="354"/>
      <c r="AB95" s="354"/>
      <c r="AC95" s="354"/>
      <c r="AD95" s="354"/>
      <c r="AE95" s="354"/>
      <c r="AF95" s="354"/>
      <c r="AG95" s="354"/>
      <c r="AH95" s="354"/>
      <c r="AI95" s="354"/>
      <c r="AJ95" s="354"/>
    </row>
    <row r="96" spans="1:38" x14ac:dyDescent="0.25">
      <c r="R96" s="54"/>
      <c r="S96" s="356"/>
      <c r="U96" s="14"/>
      <c r="V96" s="17"/>
      <c r="W96" s="54"/>
      <c r="X96" s="357"/>
      <c r="Y96" s="17"/>
      <c r="Z96" s="17"/>
      <c r="AA96" s="17"/>
      <c r="AB96" s="17"/>
      <c r="AC96" s="358"/>
      <c r="AD96" s="358"/>
      <c r="AE96" s="24"/>
      <c r="AF96" s="359"/>
      <c r="AG96" s="54"/>
      <c r="AH96" s="25"/>
      <c r="AI96" s="25"/>
      <c r="AJ96" s="25"/>
    </row>
    <row r="97" spans="18:36" x14ac:dyDescent="0.25">
      <c r="R97" s="54"/>
      <c r="S97" s="356"/>
      <c r="U97" s="14"/>
      <c r="V97" s="17"/>
      <c r="W97" s="54"/>
      <c r="X97" s="357"/>
      <c r="Y97" s="17"/>
      <c r="Z97" s="17"/>
      <c r="AA97" s="17"/>
      <c r="AB97" s="17"/>
      <c r="AC97" s="358"/>
      <c r="AD97" s="358"/>
      <c r="AE97" s="24"/>
      <c r="AF97" s="359"/>
      <c r="AG97" s="54"/>
      <c r="AH97" s="25"/>
      <c r="AI97" s="25"/>
      <c r="AJ97" s="25"/>
    </row>
    <row r="98" spans="18:36" x14ac:dyDescent="0.25">
      <c r="R98" s="54"/>
      <c r="S98" s="356"/>
      <c r="U98" s="14"/>
      <c r="V98" s="17"/>
      <c r="W98" s="54"/>
      <c r="X98" s="357"/>
      <c r="Y98" s="17"/>
      <c r="Z98" s="17"/>
      <c r="AA98" s="17"/>
      <c r="AB98" s="17"/>
      <c r="AC98" s="358"/>
      <c r="AD98" s="358"/>
      <c r="AE98" s="24"/>
      <c r="AF98" s="359"/>
      <c r="AG98" s="54"/>
      <c r="AH98" s="25"/>
      <c r="AI98" s="25"/>
      <c r="AJ98" s="25"/>
    </row>
    <row r="99" spans="18:36" x14ac:dyDescent="0.25">
      <c r="R99" s="54"/>
      <c r="S99" s="356"/>
      <c r="U99" s="14"/>
      <c r="V99" s="17"/>
      <c r="W99" s="54"/>
      <c r="X99" s="357"/>
      <c r="Y99" s="17"/>
      <c r="Z99" s="17"/>
      <c r="AA99" s="17"/>
      <c r="AB99" s="17"/>
      <c r="AC99" s="358"/>
      <c r="AD99" s="358"/>
      <c r="AE99" s="24"/>
      <c r="AF99" s="359"/>
      <c r="AG99" s="54"/>
      <c r="AH99" s="25"/>
      <c r="AI99" s="25"/>
      <c r="AJ99" s="25"/>
    </row>
    <row r="100" spans="18:36" x14ac:dyDescent="0.25">
      <c r="R100" s="54"/>
      <c r="S100" s="356"/>
      <c r="U100" s="14"/>
      <c r="V100" s="17"/>
      <c r="W100" s="54"/>
      <c r="X100" s="357"/>
      <c r="Y100" s="17"/>
      <c r="Z100" s="17"/>
      <c r="AA100" s="17"/>
      <c r="AB100" s="17"/>
      <c r="AC100" s="358"/>
      <c r="AD100" s="358"/>
      <c r="AE100" s="24"/>
      <c r="AF100" s="359"/>
      <c r="AG100" s="54"/>
      <c r="AH100" s="25"/>
      <c r="AI100" s="25"/>
      <c r="AJ100" s="25"/>
    </row>
    <row r="101" spans="18:36" x14ac:dyDescent="0.25">
      <c r="R101" s="54"/>
      <c r="S101" s="356"/>
      <c r="U101" s="14"/>
      <c r="V101" s="17"/>
      <c r="W101" s="54"/>
      <c r="X101" s="357"/>
      <c r="Y101" s="17"/>
      <c r="Z101" s="17"/>
      <c r="AA101" s="17"/>
      <c r="AB101" s="17"/>
      <c r="AC101" s="358"/>
      <c r="AD101" s="358"/>
      <c r="AE101" s="24"/>
      <c r="AF101" s="359"/>
      <c r="AG101" s="54"/>
      <c r="AH101" s="25"/>
      <c r="AI101" s="25"/>
      <c r="AJ101" s="25"/>
    </row>
    <row r="102" spans="18:36" x14ac:dyDescent="0.25">
      <c r="R102" s="54"/>
      <c r="S102" s="356"/>
      <c r="U102" s="14"/>
      <c r="V102" s="17"/>
      <c r="W102" s="360"/>
      <c r="X102" s="357"/>
      <c r="Y102" s="17"/>
      <c r="Z102" s="17"/>
      <c r="AA102" s="17"/>
      <c r="AB102" s="17"/>
      <c r="AC102" s="358"/>
      <c r="AD102" s="358"/>
      <c r="AE102" s="24"/>
      <c r="AF102" s="24"/>
      <c r="AG102" s="158"/>
      <c r="AH102" s="24"/>
      <c r="AI102" s="24"/>
      <c r="AJ102" s="24"/>
    </row>
    <row r="103" spans="18:36" x14ac:dyDescent="0.25">
      <c r="X103" s="361"/>
      <c r="Y103" s="268"/>
      <c r="Z103" s="362"/>
    </row>
    <row r="106" spans="18:36" x14ac:dyDescent="0.25"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8:36" x14ac:dyDescent="0.25">
      <c r="R107" s="354"/>
      <c r="S107" s="355"/>
      <c r="U107" s="355"/>
      <c r="V107" s="355"/>
      <c r="W107" s="355"/>
      <c r="X107" s="354"/>
      <c r="Y107" s="355"/>
      <c r="Z107" s="355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</row>
    <row r="108" spans="18:36" x14ac:dyDescent="0.25">
      <c r="R108" s="354"/>
      <c r="S108" s="355"/>
      <c r="U108" s="355"/>
      <c r="V108" s="355"/>
      <c r="W108" s="355"/>
      <c r="X108" s="354"/>
      <c r="Y108" s="355"/>
      <c r="Z108" s="355"/>
      <c r="AA108" s="354"/>
      <c r="AB108" s="354"/>
      <c r="AC108" s="354"/>
      <c r="AD108" s="354"/>
      <c r="AE108" s="354"/>
      <c r="AF108" s="354"/>
      <c r="AG108" s="354"/>
      <c r="AH108" s="354"/>
      <c r="AI108" s="354"/>
      <c r="AJ108" s="354"/>
    </row>
    <row r="109" spans="18:36" x14ac:dyDescent="0.25">
      <c r="R109" s="54"/>
      <c r="S109" s="356"/>
      <c r="U109" s="14"/>
      <c r="V109" s="17"/>
      <c r="W109" s="54"/>
      <c r="X109" s="357"/>
      <c r="Y109" s="17"/>
      <c r="Z109" s="17"/>
      <c r="AA109" s="17"/>
      <c r="AB109" s="17"/>
      <c r="AC109" s="358"/>
      <c r="AD109" s="358"/>
      <c r="AE109" s="24"/>
      <c r="AF109" s="359"/>
      <c r="AG109" s="54"/>
      <c r="AH109" s="25"/>
      <c r="AI109" s="25"/>
      <c r="AJ109" s="25"/>
    </row>
    <row r="110" spans="18:36" x14ac:dyDescent="0.25">
      <c r="R110" s="54"/>
      <c r="S110" s="356"/>
      <c r="U110" s="14"/>
      <c r="V110" s="17"/>
      <c r="W110" s="54"/>
      <c r="X110" s="357"/>
      <c r="Y110" s="17"/>
      <c r="Z110" s="17"/>
      <c r="AA110" s="17"/>
      <c r="AB110" s="17"/>
      <c r="AC110" s="358"/>
      <c r="AD110" s="358"/>
      <c r="AE110" s="24"/>
      <c r="AF110" s="359"/>
      <c r="AG110" s="54"/>
      <c r="AH110" s="25"/>
      <c r="AI110" s="25"/>
      <c r="AJ110" s="25"/>
    </row>
    <row r="111" spans="18:36" x14ac:dyDescent="0.25">
      <c r="R111" s="54"/>
      <c r="S111" s="356"/>
      <c r="U111" s="14"/>
      <c r="V111" s="17"/>
      <c r="W111" s="54"/>
      <c r="X111" s="357"/>
      <c r="Y111" s="17"/>
      <c r="Z111" s="17"/>
      <c r="AA111" s="17"/>
      <c r="AB111" s="17"/>
      <c r="AC111" s="358"/>
      <c r="AD111" s="358"/>
      <c r="AE111" s="24"/>
      <c r="AF111" s="359"/>
      <c r="AG111" s="54"/>
      <c r="AH111" s="25"/>
      <c r="AI111" s="25"/>
      <c r="AJ111" s="25"/>
    </row>
    <row r="112" spans="18:36" x14ac:dyDescent="0.25">
      <c r="R112" s="54"/>
      <c r="S112" s="356"/>
      <c r="U112" s="14"/>
      <c r="V112" s="17"/>
      <c r="W112" s="54"/>
      <c r="X112" s="357"/>
      <c r="Y112" s="17"/>
      <c r="Z112" s="17"/>
      <c r="AA112" s="17"/>
      <c r="AB112" s="17"/>
      <c r="AC112" s="358"/>
      <c r="AD112" s="358"/>
      <c r="AE112" s="24"/>
      <c r="AF112" s="359"/>
      <c r="AG112" s="54"/>
      <c r="AH112" s="25"/>
      <c r="AI112" s="25"/>
      <c r="AJ112" s="25"/>
    </row>
    <row r="113" spans="18:36" x14ac:dyDescent="0.25">
      <c r="R113" s="360"/>
      <c r="S113" s="356"/>
      <c r="U113" s="14"/>
      <c r="V113" s="17"/>
      <c r="W113" s="54"/>
      <c r="X113" s="357"/>
      <c r="Y113" s="17"/>
      <c r="Z113" s="17"/>
      <c r="AA113" s="17"/>
      <c r="AB113" s="17"/>
      <c r="AC113" s="358"/>
      <c r="AD113" s="358"/>
      <c r="AE113" s="24"/>
      <c r="AF113" s="359"/>
      <c r="AG113" s="54"/>
      <c r="AH113" s="25"/>
      <c r="AI113" s="25"/>
      <c r="AJ113" s="25"/>
    </row>
    <row r="114" spans="18:36" x14ac:dyDescent="0.25">
      <c r="R114" s="54"/>
      <c r="S114" s="356"/>
      <c r="U114" s="14"/>
      <c r="V114" s="17"/>
      <c r="W114" s="54"/>
      <c r="X114" s="357"/>
      <c r="Y114" s="17"/>
      <c r="Z114" s="17"/>
      <c r="AA114" s="17"/>
      <c r="AB114" s="17"/>
      <c r="AC114" s="358"/>
      <c r="AD114" s="358"/>
      <c r="AE114" s="24"/>
      <c r="AF114" s="359"/>
      <c r="AG114" s="54"/>
      <c r="AH114" s="25"/>
      <c r="AI114" s="25"/>
      <c r="AJ114" s="25"/>
    </row>
    <row r="115" spans="18:36" x14ac:dyDescent="0.25">
      <c r="R115" s="54"/>
      <c r="S115" s="356"/>
      <c r="U115" s="14"/>
      <c r="V115" s="17"/>
      <c r="W115" s="360"/>
      <c r="X115" s="357"/>
      <c r="Y115" s="17"/>
      <c r="Z115" s="17"/>
      <c r="AA115" s="17"/>
      <c r="AB115" s="17"/>
      <c r="AC115" s="358"/>
      <c r="AD115" s="358"/>
      <c r="AE115" s="24"/>
      <c r="AF115" s="24"/>
      <c r="AG115" s="158"/>
      <c r="AH115" s="24"/>
      <c r="AI115" s="24"/>
      <c r="AJ115" s="24"/>
    </row>
    <row r="116" spans="18:36" x14ac:dyDescent="0.25">
      <c r="X116" s="361"/>
      <c r="Y116" s="268"/>
      <c r="Z116" s="362"/>
    </row>
    <row r="119" spans="18:36" x14ac:dyDescent="0.25"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8:36" x14ac:dyDescent="0.25">
      <c r="R120" s="354"/>
      <c r="S120" s="355"/>
      <c r="U120" s="355"/>
      <c r="V120" s="355"/>
      <c r="W120" s="355"/>
      <c r="X120" s="354"/>
      <c r="Y120" s="355"/>
      <c r="Z120" s="355"/>
      <c r="AA120" s="354"/>
      <c r="AB120" s="354"/>
      <c r="AC120" s="354"/>
      <c r="AD120" s="354"/>
      <c r="AE120" s="354"/>
      <c r="AF120" s="354"/>
      <c r="AG120" s="354"/>
      <c r="AH120" s="354"/>
      <c r="AI120" s="354"/>
      <c r="AJ120" s="354"/>
    </row>
    <row r="121" spans="18:36" x14ac:dyDescent="0.25">
      <c r="R121" s="354"/>
      <c r="S121" s="355"/>
      <c r="U121" s="355"/>
      <c r="V121" s="355"/>
      <c r="W121" s="355"/>
      <c r="X121" s="354"/>
      <c r="Y121" s="355"/>
      <c r="Z121" s="355"/>
      <c r="AA121" s="354"/>
      <c r="AB121" s="354"/>
      <c r="AC121" s="354"/>
      <c r="AD121" s="354"/>
      <c r="AE121" s="354"/>
      <c r="AF121" s="354"/>
      <c r="AG121" s="354"/>
      <c r="AH121" s="354"/>
      <c r="AI121" s="354"/>
      <c r="AJ121" s="354"/>
    </row>
    <row r="122" spans="18:36" x14ac:dyDescent="0.25">
      <c r="R122" s="54"/>
      <c r="S122" s="356"/>
      <c r="U122" s="14"/>
      <c r="V122" s="17"/>
      <c r="W122" s="54"/>
      <c r="X122" s="357"/>
      <c r="Y122" s="17"/>
      <c r="Z122" s="17"/>
      <c r="AA122" s="17"/>
      <c r="AB122" s="17"/>
      <c r="AC122" s="358"/>
      <c r="AD122" s="358"/>
      <c r="AE122" s="24"/>
      <c r="AF122" s="359"/>
      <c r="AG122" s="54"/>
      <c r="AH122" s="25"/>
      <c r="AI122" s="25"/>
      <c r="AJ122" s="25"/>
    </row>
    <row r="123" spans="18:36" x14ac:dyDescent="0.25">
      <c r="R123" s="54"/>
      <c r="S123" s="356"/>
      <c r="U123" s="14"/>
      <c r="V123" s="17"/>
      <c r="W123" s="54"/>
      <c r="X123" s="357"/>
      <c r="Y123" s="17"/>
      <c r="Z123" s="17"/>
      <c r="AA123" s="17"/>
      <c r="AB123" s="17"/>
      <c r="AC123" s="358"/>
      <c r="AD123" s="358"/>
      <c r="AE123" s="24"/>
      <c r="AF123" s="359"/>
      <c r="AG123" s="54"/>
      <c r="AH123" s="25"/>
      <c r="AI123" s="25"/>
      <c r="AJ123" s="25"/>
    </row>
    <row r="124" spans="18:36" x14ac:dyDescent="0.25">
      <c r="R124" s="54"/>
      <c r="S124" s="356"/>
      <c r="U124" s="14"/>
      <c r="V124" s="17"/>
      <c r="W124" s="54"/>
      <c r="X124" s="357"/>
      <c r="Y124" s="17"/>
      <c r="Z124" s="17"/>
      <c r="AA124" s="17"/>
      <c r="AB124" s="17"/>
      <c r="AC124" s="358"/>
      <c r="AD124" s="358"/>
      <c r="AE124" s="24"/>
      <c r="AF124" s="359"/>
      <c r="AG124" s="54"/>
      <c r="AH124" s="25"/>
      <c r="AI124" s="25"/>
      <c r="AJ124" s="25"/>
    </row>
    <row r="125" spans="18:36" x14ac:dyDescent="0.25">
      <c r="R125" s="54"/>
      <c r="S125" s="356"/>
      <c r="U125" s="14"/>
      <c r="V125" s="17"/>
      <c r="W125" s="54"/>
      <c r="X125" s="357"/>
      <c r="Y125" s="17"/>
      <c r="Z125" s="17"/>
      <c r="AA125" s="17"/>
      <c r="AB125" s="17"/>
      <c r="AC125" s="358"/>
      <c r="AD125" s="358"/>
      <c r="AE125" s="24"/>
      <c r="AF125" s="359"/>
      <c r="AG125" s="54"/>
      <c r="AH125" s="25"/>
      <c r="AI125" s="25"/>
      <c r="AJ125" s="25"/>
    </row>
    <row r="126" spans="18:36" x14ac:dyDescent="0.25">
      <c r="R126" s="363"/>
      <c r="S126" s="356"/>
      <c r="U126" s="14"/>
      <c r="V126" s="17"/>
      <c r="W126" s="54"/>
      <c r="X126" s="357"/>
      <c r="Y126" s="17"/>
      <c r="Z126" s="17"/>
      <c r="AA126" s="17"/>
      <c r="AB126" s="17"/>
      <c r="AC126" s="358"/>
      <c r="AD126" s="358"/>
      <c r="AE126" s="24"/>
      <c r="AF126" s="359"/>
      <c r="AG126" s="54"/>
      <c r="AH126" s="25"/>
      <c r="AI126" s="25"/>
      <c r="AJ126" s="25"/>
    </row>
    <row r="127" spans="18:36" x14ac:dyDescent="0.25">
      <c r="R127" s="54"/>
      <c r="S127" s="356"/>
      <c r="U127" s="14"/>
      <c r="V127" s="17"/>
      <c r="W127" s="54"/>
      <c r="X127" s="357"/>
      <c r="Y127" s="17"/>
      <c r="Z127" s="17"/>
      <c r="AA127" s="17"/>
      <c r="AB127" s="17"/>
      <c r="AC127" s="358"/>
      <c r="AD127" s="358"/>
      <c r="AE127" s="24"/>
      <c r="AF127" s="359"/>
      <c r="AG127" s="54"/>
      <c r="AH127" s="25"/>
      <c r="AI127" s="25"/>
      <c r="AJ127" s="25"/>
    </row>
    <row r="128" spans="18:36" x14ac:dyDescent="0.25">
      <c r="R128" s="54"/>
      <c r="S128" s="356"/>
      <c r="U128" s="14"/>
      <c r="V128" s="17"/>
      <c r="W128" s="360"/>
      <c r="X128" s="357"/>
      <c r="Y128" s="17"/>
      <c r="Z128" s="17"/>
      <c r="AA128" s="17"/>
      <c r="AB128" s="17"/>
      <c r="AC128" s="358"/>
      <c r="AD128" s="358"/>
      <c r="AE128" s="24"/>
      <c r="AF128" s="24"/>
      <c r="AG128" s="158"/>
      <c r="AH128" s="24"/>
      <c r="AI128" s="24"/>
      <c r="AJ128" s="24"/>
    </row>
    <row r="129" spans="18:36" x14ac:dyDescent="0.25">
      <c r="X129" s="361"/>
      <c r="Y129" s="268"/>
      <c r="Z129" s="362"/>
    </row>
    <row r="132" spans="18:36" x14ac:dyDescent="0.25"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8:36" x14ac:dyDescent="0.25">
      <c r="R133" s="354"/>
      <c r="S133" s="355"/>
      <c r="U133" s="355"/>
      <c r="V133" s="355"/>
      <c r="W133" s="355"/>
      <c r="X133" s="354"/>
      <c r="Y133" s="355"/>
      <c r="Z133" s="355"/>
      <c r="AA133" s="354"/>
      <c r="AB133" s="354"/>
      <c r="AC133" s="354"/>
      <c r="AD133" s="354"/>
      <c r="AE133" s="354"/>
      <c r="AF133" s="354"/>
      <c r="AG133" s="354"/>
      <c r="AH133" s="354"/>
      <c r="AI133" s="354"/>
      <c r="AJ133" s="354"/>
    </row>
    <row r="134" spans="18:36" x14ac:dyDescent="0.25">
      <c r="R134" s="354"/>
      <c r="S134" s="355"/>
      <c r="U134" s="355"/>
      <c r="V134" s="355"/>
      <c r="W134" s="355"/>
      <c r="X134" s="354"/>
      <c r="Y134" s="355"/>
      <c r="Z134" s="355"/>
      <c r="AA134" s="354"/>
      <c r="AB134" s="354"/>
      <c r="AC134" s="354"/>
      <c r="AD134" s="354"/>
      <c r="AE134" s="354"/>
      <c r="AF134" s="354"/>
      <c r="AG134" s="354"/>
      <c r="AH134" s="354"/>
      <c r="AI134" s="354"/>
      <c r="AJ134" s="354"/>
    </row>
    <row r="135" spans="18:36" x14ac:dyDescent="0.25">
      <c r="R135" s="54"/>
      <c r="S135" s="356"/>
      <c r="U135" s="14"/>
      <c r="V135" s="17"/>
      <c r="W135" s="54"/>
      <c r="X135" s="357"/>
      <c r="Y135" s="17"/>
      <c r="Z135" s="17"/>
      <c r="AA135" s="17"/>
      <c r="AB135" s="17"/>
      <c r="AC135" s="358"/>
      <c r="AD135" s="358"/>
      <c r="AE135" s="24"/>
      <c r="AF135" s="359"/>
      <c r="AG135" s="54"/>
      <c r="AH135" s="25"/>
      <c r="AI135" s="25"/>
      <c r="AJ135" s="25"/>
    </row>
    <row r="136" spans="18:36" x14ac:dyDescent="0.25">
      <c r="R136" s="54"/>
      <c r="S136" s="356"/>
      <c r="U136" s="14"/>
      <c r="V136" s="17"/>
      <c r="W136" s="54"/>
      <c r="X136" s="357"/>
      <c r="Y136" s="17"/>
      <c r="Z136" s="17"/>
      <c r="AA136" s="17"/>
      <c r="AB136" s="17"/>
      <c r="AC136" s="358"/>
      <c r="AD136" s="358"/>
      <c r="AE136" s="24"/>
      <c r="AF136" s="359"/>
      <c r="AG136" s="54"/>
      <c r="AH136" s="25"/>
      <c r="AI136" s="25"/>
      <c r="AJ136" s="25"/>
    </row>
    <row r="137" spans="18:36" x14ac:dyDescent="0.25">
      <c r="R137" s="54"/>
      <c r="S137" s="356"/>
      <c r="U137" s="14"/>
      <c r="V137" s="17"/>
      <c r="W137" s="54"/>
      <c r="X137" s="357"/>
      <c r="Y137" s="17"/>
      <c r="Z137" s="17"/>
      <c r="AA137" s="17"/>
      <c r="AB137" s="17"/>
      <c r="AC137" s="358"/>
      <c r="AD137" s="358"/>
      <c r="AE137" s="24"/>
      <c r="AF137" s="359"/>
      <c r="AG137" s="54"/>
      <c r="AH137" s="25"/>
      <c r="AI137" s="25"/>
      <c r="AJ137" s="25"/>
    </row>
    <row r="138" spans="18:36" x14ac:dyDescent="0.25">
      <c r="R138" s="54"/>
      <c r="S138" s="356"/>
      <c r="U138" s="14"/>
      <c r="V138" s="17"/>
      <c r="W138" s="54"/>
      <c r="X138" s="357"/>
      <c r="Y138" s="17"/>
      <c r="Z138" s="17"/>
      <c r="AA138" s="17"/>
      <c r="AB138" s="17"/>
      <c r="AC138" s="358"/>
      <c r="AD138" s="358"/>
      <c r="AE138" s="24"/>
      <c r="AF138" s="359"/>
      <c r="AG138" s="54"/>
      <c r="AH138" s="25"/>
      <c r="AI138" s="25"/>
      <c r="AJ138" s="25"/>
    </row>
    <row r="139" spans="18:36" x14ac:dyDescent="0.25">
      <c r="R139" s="54"/>
      <c r="S139" s="356"/>
      <c r="U139" s="14"/>
      <c r="V139" s="17"/>
      <c r="W139" s="54"/>
      <c r="X139" s="357"/>
      <c r="Y139" s="17"/>
      <c r="Z139" s="17"/>
      <c r="AA139" s="17"/>
      <c r="AB139" s="17"/>
      <c r="AC139" s="358"/>
      <c r="AD139" s="358"/>
      <c r="AE139" s="24"/>
      <c r="AF139" s="359"/>
      <c r="AG139" s="54"/>
      <c r="AH139" s="25"/>
      <c r="AI139" s="25"/>
      <c r="AJ139" s="25"/>
    </row>
    <row r="140" spans="18:36" x14ac:dyDescent="0.25">
      <c r="R140" s="54"/>
      <c r="S140" s="356"/>
      <c r="U140" s="14"/>
      <c r="V140" s="17"/>
      <c r="W140" s="54"/>
      <c r="X140" s="357"/>
      <c r="Y140" s="17"/>
      <c r="Z140" s="17"/>
      <c r="AA140" s="17"/>
      <c r="AB140" s="17"/>
      <c r="AC140" s="358"/>
      <c r="AD140" s="358"/>
      <c r="AE140" s="24"/>
      <c r="AF140" s="359"/>
      <c r="AG140" s="54"/>
      <c r="AH140" s="25"/>
      <c r="AI140" s="25"/>
      <c r="AJ140" s="25"/>
    </row>
    <row r="141" spans="18:36" x14ac:dyDescent="0.25">
      <c r="R141" s="54"/>
      <c r="S141" s="356"/>
      <c r="U141" s="14"/>
      <c r="V141" s="17"/>
      <c r="W141" s="360"/>
      <c r="X141" s="357"/>
      <c r="Y141" s="17"/>
      <c r="Z141" s="17"/>
      <c r="AA141" s="17"/>
      <c r="AB141" s="17"/>
      <c r="AC141" s="358"/>
      <c r="AD141" s="358"/>
      <c r="AE141" s="24"/>
      <c r="AF141" s="24"/>
      <c r="AG141" s="158"/>
      <c r="AH141" s="24"/>
      <c r="AI141" s="24"/>
      <c r="AJ141" s="24"/>
    </row>
    <row r="142" spans="18:36" x14ac:dyDescent="0.25">
      <c r="X142" s="361"/>
      <c r="Y142" s="268"/>
      <c r="Z142" s="362"/>
    </row>
  </sheetData>
  <mergeCells count="135"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N14:O14"/>
    <mergeCell ref="B14:H14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34:B35"/>
    <mergeCell ref="C34:C35"/>
    <mergeCell ref="B33:C33"/>
    <mergeCell ref="B30:C30"/>
    <mergeCell ref="K14:L14"/>
    <mergeCell ref="W16:W17"/>
    <mergeCell ref="B28:C28"/>
    <mergeCell ref="AI16:AI17"/>
    <mergeCell ref="B27:C27"/>
    <mergeCell ref="B26:C26"/>
    <mergeCell ref="B24:D24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I29:AI30"/>
    <mergeCell ref="AB16:AB17"/>
    <mergeCell ref="AD16:AD17"/>
    <mergeCell ref="AB29:AB30"/>
    <mergeCell ref="AD29:AD30"/>
    <mergeCell ref="E54:I54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20</xdr:col>
                <xdr:colOff>600075</xdr:colOff>
                <xdr:row>65</xdr:row>
                <xdr:rowOff>152400</xdr:rowOff>
              </from>
              <to>
                <xdr:col>22</xdr:col>
                <xdr:colOff>609600</xdr:colOff>
                <xdr:row>69</xdr:row>
                <xdr:rowOff>19050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22</xdr:col>
                <xdr:colOff>666750</xdr:colOff>
                <xdr:row>65</xdr:row>
                <xdr:rowOff>152400</xdr:rowOff>
              </from>
              <to>
                <xdr:col>25</xdr:col>
                <xdr:colOff>38100</xdr:colOff>
                <xdr:row>69</xdr:row>
                <xdr:rowOff>9525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25</xdr:col>
                <xdr:colOff>323850</xdr:colOff>
                <xdr:row>65</xdr:row>
                <xdr:rowOff>161925</xdr:rowOff>
              </from>
              <to>
                <xdr:col>26</xdr:col>
                <xdr:colOff>819150</xdr:colOff>
                <xdr:row>69</xdr:row>
                <xdr:rowOff>9525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4" r:id="rId10" name="CommandButton4">
          <controlPr defaultSize="0" autoLine="0" r:id="rId11">
            <anchor moveWithCells="1">
              <from>
                <xdr:col>20</xdr:col>
                <xdr:colOff>600075</xdr:colOff>
                <xdr:row>69</xdr:row>
                <xdr:rowOff>66675</xdr:rowOff>
              </from>
              <to>
                <xdr:col>22</xdr:col>
                <xdr:colOff>609600</xdr:colOff>
                <xdr:row>72</xdr:row>
                <xdr:rowOff>95250</xdr:rowOff>
              </to>
            </anchor>
          </controlPr>
        </control>
      </mc:Choice>
      <mc:Fallback>
        <control shapeId="5124" r:id="rId10" name="CommandButton4"/>
      </mc:Fallback>
    </mc:AlternateContent>
    <mc:AlternateContent xmlns:mc="http://schemas.openxmlformats.org/markup-compatibility/2006">
      <mc:Choice Requires="x14">
        <control shapeId="5125" r:id="rId12" name="CommandButton5">
          <controlPr defaultSize="0" autoLine="0" autoPict="0" r:id="rId13">
            <anchor moveWithCells="1">
              <from>
                <xdr:col>20</xdr:col>
                <xdr:colOff>581025</xdr:colOff>
                <xdr:row>73</xdr:row>
                <xdr:rowOff>114300</xdr:rowOff>
              </from>
              <to>
                <xdr:col>22</xdr:col>
                <xdr:colOff>590550</xdr:colOff>
                <xdr:row>76</xdr:row>
                <xdr:rowOff>180975</xdr:rowOff>
              </to>
            </anchor>
          </controlPr>
        </control>
      </mc:Choice>
      <mc:Fallback>
        <control shapeId="5125" r:id="rId12" name="CommandButton5"/>
      </mc:Fallback>
    </mc:AlternateContent>
    <mc:AlternateContent xmlns:mc="http://schemas.openxmlformats.org/markup-compatibility/2006">
      <mc:Choice Requires="x14">
        <control shapeId="5126" r:id="rId14" name="ToggleButton1">
          <controlPr defaultSize="0" autoLine="0" r:id="rId15">
            <anchor moveWithCells="1">
              <from>
                <xdr:col>8</xdr:col>
                <xdr:colOff>38100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26" r:id="rId14" name="ToggleButton1"/>
      </mc:Fallback>
    </mc:AlternateContent>
    <mc:AlternateContent xmlns:mc="http://schemas.openxmlformats.org/markup-compatibility/2006">
      <mc:Choice Requires="x14">
        <control shapeId="5127" r:id="rId16" name="ToggleButton2">
          <controlPr defaultSize="0" autoLine="0" r:id="rId15">
            <anchor moveWithCells="1">
              <from>
                <xdr:col>8</xdr:col>
                <xdr:colOff>38100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27" r:id="rId16" name="ToggleButton2"/>
      </mc:Fallback>
    </mc:AlternateContent>
    <mc:AlternateContent xmlns:mc="http://schemas.openxmlformats.org/markup-compatibility/2006">
      <mc:Choice Requires="x14">
        <control shapeId="5128" r:id="rId17" name="ToggleButton3">
          <controlPr defaultSize="0" autoLine="0" r:id="rId15">
            <anchor moveWithCells="1">
              <from>
                <xdr:col>8</xdr:col>
                <xdr:colOff>38100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28" r:id="rId17" name="ToggleButton3"/>
      </mc:Fallback>
    </mc:AlternateContent>
    <mc:AlternateContent xmlns:mc="http://schemas.openxmlformats.org/markup-compatibility/2006">
      <mc:Choice Requires="x14">
        <control shapeId="5129" r:id="rId18" name="ToggleButton4">
          <controlPr defaultSize="0" autoLine="0" r:id="rId15">
            <anchor moveWithCells="1">
              <from>
                <xdr:col>8</xdr:col>
                <xdr:colOff>38100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29" r:id="rId18" name="ToggleButton4"/>
      </mc:Fallback>
    </mc:AlternateContent>
    <mc:AlternateContent xmlns:mc="http://schemas.openxmlformats.org/markup-compatibility/2006">
      <mc:Choice Requires="x14">
        <control shapeId="5130" r:id="rId19" name="ToggleButton5">
          <controlPr defaultSize="0" autoLine="0" r:id="rId20">
            <anchor moveWithCells="1">
              <from>
                <xdr:col>8</xdr:col>
                <xdr:colOff>38100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30" r:id="rId19" name="ToggleButton5"/>
      </mc:Fallback>
    </mc:AlternateContent>
    <mc:AlternateContent xmlns:mc="http://schemas.openxmlformats.org/markup-compatibility/2006">
      <mc:Choice Requires="x14">
        <control shapeId="5131" r:id="rId21" name="ToggleButton6">
          <controlPr defaultSize="0" autoLine="0" r:id="rId15">
            <anchor moveWithCells="1">
              <from>
                <xdr:col>8</xdr:col>
                <xdr:colOff>38100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31" r:id="rId21" name="ToggleButton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4"/>
  <sheetViews>
    <sheetView tabSelected="1" topLeftCell="A31" zoomScale="80" zoomScaleNormal="80" workbookViewId="0">
      <selection activeCell="S42" sqref="S42"/>
    </sheetView>
  </sheetViews>
  <sheetFormatPr defaultRowHeight="15.75" x14ac:dyDescent="0.25"/>
  <cols>
    <col min="1" max="1" width="9.140625" style="4"/>
    <col min="2" max="2" width="9.7109375" style="4" bestFit="1" customWidth="1"/>
    <col min="3" max="3" width="13.42578125" style="4" bestFit="1" customWidth="1"/>
    <col min="4" max="4" width="15.28515625" style="4" customWidth="1"/>
    <col min="5" max="5" width="11.28515625" style="4" customWidth="1"/>
    <col min="6" max="6" width="13.7109375" style="4" customWidth="1"/>
    <col min="7" max="7" width="11.5703125" style="4" bestFit="1" customWidth="1"/>
    <col min="8" max="8" width="13.7109375" style="4" bestFit="1" customWidth="1"/>
    <col min="9" max="9" width="9.7109375" style="4" bestFit="1" customWidth="1"/>
    <col min="10" max="10" width="10" style="4" bestFit="1" customWidth="1"/>
    <col min="11" max="11" width="10.42578125" style="4" customWidth="1"/>
    <col min="12" max="12" width="9.85546875" style="4" customWidth="1"/>
    <col min="13" max="13" width="10" style="4" bestFit="1" customWidth="1"/>
    <col min="14" max="14" width="9.42578125" style="4" bestFit="1" customWidth="1"/>
    <col min="15" max="15" width="9.5703125" style="4" bestFit="1" customWidth="1"/>
    <col min="16" max="16" width="11.140625" style="4" bestFit="1" customWidth="1"/>
    <col min="17" max="17" width="9.5703125" style="4" bestFit="1" customWidth="1"/>
    <col min="18" max="18" width="12.42578125" style="4" customWidth="1"/>
    <col min="19" max="19" width="11.42578125" style="4" customWidth="1"/>
    <col min="20" max="20" width="10" style="4" bestFit="1" customWidth="1"/>
    <col min="21" max="21" width="10" style="4" customWidth="1"/>
    <col min="22" max="22" width="9.42578125" style="4" customWidth="1"/>
    <col min="23" max="23" width="11.140625" style="4" customWidth="1"/>
    <col min="24" max="24" width="9.28515625" style="4" customWidth="1"/>
    <col min="25" max="25" width="11.42578125" style="4" customWidth="1"/>
    <col min="26" max="26" width="12.5703125" style="4" customWidth="1"/>
    <col min="27" max="27" width="13.28515625" style="4" customWidth="1"/>
    <col min="28" max="28" width="13" style="4" bestFit="1" customWidth="1"/>
    <col min="29" max="29" width="9.140625" style="4"/>
    <col min="30" max="30" width="10.7109375" style="4" customWidth="1"/>
    <col min="31" max="31" width="10.28515625" style="4" customWidth="1"/>
    <col min="32" max="16384" width="9.140625" style="4"/>
  </cols>
  <sheetData>
    <row r="2" spans="2:28" x14ac:dyDescent="0.25">
      <c r="B2" s="922" t="s">
        <v>112</v>
      </c>
      <c r="C2" s="922"/>
      <c r="D2" s="922"/>
      <c r="E2" s="922"/>
      <c r="F2" s="922"/>
      <c r="G2" s="922"/>
      <c r="H2" s="922"/>
      <c r="J2" s="919" t="s">
        <v>121</v>
      </c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  <c r="V2" s="921"/>
      <c r="W2" s="1"/>
      <c r="X2" s="918" t="s">
        <v>124</v>
      </c>
      <c r="Y2" s="918"/>
      <c r="Z2" s="918"/>
      <c r="AA2" s="918"/>
      <c r="AB2" s="918"/>
    </row>
    <row r="3" spans="2:28" ht="15" customHeight="1" x14ac:dyDescent="0.25">
      <c r="B3" s="580" t="s">
        <v>74</v>
      </c>
      <c r="C3" s="580" t="s">
        <v>104</v>
      </c>
      <c r="D3" s="580"/>
      <c r="E3" s="582" t="s">
        <v>111</v>
      </c>
      <c r="F3" s="582" t="s">
        <v>103</v>
      </c>
      <c r="G3" s="580" t="s">
        <v>108</v>
      </c>
      <c r="H3" s="580"/>
      <c r="J3" s="580" t="s">
        <v>9</v>
      </c>
      <c r="K3" s="582" t="s">
        <v>3</v>
      </c>
      <c r="L3" s="582" t="s">
        <v>89</v>
      </c>
      <c r="M3" s="580" t="s">
        <v>91</v>
      </c>
      <c r="N3" s="580" t="s">
        <v>98</v>
      </c>
      <c r="O3" s="582" t="s">
        <v>119</v>
      </c>
      <c r="P3" s="582" t="s">
        <v>284</v>
      </c>
      <c r="Q3" s="582" t="s">
        <v>285</v>
      </c>
      <c r="R3" s="580" t="s">
        <v>452</v>
      </c>
      <c r="S3" s="580" t="s">
        <v>453</v>
      </c>
      <c r="T3" s="580" t="s">
        <v>92</v>
      </c>
      <c r="U3" s="582" t="s">
        <v>120</v>
      </c>
      <c r="V3" s="580" t="s">
        <v>96</v>
      </c>
      <c r="X3" s="580" t="s">
        <v>9</v>
      </c>
      <c r="Y3" s="913" t="s">
        <v>93</v>
      </c>
      <c r="Z3" s="913" t="s">
        <v>94</v>
      </c>
      <c r="AA3" s="913" t="s">
        <v>122</v>
      </c>
      <c r="AB3" s="582" t="s">
        <v>123</v>
      </c>
    </row>
    <row r="4" spans="2:28" x14ac:dyDescent="0.25">
      <c r="B4" s="580"/>
      <c r="C4" s="66" t="s">
        <v>105</v>
      </c>
      <c r="D4" s="66" t="s">
        <v>106</v>
      </c>
      <c r="E4" s="582"/>
      <c r="F4" s="582"/>
      <c r="G4" s="580"/>
      <c r="H4" s="580"/>
      <c r="J4" s="580"/>
      <c r="K4" s="582"/>
      <c r="L4" s="582"/>
      <c r="M4" s="580"/>
      <c r="N4" s="580"/>
      <c r="O4" s="582"/>
      <c r="P4" s="582"/>
      <c r="Q4" s="582"/>
      <c r="R4" s="580"/>
      <c r="S4" s="580"/>
      <c r="T4" s="580"/>
      <c r="U4" s="582"/>
      <c r="V4" s="580"/>
      <c r="X4" s="580"/>
      <c r="Y4" s="913"/>
      <c r="Z4" s="913"/>
      <c r="AA4" s="913"/>
      <c r="AB4" s="582"/>
    </row>
    <row r="5" spans="2:28" x14ac:dyDescent="0.25">
      <c r="B5" s="66">
        <v>6</v>
      </c>
      <c r="C5" s="68">
        <f>'Frame Capacities'!E10+'Frame Capacities'!F10+'Frame Capacities'!E16+'Frame Capacities'!F16+'Frame Capacities'!E22+'Frame Capacities'!F22</f>
        <v>544.79999999999995</v>
      </c>
      <c r="D5" s="68">
        <f>'Frame Capacities'!E54+'Frame Capacities'!E60+'Frame Capacities'!E66+'Frame Capacities'!E72</f>
        <v>133.6</v>
      </c>
      <c r="E5" s="68">
        <f t="shared" ref="E5:E10" si="0">C5/D5</f>
        <v>4.0778443113772456</v>
      </c>
      <c r="F5" s="67" t="s">
        <v>42</v>
      </c>
      <c r="G5" s="365" t="s">
        <v>110</v>
      </c>
      <c r="H5" s="365" t="s">
        <v>107</v>
      </c>
      <c r="J5" s="366">
        <v>6</v>
      </c>
      <c r="K5" s="318">
        <v>3</v>
      </c>
      <c r="L5" s="318">
        <v>17.75</v>
      </c>
      <c r="M5" s="367">
        <v>2.6199995195363E-2</v>
      </c>
      <c r="N5" s="69">
        <v>2.4018374572630438E-3</v>
      </c>
      <c r="O5" s="368">
        <v>8.006124857543479E-4</v>
      </c>
      <c r="P5" s="367">
        <v>8.3119145368492249E-3</v>
      </c>
      <c r="Q5" s="367">
        <v>3.0605372788564604E-3</v>
      </c>
      <c r="R5" s="68">
        <v>9.6321068052972775E-2</v>
      </c>
      <c r="S5" s="68">
        <v>0.2615921365458711</v>
      </c>
      <c r="T5" s="497">
        <v>147.56575132719178</v>
      </c>
      <c r="U5" s="318">
        <v>442.69725398157533</v>
      </c>
      <c r="V5" s="68">
        <v>596.65348693088583</v>
      </c>
      <c r="W5" s="45"/>
      <c r="X5" s="67">
        <v>6</v>
      </c>
      <c r="Y5" s="68">
        <f>'Structural Information'!$Z$6</f>
        <v>37.8446</v>
      </c>
      <c r="Z5" s="68">
        <f>Y5*M5</f>
        <v>0.99152833817043462</v>
      </c>
      <c r="AA5" s="68">
        <f t="shared" ref="AA5:AA10" si="1">Z5*L5</f>
        <v>17.599628002525215</v>
      </c>
      <c r="AB5" s="68">
        <f>AA11/Z11</f>
        <v>12.416642819611448</v>
      </c>
    </row>
    <row r="6" spans="2:28" x14ac:dyDescent="0.25">
      <c r="B6" s="66">
        <v>5</v>
      </c>
      <c r="C6" s="68">
        <f>'Frame Capacities'!E9+'Frame Capacities'!F9+'Frame Capacities'!E15+'Frame Capacities'!F15+'Frame Capacities'!E21+'Frame Capacities'!F21</f>
        <v>544.79999999999995</v>
      </c>
      <c r="D6" s="68">
        <f>'Frame Capacities'!E53+'Frame Capacities'!E59+'Frame Capacities'!E65+'Frame Capacities'!E71+'Frame Capacities'!E54+'Frame Capacities'!E60+'Frame Capacities'!E66+'Frame Capacities'!E72</f>
        <v>295.8</v>
      </c>
      <c r="E6" s="68">
        <f t="shared" si="0"/>
        <v>1.8417849898580119</v>
      </c>
      <c r="F6" s="67" t="s">
        <v>42</v>
      </c>
      <c r="G6" s="365" t="s">
        <v>110</v>
      </c>
      <c r="H6" s="365" t="s">
        <v>107</v>
      </c>
      <c r="J6" s="366">
        <v>5</v>
      </c>
      <c r="K6" s="318">
        <v>3</v>
      </c>
      <c r="L6" s="318">
        <v>14.75</v>
      </c>
      <c r="M6" s="367">
        <v>2.3798157738099956E-2</v>
      </c>
      <c r="N6" s="69">
        <v>3.5755962375156047E-3</v>
      </c>
      <c r="O6" s="368">
        <v>1.1918654125052015E-3</v>
      </c>
      <c r="P6" s="367">
        <v>9.597600000000003E-3</v>
      </c>
      <c r="Q6" s="367">
        <v>2.281598782064713E-3</v>
      </c>
      <c r="R6" s="68">
        <v>0.12418369305922326</v>
      </c>
      <c r="S6" s="68">
        <v>0.52238168335040625</v>
      </c>
      <c r="T6" s="497">
        <v>290.5375088204546</v>
      </c>
      <c r="U6" s="318">
        <v>1314.3097804429392</v>
      </c>
      <c r="V6" s="369"/>
      <c r="W6" s="45"/>
      <c r="X6" s="67">
        <v>5</v>
      </c>
      <c r="Y6" s="68">
        <f>'Structural Information'!$Z$7</f>
        <v>40.367000000000004</v>
      </c>
      <c r="Z6" s="68">
        <f t="shared" ref="Z6:Z10" si="2">Y6*M6</f>
        <v>0.96066023341388107</v>
      </c>
      <c r="AA6" s="68">
        <f t="shared" si="1"/>
        <v>14.169738442854745</v>
      </c>
      <c r="AB6" s="66" t="s">
        <v>378</v>
      </c>
    </row>
    <row r="7" spans="2:28" x14ac:dyDescent="0.25">
      <c r="B7" s="66">
        <v>4</v>
      </c>
      <c r="C7" s="68">
        <f>'Frame Capacities'!E8+'Frame Capacities'!F8+'Frame Capacities'!E14+'Frame Capacities'!F14+'Frame Capacities'!E20+'Frame Capacities'!F20</f>
        <v>544.79999999999995</v>
      </c>
      <c r="D7" s="68">
        <f>'Frame Capacities'!E52+'Frame Capacities'!E58+'Frame Capacities'!E64+'Frame Capacities'!E70+'Frame Capacities'!E53+'Frame Capacities'!E59+'Frame Capacities'!E65+'Frame Capacities'!E71</f>
        <v>344.4</v>
      </c>
      <c r="E7" s="68">
        <f t="shared" si="0"/>
        <v>1.5818815331010452</v>
      </c>
      <c r="F7" s="67" t="s">
        <v>42</v>
      </c>
      <c r="G7" s="365" t="s">
        <v>110</v>
      </c>
      <c r="H7" s="365" t="s">
        <v>107</v>
      </c>
      <c r="J7" s="366">
        <v>4</v>
      </c>
      <c r="K7" s="318">
        <v>3</v>
      </c>
      <c r="L7" s="318">
        <v>11.75</v>
      </c>
      <c r="M7" s="367">
        <v>2.0222561500584352E-2</v>
      </c>
      <c r="N7" s="368">
        <v>4.6714087300904934E-3</v>
      </c>
      <c r="O7" s="368">
        <v>1.5571362433634977E-3</v>
      </c>
      <c r="P7" s="367">
        <v>9.015519176800749E-3</v>
      </c>
      <c r="Q7" s="367">
        <v>2.1092027799242134E-3</v>
      </c>
      <c r="R7" s="68">
        <v>0.17271731253929445</v>
      </c>
      <c r="S7" s="68">
        <v>0.73825819792416914</v>
      </c>
      <c r="T7" s="497">
        <v>412.02822211597896</v>
      </c>
      <c r="U7" s="318">
        <v>2550.3944467908759</v>
      </c>
      <c r="V7" s="370" t="s">
        <v>130</v>
      </c>
      <c r="W7" s="45"/>
      <c r="X7" s="67">
        <v>4</v>
      </c>
      <c r="Y7" s="68">
        <f>'Structural Information'!$Z$8</f>
        <v>40.367000000000004</v>
      </c>
      <c r="Z7" s="68">
        <f t="shared" si="2"/>
        <v>0.8163241400940886</v>
      </c>
      <c r="AA7" s="68">
        <f t="shared" si="1"/>
        <v>9.591808646105541</v>
      </c>
      <c r="AB7" s="317">
        <f>T10/M5</f>
        <v>22758.453056388807</v>
      </c>
    </row>
    <row r="8" spans="2:28" x14ac:dyDescent="0.25">
      <c r="B8" s="66">
        <v>3</v>
      </c>
      <c r="C8" s="68">
        <f>'Frame Capacities'!E7+'Frame Capacities'!F7+'Frame Capacities'!E13+'Frame Capacities'!F13+'Frame Capacities'!E19+'Frame Capacities'!F19</f>
        <v>544.79999999999995</v>
      </c>
      <c r="D8" s="68">
        <f>'Frame Capacities'!E51+'Frame Capacities'!E57+'Frame Capacities'!E63+'Frame Capacities'!E69+'Frame Capacities'!E52+'Frame Capacities'!E58+'Frame Capacities'!E64+'Frame Capacities'!E70</f>
        <v>427.6</v>
      </c>
      <c r="E8" s="68">
        <f t="shared" si="0"/>
        <v>1.2740879326473338</v>
      </c>
      <c r="F8" s="67" t="s">
        <v>42</v>
      </c>
      <c r="G8" s="365" t="s">
        <v>110</v>
      </c>
      <c r="H8" s="365" t="s">
        <v>107</v>
      </c>
      <c r="J8" s="366">
        <v>3</v>
      </c>
      <c r="K8" s="318">
        <v>3</v>
      </c>
      <c r="L8" s="318">
        <v>8.75</v>
      </c>
      <c r="M8" s="367">
        <v>1.5551152770493858E-2</v>
      </c>
      <c r="N8" s="69">
        <v>5.2551704677195211E-3</v>
      </c>
      <c r="O8" s="368">
        <v>1.7517234892398404E-3</v>
      </c>
      <c r="P8" s="367">
        <v>8.5822017391304368E-3</v>
      </c>
      <c r="Q8" s="367">
        <v>1.9542049297578846E-3</v>
      </c>
      <c r="R8" s="318">
        <v>0.20411119925704846</v>
      </c>
      <c r="S8" s="68">
        <v>0.89638679268753529</v>
      </c>
      <c r="T8" s="497">
        <v>505.45459852123963</v>
      </c>
      <c r="U8" s="318">
        <v>4066.7582423545946</v>
      </c>
      <c r="V8" s="371">
        <v>0</v>
      </c>
      <c r="W8" s="45"/>
      <c r="X8" s="67">
        <v>3</v>
      </c>
      <c r="Y8" s="68">
        <f>'Structural Information'!$Z$9</f>
        <v>40.367000000000004</v>
      </c>
      <c r="Z8" s="68">
        <f t="shared" si="2"/>
        <v>0.62775338388652568</v>
      </c>
      <c r="AA8" s="68">
        <f t="shared" si="1"/>
        <v>5.4928421090070998</v>
      </c>
      <c r="AB8" s="246" t="s">
        <v>380</v>
      </c>
    </row>
    <row r="9" spans="2:28" x14ac:dyDescent="0.25">
      <c r="B9" s="66">
        <v>2</v>
      </c>
      <c r="C9" s="68">
        <f>'Frame Capacities'!E6+'Frame Capacities'!F6+'Frame Capacities'!E12+'Frame Capacities'!F12+'Frame Capacities'!E18+'Frame Capacities'!F18</f>
        <v>544.79999999999995</v>
      </c>
      <c r="D9" s="68">
        <f>'Frame Capacities'!E50+'Frame Capacities'!E56+'Frame Capacities'!E62+'Frame Capacities'!E68+'Frame Capacities'!E51+'Frame Capacities'!E57+'Frame Capacities'!E63+'Frame Capacities'!E69</f>
        <v>506</v>
      </c>
      <c r="E9" s="68">
        <f t="shared" si="0"/>
        <v>1.0766798418972332</v>
      </c>
      <c r="F9" s="67" t="s">
        <v>42</v>
      </c>
      <c r="G9" s="365" t="s">
        <v>110</v>
      </c>
      <c r="H9" s="365" t="s">
        <v>107</v>
      </c>
      <c r="J9" s="366">
        <v>2</v>
      </c>
      <c r="K9" s="318">
        <v>3</v>
      </c>
      <c r="L9" s="318">
        <v>5.75</v>
      </c>
      <c r="M9" s="367">
        <v>1.0295982302774337E-2</v>
      </c>
      <c r="N9" s="69">
        <v>5.3934902074849597E-3</v>
      </c>
      <c r="O9" s="368">
        <v>1.7978300691616532E-3</v>
      </c>
      <c r="P9" s="367">
        <v>6.7523273096129852E-3</v>
      </c>
      <c r="Q9" s="367">
        <v>1.8141308521286454E-3</v>
      </c>
      <c r="R9" s="68">
        <v>0.26625339482613103</v>
      </c>
      <c r="S9" s="68">
        <v>0.99101454950293943</v>
      </c>
      <c r="T9" s="497">
        <v>567.30958331029933</v>
      </c>
      <c r="U9" s="318">
        <v>5768.686992285493</v>
      </c>
      <c r="V9" s="369"/>
      <c r="W9" s="45"/>
      <c r="X9" s="67">
        <v>2</v>
      </c>
      <c r="Y9" s="68">
        <f>'Structural Information'!$Z$10</f>
        <v>40.367000000000004</v>
      </c>
      <c r="Z9" s="68">
        <f t="shared" si="2"/>
        <v>0.41561791761609174</v>
      </c>
      <c r="AA9" s="68">
        <f t="shared" si="1"/>
        <v>2.3898030262925274</v>
      </c>
      <c r="AB9" s="68">
        <f>(('Structural Information'!$Z$6*M5+'Structural Information'!$Z$7*M6+'Structural Information'!$Z$8*M7+'Structural Information'!$Z$9*M8+'Structural Information'!$Z$10*M9+'Structural Information'!$Z$11*M10)^2)/('Structural Information'!$Z$6*M5*M5+'Structural Information'!$Z$7*M6*M6+'Structural Information'!$Z$8*M7*M7+'Structural Information'!$Z$9*M8*M8+'Structural Information'!$Z$10*M9*M9+'Structural Information'!$Z$11*M10*M10)</f>
        <v>200.07955993828043</v>
      </c>
    </row>
    <row r="10" spans="2:28" x14ac:dyDescent="0.25">
      <c r="B10" s="66">
        <v>1</v>
      </c>
      <c r="C10" s="68">
        <f>'Frame Capacities'!E5+'Frame Capacities'!F5+'Frame Capacities'!E11+'Frame Capacities'!F11+'Frame Capacities'!E17+'Frame Capacities'!F17</f>
        <v>544.79999999999995</v>
      </c>
      <c r="D10" s="68">
        <f>'Frame Capacities'!E49+'Frame Capacities'!E55+'Frame Capacities'!E61+'Frame Capacities'!E67+'Frame Capacities'!E50+'Frame Capacities'!E56+'Frame Capacities'!E62+'Frame Capacities'!E68</f>
        <v>640.79999999999995</v>
      </c>
      <c r="E10" s="68">
        <f t="shared" si="0"/>
        <v>0.85018726591760296</v>
      </c>
      <c r="F10" s="67" t="s">
        <v>42</v>
      </c>
      <c r="G10" s="365" t="s">
        <v>109</v>
      </c>
      <c r="H10" s="365" t="s">
        <v>392</v>
      </c>
      <c r="J10" s="366">
        <v>1</v>
      </c>
      <c r="K10" s="318">
        <v>2.75</v>
      </c>
      <c r="L10" s="318">
        <v>2.75</v>
      </c>
      <c r="M10" s="367">
        <v>4.9024920952893776E-3</v>
      </c>
      <c r="N10" s="69">
        <v>4.9024920952893776E-3</v>
      </c>
      <c r="O10" s="368">
        <v>1.7827243982870464E-3</v>
      </c>
      <c r="P10" s="367">
        <v>5.3120868684138484E-3</v>
      </c>
      <c r="Q10" s="367">
        <v>1.780731968888595E-3</v>
      </c>
      <c r="R10" s="68">
        <v>0.33559774951860971</v>
      </c>
      <c r="S10" s="68">
        <v>1.0011188822536246</v>
      </c>
      <c r="T10" s="497">
        <v>596.27136073128111</v>
      </c>
      <c r="U10" s="318">
        <v>7408.4332342965163</v>
      </c>
      <c r="V10" s="372"/>
      <c r="W10" s="45"/>
      <c r="X10" s="67">
        <v>1</v>
      </c>
      <c r="Y10" s="68">
        <f>'Structural Information'!$Z$11</f>
        <v>40.367000000000004</v>
      </c>
      <c r="Z10" s="68">
        <f t="shared" si="2"/>
        <v>0.19789889841054634</v>
      </c>
      <c r="AA10" s="68">
        <f t="shared" si="1"/>
        <v>0.54422197062900246</v>
      </c>
      <c r="AB10" s="66" t="s">
        <v>379</v>
      </c>
    </row>
    <row r="11" spans="2:28" x14ac:dyDescent="0.25">
      <c r="X11" s="373"/>
      <c r="Y11" s="66" t="s">
        <v>95</v>
      </c>
      <c r="Z11" s="374">
        <f>SUM(Z5:Z10)</f>
        <v>4.009782911591568</v>
      </c>
      <c r="AA11" s="374">
        <f>SUM(AA5:AA10)</f>
        <v>49.788042197414129</v>
      </c>
      <c r="AB11" s="317">
        <f>2*PI()*SQRT(AB9/AB7)</f>
        <v>0.58912826645633543</v>
      </c>
    </row>
    <row r="13" spans="2:28" x14ac:dyDescent="0.25">
      <c r="B13" s="923" t="s">
        <v>113</v>
      </c>
      <c r="C13" s="923"/>
      <c r="D13" s="923"/>
      <c r="E13" s="923"/>
      <c r="F13" s="923"/>
      <c r="G13" s="923"/>
      <c r="H13" s="923"/>
      <c r="J13" s="914" t="s">
        <v>125</v>
      </c>
      <c r="K13" s="914"/>
      <c r="L13" s="914"/>
      <c r="M13" s="914"/>
      <c r="N13" s="914"/>
      <c r="O13" s="914"/>
      <c r="P13" s="914"/>
      <c r="Q13" s="914"/>
      <c r="R13" s="914"/>
      <c r="S13" s="914"/>
      <c r="T13" s="914"/>
      <c r="U13" s="914"/>
      <c r="V13" s="914"/>
      <c r="X13" s="916" t="s">
        <v>124</v>
      </c>
      <c r="Y13" s="916"/>
      <c r="Z13" s="916"/>
      <c r="AA13" s="916"/>
      <c r="AB13" s="916"/>
    </row>
    <row r="14" spans="2:28" ht="15" customHeight="1" x14ac:dyDescent="0.25">
      <c r="B14" s="580" t="s">
        <v>74</v>
      </c>
      <c r="C14" s="580" t="s">
        <v>116</v>
      </c>
      <c r="D14" s="580"/>
      <c r="E14" s="582" t="s">
        <v>114</v>
      </c>
      <c r="F14" s="582" t="s">
        <v>103</v>
      </c>
      <c r="G14" s="580" t="s">
        <v>108</v>
      </c>
      <c r="H14" s="580"/>
      <c r="J14" s="580" t="s">
        <v>9</v>
      </c>
      <c r="K14" s="582" t="s">
        <v>3</v>
      </c>
      <c r="L14" s="582" t="s">
        <v>89</v>
      </c>
      <c r="M14" s="580" t="s">
        <v>91</v>
      </c>
      <c r="N14" s="580" t="s">
        <v>98</v>
      </c>
      <c r="O14" s="582" t="s">
        <v>119</v>
      </c>
      <c r="P14" s="582" t="s">
        <v>284</v>
      </c>
      <c r="Q14" s="582" t="s">
        <v>285</v>
      </c>
      <c r="R14" s="580" t="s">
        <v>452</v>
      </c>
      <c r="S14" s="580" t="s">
        <v>453</v>
      </c>
      <c r="T14" s="580" t="s">
        <v>92</v>
      </c>
      <c r="U14" s="582" t="s">
        <v>120</v>
      </c>
      <c r="V14" s="580" t="s">
        <v>96</v>
      </c>
      <c r="X14" s="580" t="s">
        <v>9</v>
      </c>
      <c r="Y14" s="913" t="s">
        <v>93</v>
      </c>
      <c r="Z14" s="913" t="s">
        <v>94</v>
      </c>
      <c r="AA14" s="913" t="s">
        <v>122</v>
      </c>
      <c r="AB14" s="582" t="s">
        <v>123</v>
      </c>
    </row>
    <row r="15" spans="2:28" x14ac:dyDescent="0.25">
      <c r="B15" s="580"/>
      <c r="C15" s="66" t="s">
        <v>115</v>
      </c>
      <c r="D15" s="66" t="s">
        <v>117</v>
      </c>
      <c r="E15" s="582"/>
      <c r="F15" s="582"/>
      <c r="G15" s="580"/>
      <c r="H15" s="580"/>
      <c r="J15" s="580"/>
      <c r="K15" s="582"/>
      <c r="L15" s="582"/>
      <c r="M15" s="580"/>
      <c r="N15" s="580"/>
      <c r="O15" s="582"/>
      <c r="P15" s="582"/>
      <c r="Q15" s="582"/>
      <c r="R15" s="580"/>
      <c r="S15" s="580"/>
      <c r="T15" s="580"/>
      <c r="U15" s="582"/>
      <c r="V15" s="580"/>
      <c r="X15" s="580"/>
      <c r="Y15" s="913"/>
      <c r="Z15" s="913"/>
      <c r="AA15" s="913"/>
      <c r="AB15" s="582"/>
    </row>
    <row r="16" spans="2:28" x14ac:dyDescent="0.25">
      <c r="B16" s="66">
        <v>6</v>
      </c>
      <c r="C16" s="326">
        <f>'Yield Mechanism'!AE57</f>
        <v>1.5123472170326107</v>
      </c>
      <c r="D16" s="68">
        <f>'Yield Mechanism'!C16</f>
        <v>10.57254973689585</v>
      </c>
      <c r="E16" s="68">
        <f t="shared" ref="E16:E21" si="3">C16/D16</f>
        <v>0.14304470110505652</v>
      </c>
      <c r="F16" s="67" t="s">
        <v>42</v>
      </c>
      <c r="G16" s="365" t="s">
        <v>109</v>
      </c>
      <c r="H16" s="365" t="s">
        <v>83</v>
      </c>
      <c r="J16" s="366">
        <v>6</v>
      </c>
      <c r="K16" s="318">
        <v>3</v>
      </c>
      <c r="L16" s="318">
        <v>17.75</v>
      </c>
      <c r="M16" s="367">
        <v>2.6599712598064821E-2</v>
      </c>
      <c r="N16" s="69">
        <v>2.4185482513266604E-3</v>
      </c>
      <c r="O16" s="368">
        <v>8.061827504422201E-4</v>
      </c>
      <c r="P16" s="367">
        <v>8.3119145368492249E-3</v>
      </c>
      <c r="Q16" s="367">
        <v>3.0605372788564604E-3</v>
      </c>
      <c r="R16" s="68">
        <v>9.6991222283165784E-2</v>
      </c>
      <c r="S16" s="68">
        <v>0.26341216492008956</v>
      </c>
      <c r="T16" s="497">
        <v>148.59244065365496</v>
      </c>
      <c r="U16" s="318">
        <v>445.77732196096485</v>
      </c>
      <c r="V16" s="68">
        <v>603.30179215942894</v>
      </c>
      <c r="W16" s="45"/>
      <c r="X16" s="67">
        <v>6</v>
      </c>
      <c r="Y16" s="68">
        <f>'Structural Information'!$Z$6</f>
        <v>37.8446</v>
      </c>
      <c r="Z16" s="68">
        <f t="shared" ref="Z16:Z21" si="4">Y16*M16</f>
        <v>1.006655483388724</v>
      </c>
      <c r="AA16" s="68">
        <f t="shared" ref="AA16:AA21" si="5">Z16*L16</f>
        <v>17.868134830149852</v>
      </c>
      <c r="AB16" s="68">
        <f>AA22/Z22</f>
        <v>12.392167069936926</v>
      </c>
    </row>
    <row r="17" spans="2:28" x14ac:dyDescent="0.25">
      <c r="B17" s="66">
        <v>5</v>
      </c>
      <c r="C17" s="326">
        <f>'Yield Mechanism'!AE58</f>
        <v>2.399969569223579</v>
      </c>
      <c r="D17" s="68">
        <f>'Yield Mechanism'!C17</f>
        <v>16.292206460508616</v>
      </c>
      <c r="E17" s="68">
        <f t="shared" si="3"/>
        <v>0.14730782936252182</v>
      </c>
      <c r="F17" s="67" t="s">
        <v>42</v>
      </c>
      <c r="G17" s="365" t="s">
        <v>109</v>
      </c>
      <c r="H17" s="365" t="s">
        <v>83</v>
      </c>
      <c r="J17" s="366">
        <v>5</v>
      </c>
      <c r="K17" s="318">
        <v>3</v>
      </c>
      <c r="L17" s="318">
        <v>14.75</v>
      </c>
      <c r="M17" s="367">
        <v>2.4181164346738161E-2</v>
      </c>
      <c r="N17" s="69">
        <v>3.6019351424970945E-3</v>
      </c>
      <c r="O17" s="368">
        <v>1.2006450474990316E-3</v>
      </c>
      <c r="P17" s="367">
        <v>9.597600000000003E-3</v>
      </c>
      <c r="Q17" s="367">
        <v>2.281598782064713E-3</v>
      </c>
      <c r="R17" s="68">
        <v>0.12509846706458189</v>
      </c>
      <c r="S17" s="68">
        <v>0.5262297021444402</v>
      </c>
      <c r="T17" s="497">
        <v>292.67769449301193</v>
      </c>
      <c r="U17" s="318">
        <v>1323.8104054400005</v>
      </c>
      <c r="V17" s="369"/>
      <c r="W17" s="45"/>
      <c r="X17" s="67">
        <v>5</v>
      </c>
      <c r="Y17" s="68">
        <f>'Structural Information'!$Z$7</f>
        <v>40.367000000000004</v>
      </c>
      <c r="Z17" s="68">
        <f t="shared" si="4"/>
        <v>0.97612106118477948</v>
      </c>
      <c r="AA17" s="68">
        <f t="shared" si="5"/>
        <v>14.397785652475497</v>
      </c>
      <c r="AB17" s="66" t="s">
        <v>378</v>
      </c>
    </row>
    <row r="18" spans="2:28" x14ac:dyDescent="0.25">
      <c r="B18" s="66">
        <v>4</v>
      </c>
      <c r="C18" s="326">
        <f>'Yield Mechanism'!AE59</f>
        <v>3.902271894729374</v>
      </c>
      <c r="D18" s="68">
        <f>'Yield Mechanism'!C18</f>
        <v>25.447513777167412</v>
      </c>
      <c r="E18" s="68">
        <f t="shared" si="3"/>
        <v>0.15334589967805254</v>
      </c>
      <c r="F18" s="67" t="s">
        <v>42</v>
      </c>
      <c r="G18" s="365" t="s">
        <v>118</v>
      </c>
      <c r="H18" s="365" t="s">
        <v>83</v>
      </c>
      <c r="J18" s="366">
        <v>4</v>
      </c>
      <c r="K18" s="318">
        <v>3</v>
      </c>
      <c r="L18" s="318">
        <v>11.75</v>
      </c>
      <c r="M18" s="367">
        <v>2.0579229204241066E-2</v>
      </c>
      <c r="N18" s="368">
        <v>4.7085090750038153E-3</v>
      </c>
      <c r="O18" s="368">
        <v>1.5695030250012718E-3</v>
      </c>
      <c r="P18" s="367">
        <v>9.015519176800749E-3</v>
      </c>
      <c r="Q18" s="367">
        <v>2.1092027799242134E-3</v>
      </c>
      <c r="R18" s="68">
        <v>0.17408903405585416</v>
      </c>
      <c r="S18" s="68">
        <v>0.7441214471837867</v>
      </c>
      <c r="T18" s="497">
        <v>415.30055173596298</v>
      </c>
      <c r="U18" s="318">
        <v>2569.7120606478893</v>
      </c>
      <c r="V18" s="370" t="s">
        <v>130</v>
      </c>
      <c r="W18" s="45"/>
      <c r="X18" s="67">
        <v>4</v>
      </c>
      <c r="Y18" s="68">
        <f>'Structural Information'!$Z$8</f>
        <v>40.367000000000004</v>
      </c>
      <c r="Z18" s="68">
        <f t="shared" si="4"/>
        <v>0.83072174528759923</v>
      </c>
      <c r="AA18" s="68">
        <f t="shared" si="5"/>
        <v>9.7609805071292914</v>
      </c>
      <c r="AB18" s="317">
        <f>T21/M16</f>
        <v>22683.572073425708</v>
      </c>
    </row>
    <row r="19" spans="2:28" x14ac:dyDescent="0.25">
      <c r="B19" s="66">
        <v>3</v>
      </c>
      <c r="C19" s="326">
        <f>'Yield Mechanism'!AE60</f>
        <v>31.854526110664231</v>
      </c>
      <c r="D19" s="68">
        <f>'Yield Mechanism'!C19</f>
        <v>67.033560210219122</v>
      </c>
      <c r="E19" s="68">
        <f t="shared" si="3"/>
        <v>0.47520265984333138</v>
      </c>
      <c r="F19" s="67" t="s">
        <v>42</v>
      </c>
      <c r="G19" s="365" t="s">
        <v>109</v>
      </c>
      <c r="H19" s="365" t="s">
        <v>83</v>
      </c>
      <c r="J19" s="366">
        <v>3</v>
      </c>
      <c r="K19" s="318">
        <v>3</v>
      </c>
      <c r="L19" s="318">
        <v>8.75</v>
      </c>
      <c r="M19" s="367">
        <v>1.5870720129237251E-2</v>
      </c>
      <c r="N19" s="69">
        <v>5.3010501094514044E-3</v>
      </c>
      <c r="O19" s="368">
        <v>1.7670167031504681E-3</v>
      </c>
      <c r="P19" s="367">
        <v>8.5822017391304368E-3</v>
      </c>
      <c r="Q19" s="367">
        <v>1.9542049297578846E-3</v>
      </c>
      <c r="R19" s="318">
        <v>0.2058931678445379</v>
      </c>
      <c r="S19" s="68">
        <v>0.90421259113771246</v>
      </c>
      <c r="T19" s="497">
        <v>509.86740987233372</v>
      </c>
      <c r="U19" s="318">
        <v>4099.3142902648906</v>
      </c>
      <c r="V19" s="371">
        <v>0</v>
      </c>
      <c r="W19" s="45"/>
      <c r="X19" s="67">
        <v>3</v>
      </c>
      <c r="Y19" s="68">
        <f>'Structural Information'!$Z$9</f>
        <v>40.367000000000004</v>
      </c>
      <c r="Z19" s="68">
        <f t="shared" si="4"/>
        <v>0.64065335945692015</v>
      </c>
      <c r="AA19" s="68">
        <f t="shared" si="5"/>
        <v>5.6057168952480509</v>
      </c>
      <c r="AB19" s="246" t="s">
        <v>380</v>
      </c>
    </row>
    <row r="20" spans="2:28" x14ac:dyDescent="0.25">
      <c r="B20" s="66">
        <v>2</v>
      </c>
      <c r="C20" s="326">
        <f>'Yield Mechanism'!AE61</f>
        <v>69.605414982742516</v>
      </c>
      <c r="D20" s="68">
        <f>'Yield Mechanism'!C20</f>
        <v>17.466666666666669</v>
      </c>
      <c r="E20" s="68">
        <f t="shared" si="3"/>
        <v>3.9850428425234261</v>
      </c>
      <c r="F20" s="67" t="s">
        <v>42</v>
      </c>
      <c r="G20" s="365" t="s">
        <v>109</v>
      </c>
      <c r="H20" s="365" t="s">
        <v>83</v>
      </c>
      <c r="J20" s="366">
        <v>2</v>
      </c>
      <c r="K20" s="318">
        <v>3</v>
      </c>
      <c r="L20" s="318">
        <v>5.75</v>
      </c>
      <c r="M20" s="367">
        <v>1.0569670019785846E-2</v>
      </c>
      <c r="N20" s="69">
        <v>5.4461406024945242E-3</v>
      </c>
      <c r="O20" s="368">
        <v>1.815380200831508E-3</v>
      </c>
      <c r="P20" s="367">
        <v>6.7523273096129852E-3</v>
      </c>
      <c r="Q20" s="367">
        <v>1.8141308521286454E-3</v>
      </c>
      <c r="R20" s="68">
        <v>0.26885251818984435</v>
      </c>
      <c r="S20" s="68">
        <v>1.0006886761786762</v>
      </c>
      <c r="T20" s="497">
        <v>572.53898089264362</v>
      </c>
      <c r="U20" s="318">
        <v>5816.9312329428212</v>
      </c>
      <c r="V20" s="369"/>
      <c r="W20" s="45"/>
      <c r="X20" s="67">
        <v>2</v>
      </c>
      <c r="Y20" s="68">
        <f>'Structural Information'!$Z$10</f>
        <v>40.367000000000004</v>
      </c>
      <c r="Z20" s="68">
        <f t="shared" si="4"/>
        <v>0.4266658696886953</v>
      </c>
      <c r="AA20" s="68">
        <f t="shared" si="5"/>
        <v>2.4533287507099981</v>
      </c>
      <c r="AB20" s="68">
        <f>(('Structural Information'!$Z$6*M16+'Structural Information'!$Z$7*M17+'Structural Information'!$Z$8*M18+'Structural Information'!$Z$9*M19+'Structural Information'!$Z$10*M20+'Structural Information'!$Z$11*M21)^2)/('Structural Information'!$Z$6*M16*M16+'Structural Information'!$Z$7*M17*M17+'Structural Information'!$Z$8*M18*M18+'Structural Information'!$Z$9*M19*M19+'Structural Information'!$Z$10*M20*M20+'Structural Information'!$Z$11*M21*M21)</f>
        <v>200.79520398181637</v>
      </c>
    </row>
    <row r="21" spans="2:28" x14ac:dyDescent="0.25">
      <c r="B21" s="66">
        <v>1</v>
      </c>
      <c r="C21" s="326">
        <f>'Yield Mechanism'!AE62</f>
        <v>105.46591492150033</v>
      </c>
      <c r="D21" s="68">
        <f>'Yield Mechanism'!C21</f>
        <v>200.38802480659299</v>
      </c>
      <c r="E21" s="68">
        <f t="shared" si="3"/>
        <v>0.52630847089436639</v>
      </c>
      <c r="F21" s="67" t="s">
        <v>42</v>
      </c>
      <c r="G21" s="365" t="s">
        <v>109</v>
      </c>
      <c r="H21" s="365" t="s">
        <v>83</v>
      </c>
      <c r="J21" s="366">
        <v>1</v>
      </c>
      <c r="K21" s="318">
        <v>2.75</v>
      </c>
      <c r="L21" s="318">
        <v>2.75</v>
      </c>
      <c r="M21" s="367">
        <v>5.1235294172913221E-3</v>
      </c>
      <c r="N21" s="69">
        <v>5.1235294172913221E-3</v>
      </c>
      <c r="O21" s="368">
        <v>1.8631016062877535E-3</v>
      </c>
      <c r="P21" s="367">
        <v>5.3120868684138484E-3</v>
      </c>
      <c r="Q21" s="367">
        <v>1.780731968888595E-3</v>
      </c>
      <c r="R21" s="68">
        <v>0.35072875358381755</v>
      </c>
      <c r="S21" s="68">
        <v>1.0462560558457137</v>
      </c>
      <c r="T21" s="497">
        <v>603.37649785061319</v>
      </c>
      <c r="U21" s="318">
        <v>7476.2166020320074</v>
      </c>
      <c r="V21" s="372"/>
      <c r="W21" s="45"/>
      <c r="X21" s="67">
        <v>1</v>
      </c>
      <c r="Y21" s="68">
        <f>'Structural Information'!$Z$11</f>
        <v>40.367000000000004</v>
      </c>
      <c r="Z21" s="68">
        <f t="shared" si="4"/>
        <v>0.20682151198779883</v>
      </c>
      <c r="AA21" s="68">
        <f t="shared" si="5"/>
        <v>0.56875915796644683</v>
      </c>
      <c r="AB21" s="66" t="s">
        <v>379</v>
      </c>
    </row>
    <row r="22" spans="2:28" x14ac:dyDescent="0.25">
      <c r="X22" s="373"/>
      <c r="Y22" s="66" t="s">
        <v>95</v>
      </c>
      <c r="Z22" s="374">
        <f>SUM(Z16:Z21)</f>
        <v>4.0876390309945165</v>
      </c>
      <c r="AA22" s="374">
        <f>SUM(AA16:AA21)</f>
        <v>50.654705793679135</v>
      </c>
      <c r="AB22" s="317">
        <f>2*PI()*SQRT(AB20/AB18)</f>
        <v>0.59115424591347243</v>
      </c>
    </row>
    <row r="24" spans="2:28" ht="15.75" customHeight="1" x14ac:dyDescent="0.25">
      <c r="B24" s="924" t="s">
        <v>283</v>
      </c>
      <c r="C24" s="925"/>
      <c r="D24" s="925"/>
      <c r="E24" s="925"/>
      <c r="F24" s="925"/>
      <c r="G24" s="925"/>
      <c r="H24" s="926"/>
      <c r="J24" s="919" t="s">
        <v>126</v>
      </c>
      <c r="K24" s="920"/>
      <c r="L24" s="920"/>
      <c r="M24" s="920"/>
      <c r="N24" s="920"/>
      <c r="O24" s="920"/>
      <c r="P24" s="920"/>
      <c r="Q24" s="920"/>
      <c r="R24" s="920"/>
      <c r="S24" s="920"/>
      <c r="T24" s="920"/>
      <c r="U24" s="920"/>
      <c r="V24" s="921"/>
      <c r="X24" s="917" t="s">
        <v>124</v>
      </c>
      <c r="Y24" s="917"/>
      <c r="Z24" s="917"/>
      <c r="AA24" s="917"/>
      <c r="AB24" s="917"/>
    </row>
    <row r="25" spans="2:28" ht="15" customHeight="1" x14ac:dyDescent="0.25">
      <c r="B25" s="66" t="s">
        <v>9</v>
      </c>
      <c r="C25" s="66" t="s">
        <v>342</v>
      </c>
      <c r="D25" s="66" t="s">
        <v>286</v>
      </c>
      <c r="E25" s="375" t="s">
        <v>87</v>
      </c>
      <c r="F25" s="246" t="s">
        <v>210</v>
      </c>
      <c r="G25" s="246" t="s">
        <v>211</v>
      </c>
      <c r="H25" s="66" t="s">
        <v>238</v>
      </c>
      <c r="J25" s="580" t="s">
        <v>9</v>
      </c>
      <c r="K25" s="582" t="s">
        <v>3</v>
      </c>
      <c r="L25" s="582" t="s">
        <v>89</v>
      </c>
      <c r="M25" s="580" t="s">
        <v>91</v>
      </c>
      <c r="N25" s="580" t="s">
        <v>98</v>
      </c>
      <c r="O25" s="582" t="s">
        <v>119</v>
      </c>
      <c r="P25" s="582" t="s">
        <v>284</v>
      </c>
      <c r="Q25" s="582" t="s">
        <v>285</v>
      </c>
      <c r="R25" s="580" t="s">
        <v>452</v>
      </c>
      <c r="S25" s="580" t="s">
        <v>453</v>
      </c>
      <c r="T25" s="580" t="s">
        <v>92</v>
      </c>
      <c r="U25" s="582" t="s">
        <v>120</v>
      </c>
      <c r="V25" s="580" t="s">
        <v>96</v>
      </c>
      <c r="X25" s="580" t="s">
        <v>9</v>
      </c>
      <c r="Y25" s="913" t="s">
        <v>93</v>
      </c>
      <c r="Z25" s="913" t="s">
        <v>94</v>
      </c>
      <c r="AA25" s="913" t="s">
        <v>122</v>
      </c>
      <c r="AB25" s="582" t="s">
        <v>123</v>
      </c>
    </row>
    <row r="26" spans="2:28" x14ac:dyDescent="0.25">
      <c r="B26" s="72">
        <v>6</v>
      </c>
      <c r="C26" s="133">
        <f>'Frame Capacities'!BT14</f>
        <v>8.3119145368492249E-3</v>
      </c>
      <c r="D26" s="25">
        <f>'Infill Capacities'!CY14</f>
        <v>3.0605372788564604E-3</v>
      </c>
      <c r="E26" s="54" t="e">
        <f>'System Capacities'!Q6</f>
        <v>#N/A</v>
      </c>
      <c r="F26" s="376">
        <f>'System Capacities'!N6</f>
        <v>10.57254973689585</v>
      </c>
      <c r="G26" s="24">
        <f>'System Capacities'!O6</f>
        <v>171.55659581870771</v>
      </c>
      <c r="H26" s="225" t="e">
        <f>'System Capacities'!P6</f>
        <v>#N/A</v>
      </c>
      <c r="J26" s="580"/>
      <c r="K26" s="582"/>
      <c r="L26" s="582"/>
      <c r="M26" s="580"/>
      <c r="N26" s="580"/>
      <c r="O26" s="582"/>
      <c r="P26" s="582"/>
      <c r="Q26" s="582"/>
      <c r="R26" s="580"/>
      <c r="S26" s="580"/>
      <c r="T26" s="580"/>
      <c r="U26" s="582"/>
      <c r="V26" s="580"/>
      <c r="X26" s="580"/>
      <c r="Y26" s="913"/>
      <c r="Z26" s="913"/>
      <c r="AA26" s="913"/>
      <c r="AB26" s="582"/>
    </row>
    <row r="27" spans="2:28" x14ac:dyDescent="0.25">
      <c r="B27" s="72">
        <v>5</v>
      </c>
      <c r="C27" s="133">
        <f>'Frame Capacities'!BT15</f>
        <v>9.597600000000003E-3</v>
      </c>
      <c r="D27" s="25">
        <f>'Infill Capacities'!CY15</f>
        <v>2.281598782064713E-3</v>
      </c>
      <c r="E27" s="54" t="e">
        <f>'System Capacities'!Q7</f>
        <v>#N/A</v>
      </c>
      <c r="F27" s="376">
        <f>'System Capacities'!N7</f>
        <v>16.292206460508616</v>
      </c>
      <c r="G27" s="24">
        <f>'System Capacities'!O7</f>
        <v>348.81217408162945</v>
      </c>
      <c r="H27" s="225" t="e">
        <f>'System Capacities'!P7</f>
        <v>#N/A</v>
      </c>
      <c r="J27" s="366">
        <v>6</v>
      </c>
      <c r="K27" s="318">
        <v>3</v>
      </c>
      <c r="L27" s="318">
        <v>17.75</v>
      </c>
      <c r="M27" s="367">
        <v>3.3676562727157675E-2</v>
      </c>
      <c r="N27" s="69">
        <v>2.5862394082666676E-3</v>
      </c>
      <c r="O27" s="368">
        <v>8.620798027555559E-4</v>
      </c>
      <c r="P27" s="367">
        <v>8.3119145368492249E-3</v>
      </c>
      <c r="Q27" s="367">
        <v>3.0605372788564604E-3</v>
      </c>
      <c r="R27" s="68">
        <v>0.10371615335235895</v>
      </c>
      <c r="S27" s="68">
        <v>0.2816759686971248</v>
      </c>
      <c r="T27" s="497">
        <v>158.89516596504077</v>
      </c>
      <c r="U27" s="318">
        <v>476.68549789512235</v>
      </c>
      <c r="V27" s="68">
        <v>683.08693544139021</v>
      </c>
      <c r="W27" s="45"/>
      <c r="X27" s="67">
        <v>6</v>
      </c>
      <c r="Y27" s="68">
        <f>'Structural Information'!$Z$6</f>
        <v>37.8446</v>
      </c>
      <c r="Z27" s="68">
        <f t="shared" ref="Z27:Z32" si="6">Y27*M27</f>
        <v>1.2744760457841913</v>
      </c>
      <c r="AA27" s="68">
        <f t="shared" ref="AA27:AA32" si="7">Z27*L27</f>
        <v>22.621949812669396</v>
      </c>
      <c r="AB27" s="68">
        <f>AA33/Z33</f>
        <v>12.121666426361667</v>
      </c>
    </row>
    <row r="28" spans="2:28" x14ac:dyDescent="0.25">
      <c r="B28" s="72">
        <v>4</v>
      </c>
      <c r="C28" s="133">
        <f>'Frame Capacities'!BT16</f>
        <v>9.015519176800749E-3</v>
      </c>
      <c r="D28" s="25">
        <f>'Infill Capacities'!CY16</f>
        <v>2.1092027799242134E-3</v>
      </c>
      <c r="E28" s="54" t="e">
        <f>'System Capacities'!Q8</f>
        <v>#N/A</v>
      </c>
      <c r="F28" s="376">
        <f>'System Capacities'!N8</f>
        <v>25.447513777167412</v>
      </c>
      <c r="G28" s="24">
        <f>'System Capacities'!O8</f>
        <v>505.51466328235244</v>
      </c>
      <c r="H28" s="225" t="e">
        <f>'System Capacities'!P8</f>
        <v>#N/A</v>
      </c>
      <c r="J28" s="366">
        <v>5</v>
      </c>
      <c r="K28" s="318">
        <v>3</v>
      </c>
      <c r="L28" s="318">
        <v>14.75</v>
      </c>
      <c r="M28" s="367">
        <v>3.1090323318891007E-2</v>
      </c>
      <c r="N28" s="69">
        <v>3.8811445433629618E-3</v>
      </c>
      <c r="O28" s="368">
        <v>1.2937148477876539E-3</v>
      </c>
      <c r="P28" s="367">
        <v>9.597600000000003E-3</v>
      </c>
      <c r="Q28" s="367">
        <v>2.281598782064713E-3</v>
      </c>
      <c r="R28" s="68">
        <v>0.13479566222677061</v>
      </c>
      <c r="S28" s="68">
        <v>0.56702118617757935</v>
      </c>
      <c r="T28" s="497">
        <v>315.36504462379344</v>
      </c>
      <c r="U28" s="318">
        <v>1422.7806317665027</v>
      </c>
      <c r="V28" s="369"/>
      <c r="W28" s="45"/>
      <c r="X28" s="67">
        <v>5</v>
      </c>
      <c r="Y28" s="68">
        <f>'Structural Information'!$Z$7</f>
        <v>40.367000000000004</v>
      </c>
      <c r="Z28" s="68">
        <f t="shared" si="6"/>
        <v>1.2550230814136734</v>
      </c>
      <c r="AA28" s="68">
        <f t="shared" si="7"/>
        <v>18.511590450851681</v>
      </c>
      <c r="AB28" s="66" t="s">
        <v>378</v>
      </c>
    </row>
    <row r="29" spans="2:28" x14ac:dyDescent="0.25">
      <c r="B29" s="72">
        <v>3</v>
      </c>
      <c r="C29" s="133">
        <f>'Frame Capacities'!BT17</f>
        <v>8.5822017391304368E-3</v>
      </c>
      <c r="D29" s="25">
        <f>'Infill Capacities'!CY17</f>
        <v>1.9542049297578846E-3</v>
      </c>
      <c r="E29" s="54" t="e">
        <f>'System Capacities'!Q9</f>
        <v>#N/A</v>
      </c>
      <c r="F29" s="376">
        <f>'System Capacities'!N9</f>
        <v>67.033560210219122</v>
      </c>
      <c r="G29" s="24">
        <f>'System Capacities'!O9</f>
        <v>606.85346160253027</v>
      </c>
      <c r="H29" s="225" t="e">
        <f>'System Capacities'!P9</f>
        <v>#N/A</v>
      </c>
      <c r="J29" s="366">
        <v>4</v>
      </c>
      <c r="K29" s="318">
        <v>3</v>
      </c>
      <c r="L29" s="318">
        <v>11.75</v>
      </c>
      <c r="M29" s="367">
        <v>2.7209178775528045E-2</v>
      </c>
      <c r="N29" s="368">
        <v>5.1280175860167893E-3</v>
      </c>
      <c r="O29" s="368">
        <v>1.7093391953389298E-3</v>
      </c>
      <c r="P29" s="367">
        <v>9.015519176800749E-3</v>
      </c>
      <c r="Q29" s="367">
        <v>2.1092027799242134E-3</v>
      </c>
      <c r="R29" s="68">
        <v>0.18959964055508854</v>
      </c>
      <c r="S29" s="68">
        <v>0.81041956307318574</v>
      </c>
      <c r="T29" s="497">
        <v>452.302097938033</v>
      </c>
      <c r="U29" s="318">
        <v>2779.6869255806014</v>
      </c>
      <c r="V29" s="370" t="s">
        <v>130</v>
      </c>
      <c r="W29" s="45"/>
      <c r="X29" s="67">
        <v>4</v>
      </c>
      <c r="Y29" s="68">
        <f>'Structural Information'!$Z$8</f>
        <v>40.367000000000004</v>
      </c>
      <c r="Z29" s="68">
        <f t="shared" si="6"/>
        <v>1.0983529196317408</v>
      </c>
      <c r="AA29" s="68">
        <f t="shared" si="7"/>
        <v>12.905646805672953</v>
      </c>
      <c r="AB29" s="317">
        <f>T32/M27</f>
        <v>20295.82244727611</v>
      </c>
    </row>
    <row r="30" spans="2:28" x14ac:dyDescent="0.25">
      <c r="B30" s="72">
        <v>2</v>
      </c>
      <c r="C30" s="133">
        <f>'Frame Capacities'!BT18</f>
        <v>6.7523273096129852E-3</v>
      </c>
      <c r="D30" s="25">
        <f>'Infill Capacities'!CY18</f>
        <v>1.8141308521286454E-3</v>
      </c>
      <c r="E30" s="54">
        <f>'System Capacities'!Q10</f>
        <v>0.08</v>
      </c>
      <c r="F30" s="376">
        <f>'System Capacities'!N10</f>
        <v>17.466666666666669</v>
      </c>
      <c r="G30" s="24">
        <f>'System Capacities'!O10</f>
        <v>66.096000000000004</v>
      </c>
      <c r="H30" s="225">
        <f>'System Capacities'!P10</f>
        <v>91.99487743423262</v>
      </c>
      <c r="J30" s="366">
        <v>3</v>
      </c>
      <c r="K30" s="318">
        <v>3</v>
      </c>
      <c r="L30" s="318">
        <v>8.75</v>
      </c>
      <c r="M30" s="367">
        <v>2.2081161189511256E-2</v>
      </c>
      <c r="N30" s="69">
        <v>5.8408656500181649E-3</v>
      </c>
      <c r="O30" s="368">
        <v>1.9469552166727216E-3</v>
      </c>
      <c r="P30" s="367">
        <v>8.5822017391304368E-3</v>
      </c>
      <c r="Q30" s="367">
        <v>1.9542049297578846E-3</v>
      </c>
      <c r="R30" s="318">
        <v>0.22685964229850306</v>
      </c>
      <c r="S30" s="68">
        <v>0.99629019813901443</v>
      </c>
      <c r="T30" s="497">
        <v>561.78813233199958</v>
      </c>
      <c r="U30" s="318">
        <v>4465.0513225765999</v>
      </c>
      <c r="V30" s="371">
        <v>0</v>
      </c>
      <c r="W30" s="45"/>
      <c r="X30" s="67">
        <v>3</v>
      </c>
      <c r="Y30" s="68">
        <f>'Structural Information'!$Z$9</f>
        <v>40.367000000000004</v>
      </c>
      <c r="Z30" s="68">
        <f t="shared" si="6"/>
        <v>0.89135023373700095</v>
      </c>
      <c r="AA30" s="68">
        <f t="shared" si="7"/>
        <v>7.799314545198758</v>
      </c>
      <c r="AB30" s="246" t="s">
        <v>380</v>
      </c>
    </row>
    <row r="31" spans="2:28" x14ac:dyDescent="0.25">
      <c r="B31" s="196">
        <v>1</v>
      </c>
      <c r="C31" s="142">
        <f>'Frame Capacities'!BT19</f>
        <v>5.3120868684138484E-3</v>
      </c>
      <c r="D31" s="102">
        <f>'Infill Capacities'!CY19</f>
        <v>1.780731968888595E-3</v>
      </c>
      <c r="E31" s="174" t="e">
        <f>'System Capacities'!Q11</f>
        <v>#N/A</v>
      </c>
      <c r="F31" s="377">
        <f>'System Capacities'!N11</f>
        <v>200.38802480659299</v>
      </c>
      <c r="G31" s="134">
        <f>'System Capacities'!O11</f>
        <v>618.89103792264314</v>
      </c>
      <c r="H31" s="236" t="e">
        <f>'System Capacities'!P11</f>
        <v>#N/A</v>
      </c>
      <c r="J31" s="366">
        <v>2</v>
      </c>
      <c r="K31" s="318">
        <v>3</v>
      </c>
      <c r="L31" s="318">
        <v>5.75</v>
      </c>
      <c r="M31" s="367">
        <v>1.6240295539493091E-2</v>
      </c>
      <c r="N31" s="69">
        <v>8.6243644067185467E-3</v>
      </c>
      <c r="O31" s="368">
        <v>2.874788135572849E-3</v>
      </c>
      <c r="P31" s="367">
        <v>6.7523273096129852E-3</v>
      </c>
      <c r="Q31" s="367">
        <v>1.8141308521286454E-3</v>
      </c>
      <c r="R31" s="68">
        <v>0.42574774648144531</v>
      </c>
      <c r="S31" s="68">
        <v>1.5846641559508572</v>
      </c>
      <c r="T31" s="497">
        <v>645.16447341698995</v>
      </c>
      <c r="U31" s="318">
        <v>6400.5447428275693</v>
      </c>
      <c r="V31" s="369"/>
      <c r="W31" s="45"/>
      <c r="X31" s="67">
        <v>2</v>
      </c>
      <c r="Y31" s="68">
        <f>'Structural Information'!$Z$10</f>
        <v>40.367000000000004</v>
      </c>
      <c r="Z31" s="68">
        <f t="shared" si="6"/>
        <v>0.6555720100427177</v>
      </c>
      <c r="AA31" s="68">
        <f t="shared" si="7"/>
        <v>3.7695390577456269</v>
      </c>
      <c r="AB31" s="68">
        <f>(('Structural Information'!$Z$6*M27+'Structural Information'!$Z$7*M28+'Structural Information'!$Z$8*M29+'Structural Information'!$Z$9*M30+'Structural Information'!$Z$10*M31+'Structural Information'!$Z$11*M32)^2)/('Structural Information'!$Z$6*M27*M27+'Structural Information'!$Z$7*M28*M28+'Structural Information'!$Z$8*M29*M29+'Structural Information'!$Z$9*M30*M30+'Structural Information'!$Z$10*M31*M31+'Structural Information'!$Z$11*M32*M32)</f>
        <v>207.99823668581985</v>
      </c>
    </row>
    <row r="32" spans="2:28" x14ac:dyDescent="0.25">
      <c r="J32" s="366">
        <v>1</v>
      </c>
      <c r="K32" s="318">
        <v>2.75</v>
      </c>
      <c r="L32" s="318">
        <v>2.75</v>
      </c>
      <c r="M32" s="367">
        <v>7.6159311327745442E-3</v>
      </c>
      <c r="N32" s="69">
        <v>7.6159311327745442E-3</v>
      </c>
      <c r="O32" s="368">
        <v>2.7694295028271071E-3</v>
      </c>
      <c r="P32" s="367">
        <v>5.3120868684138484E-3</v>
      </c>
      <c r="Q32" s="367">
        <v>1.780731968888595E-3</v>
      </c>
      <c r="R32" s="68">
        <v>0.52134491988344289</v>
      </c>
      <c r="S32" s="68">
        <v>1.5552197361602857</v>
      </c>
      <c r="T32" s="497">
        <v>683.49353774494875</v>
      </c>
      <c r="U32" s="318">
        <v>8280.1519716261791</v>
      </c>
      <c r="V32" s="372"/>
      <c r="W32" s="45"/>
      <c r="X32" s="67">
        <v>1</v>
      </c>
      <c r="Y32" s="68">
        <f>'Structural Information'!$Z$11</f>
        <v>40.367000000000004</v>
      </c>
      <c r="Z32" s="68">
        <f t="shared" si="6"/>
        <v>0.30743229203671008</v>
      </c>
      <c r="AA32" s="68">
        <f t="shared" si="7"/>
        <v>0.84543880310095276</v>
      </c>
      <c r="AB32" s="66" t="s">
        <v>379</v>
      </c>
    </row>
    <row r="33" spans="2:28" x14ac:dyDescent="0.25">
      <c r="X33" s="373"/>
      <c r="Y33" s="66" t="s">
        <v>95</v>
      </c>
      <c r="Z33" s="374">
        <f>SUM(Z27:Z32)</f>
        <v>5.4822065826460342</v>
      </c>
      <c r="AA33" s="374">
        <f>SUM(AA27:AA32)</f>
        <v>66.453479475239362</v>
      </c>
      <c r="AB33" s="317">
        <f>2*PI()*SQRT(AB31/AB29)</f>
        <v>0.636072130693489</v>
      </c>
    </row>
    <row r="35" spans="2:28" ht="15.75" customHeight="1" x14ac:dyDescent="0.25">
      <c r="B35" s="640" t="s">
        <v>242</v>
      </c>
      <c r="C35" s="640"/>
      <c r="D35" s="640"/>
      <c r="E35" s="927" t="s">
        <v>240</v>
      </c>
      <c r="F35" s="927"/>
      <c r="G35" s="927"/>
      <c r="H35" s="355"/>
      <c r="J35" s="914" t="s">
        <v>127</v>
      </c>
      <c r="K35" s="914"/>
      <c r="L35" s="914"/>
      <c r="M35" s="914"/>
      <c r="N35" s="914"/>
      <c r="O35" s="914"/>
      <c r="P35" s="914"/>
      <c r="Q35" s="914"/>
      <c r="R35" s="914"/>
      <c r="S35" s="914"/>
      <c r="T35" s="914"/>
      <c r="U35" s="914"/>
      <c r="V35" s="914"/>
      <c r="X35" s="915" t="s">
        <v>124</v>
      </c>
      <c r="Y35" s="915"/>
      <c r="Z35" s="915"/>
      <c r="AA35" s="915"/>
      <c r="AB35" s="915"/>
    </row>
    <row r="36" spans="2:28" ht="15" customHeight="1" x14ac:dyDescent="0.25">
      <c r="B36" s="66" t="s">
        <v>131</v>
      </c>
      <c r="C36" s="378" t="s">
        <v>96</v>
      </c>
      <c r="D36" s="66" t="s">
        <v>132</v>
      </c>
      <c r="E36" s="379" t="s">
        <v>241</v>
      </c>
      <c r="F36" s="379" t="s">
        <v>471</v>
      </c>
      <c r="G36" s="66" t="s">
        <v>243</v>
      </c>
      <c r="H36" s="14"/>
      <c r="J36" s="580" t="s">
        <v>9</v>
      </c>
      <c r="K36" s="582" t="s">
        <v>3</v>
      </c>
      <c r="L36" s="582" t="s">
        <v>89</v>
      </c>
      <c r="M36" s="580" t="s">
        <v>91</v>
      </c>
      <c r="N36" s="580" t="s">
        <v>98</v>
      </c>
      <c r="O36" s="582" t="s">
        <v>119</v>
      </c>
      <c r="P36" s="582" t="s">
        <v>284</v>
      </c>
      <c r="Q36" s="582" t="s">
        <v>285</v>
      </c>
      <c r="R36" s="580" t="s">
        <v>452</v>
      </c>
      <c r="S36" s="580" t="s">
        <v>453</v>
      </c>
      <c r="T36" s="580" t="s">
        <v>92</v>
      </c>
      <c r="U36" s="582" t="s">
        <v>120</v>
      </c>
      <c r="V36" s="580" t="s">
        <v>96</v>
      </c>
      <c r="X36" s="580" t="s">
        <v>9</v>
      </c>
      <c r="Y36" s="913" t="s">
        <v>93</v>
      </c>
      <c r="Z36" s="913" t="s">
        <v>94</v>
      </c>
      <c r="AA36" s="913" t="s">
        <v>122</v>
      </c>
      <c r="AB36" s="582" t="s">
        <v>123</v>
      </c>
    </row>
    <row r="37" spans="2:28" x14ac:dyDescent="0.25">
      <c r="B37" s="380">
        <v>0</v>
      </c>
      <c r="C37" s="25">
        <v>0</v>
      </c>
      <c r="D37" s="381">
        <v>0</v>
      </c>
      <c r="E37" s="18" t="s">
        <v>239</v>
      </c>
      <c r="F37" s="382">
        <v>14540.612544395273</v>
      </c>
      <c r="G37" s="225" t="s">
        <v>239</v>
      </c>
      <c r="H37" s="17"/>
      <c r="J37" s="580"/>
      <c r="K37" s="582"/>
      <c r="L37" s="582"/>
      <c r="M37" s="580"/>
      <c r="N37" s="580"/>
      <c r="O37" s="582"/>
      <c r="P37" s="582"/>
      <c r="Q37" s="582"/>
      <c r="R37" s="580"/>
      <c r="S37" s="580"/>
      <c r="T37" s="580"/>
      <c r="U37" s="582"/>
      <c r="V37" s="580"/>
      <c r="X37" s="580"/>
      <c r="Y37" s="913"/>
      <c r="Z37" s="913"/>
      <c r="AA37" s="913"/>
      <c r="AB37" s="582"/>
    </row>
    <row r="38" spans="2:28" x14ac:dyDescent="0.25">
      <c r="B38" s="380">
        <v>1</v>
      </c>
      <c r="C38" s="17">
        <f>V5*-1</f>
        <v>-596.65348693088583</v>
      </c>
      <c r="D38" s="383">
        <f>M5</f>
        <v>2.6199995195363E-2</v>
      </c>
      <c r="E38" s="18">
        <f>((C38-C37)/(D38-D37))*-1</f>
        <v>22773.038028514005</v>
      </c>
      <c r="F38" s="382">
        <v>10115.68412492559</v>
      </c>
      <c r="G38" s="225">
        <f>((F38-E38)/F38)*100</f>
        <v>-125.12602951292256</v>
      </c>
      <c r="H38" s="17"/>
      <c r="J38" s="366">
        <v>6</v>
      </c>
      <c r="K38" s="318">
        <v>3</v>
      </c>
      <c r="L38" s="318">
        <v>17.75</v>
      </c>
      <c r="M38" s="367">
        <v>5.0996640018404815E-2</v>
      </c>
      <c r="N38" s="69">
        <v>2.9719685106452121E-3</v>
      </c>
      <c r="O38" s="368">
        <v>9.9065617021507069E-4</v>
      </c>
      <c r="P38" s="367">
        <v>8.3119145368492249E-3</v>
      </c>
      <c r="Q38" s="367">
        <v>3.0605372788564604E-3</v>
      </c>
      <c r="R38" s="68">
        <v>0.11918507653359439</v>
      </c>
      <c r="S38" s="68">
        <v>0.32368701308066394</v>
      </c>
      <c r="T38" s="497">
        <v>182.59385741026242</v>
      </c>
      <c r="U38" s="318">
        <v>547.78157223078722</v>
      </c>
      <c r="V38" s="68">
        <v>820.94350536051127</v>
      </c>
      <c r="X38" s="67">
        <v>6</v>
      </c>
      <c r="Y38" s="68">
        <f>'Structural Information'!$Z$6</f>
        <v>37.8446</v>
      </c>
      <c r="Z38" s="68">
        <f t="shared" ref="Z38:Z43" si="8">Y38*M38</f>
        <v>1.9299474428405228</v>
      </c>
      <c r="AA38" s="68">
        <f t="shared" ref="AA38:AA43" si="9">Z38*L38</f>
        <v>34.256567110419276</v>
      </c>
      <c r="AB38" s="68">
        <f>AA44/Z44</f>
        <v>12.001779830688829</v>
      </c>
    </row>
    <row r="39" spans="2:28" x14ac:dyDescent="0.25">
      <c r="B39" s="380">
        <v>2</v>
      </c>
      <c r="C39" s="24">
        <f>V16*-1</f>
        <v>-603.30179215942894</v>
      </c>
      <c r="D39" s="381">
        <f>M16</f>
        <v>2.6599712598064821E-2</v>
      </c>
      <c r="E39" s="18">
        <f>((C39-C38)/(D39-D38))*-1</f>
        <v>16632.513830033517</v>
      </c>
      <c r="G39" s="384"/>
      <c r="H39" s="17"/>
      <c r="J39" s="366">
        <v>5</v>
      </c>
      <c r="K39" s="318">
        <v>3</v>
      </c>
      <c r="L39" s="318">
        <v>14.75</v>
      </c>
      <c r="M39" s="367">
        <v>4.8024671507759603E-2</v>
      </c>
      <c r="N39" s="69">
        <v>4.5043923194906799E-3</v>
      </c>
      <c r="O39" s="368">
        <v>1.5014641064968932E-3</v>
      </c>
      <c r="P39" s="367">
        <v>9.597600000000003E-3</v>
      </c>
      <c r="Q39" s="367">
        <v>2.281598782064713E-3</v>
      </c>
      <c r="R39" s="68">
        <v>0.15644162149880103</v>
      </c>
      <c r="S39" s="68">
        <v>0.65807543302515104</v>
      </c>
      <c r="T39" s="497">
        <v>366.00746737671915</v>
      </c>
      <c r="U39" s="318">
        <v>1645.8039743609447</v>
      </c>
      <c r="V39" s="369"/>
      <c r="X39" s="67">
        <v>5</v>
      </c>
      <c r="Y39" s="68">
        <f>'Structural Information'!$Z$7</f>
        <v>40.367000000000004</v>
      </c>
      <c r="Z39" s="68">
        <f t="shared" si="8"/>
        <v>1.9386119147537322</v>
      </c>
      <c r="AA39" s="68">
        <f t="shared" si="9"/>
        <v>28.594525742617549</v>
      </c>
      <c r="AB39" s="66" t="s">
        <v>378</v>
      </c>
    </row>
    <row r="40" spans="2:28" x14ac:dyDescent="0.25">
      <c r="B40" s="380">
        <v>3</v>
      </c>
      <c r="C40" s="17">
        <f>V27*-1</f>
        <v>-683.08693544139021</v>
      </c>
      <c r="D40" s="383">
        <f>M27</f>
        <v>3.3676562727157675E-2</v>
      </c>
      <c r="E40" s="18">
        <f>((C40-C39)/(D40-D39))*-1</f>
        <v>11274.103849389916</v>
      </c>
      <c r="F40" s="17"/>
      <c r="G40" s="225"/>
      <c r="H40" s="17"/>
      <c r="J40" s="366">
        <v>4</v>
      </c>
      <c r="K40" s="318">
        <v>3</v>
      </c>
      <c r="L40" s="318">
        <v>11.75</v>
      </c>
      <c r="M40" s="367">
        <v>4.3520279188268923E-2</v>
      </c>
      <c r="N40" s="368">
        <v>6.0340728908332142E-3</v>
      </c>
      <c r="O40" s="368">
        <v>2.0113576302777381E-3</v>
      </c>
      <c r="P40" s="367">
        <v>9.015519176800749E-3</v>
      </c>
      <c r="Q40" s="367">
        <v>2.1092027799242134E-3</v>
      </c>
      <c r="R40" s="68">
        <v>0.22309947889118564</v>
      </c>
      <c r="S40" s="68">
        <v>0.95361036379347508</v>
      </c>
      <c r="T40" s="497">
        <v>532.21810999185959</v>
      </c>
      <c r="U40" s="318">
        <v>3242.4583043365237</v>
      </c>
      <c r="V40" s="370" t="s">
        <v>130</v>
      </c>
      <c r="X40" s="67">
        <v>4</v>
      </c>
      <c r="Y40" s="68">
        <f>'Structural Information'!$Z$8</f>
        <v>40.367000000000004</v>
      </c>
      <c r="Z40" s="68">
        <f t="shared" si="8"/>
        <v>1.7567831099928519</v>
      </c>
      <c r="AA40" s="68">
        <f t="shared" si="9"/>
        <v>20.642201542416011</v>
      </c>
      <c r="AB40" s="317">
        <f>T43/M38</f>
        <v>16097.99204537562</v>
      </c>
    </row>
    <row r="41" spans="2:28" x14ac:dyDescent="0.25">
      <c r="B41" s="380">
        <v>4</v>
      </c>
      <c r="C41" s="17">
        <f>V38*-1</f>
        <v>-820.94350536051127</v>
      </c>
      <c r="D41" s="383">
        <f>M38</f>
        <v>5.0996640018404815E-2</v>
      </c>
      <c r="E41" s="929">
        <f>((C42-C40)/(D42-D40))*-1</f>
        <v>1412.4186700451673</v>
      </c>
      <c r="F41" s="930">
        <v>3156.8759663787373</v>
      </c>
      <c r="G41" s="931" t="e">
        <f>((#REF!-E41)/#REF!)*100</f>
        <v>#REF!</v>
      </c>
      <c r="J41" s="366">
        <v>3</v>
      </c>
      <c r="K41" s="318">
        <v>3</v>
      </c>
      <c r="L41" s="318">
        <v>8.75</v>
      </c>
      <c r="M41" s="367">
        <v>3.7486206297435709E-2</v>
      </c>
      <c r="N41" s="69">
        <v>1.1265035120108732E-2</v>
      </c>
      <c r="O41" s="368">
        <v>3.7550117067029105E-3</v>
      </c>
      <c r="P41" s="367">
        <v>8.5822017391304368E-3</v>
      </c>
      <c r="Q41" s="367">
        <v>1.9542049297578846E-3</v>
      </c>
      <c r="R41" s="318">
        <v>0.43753477497295173</v>
      </c>
      <c r="S41" s="68">
        <v>1.9215035483346858</v>
      </c>
      <c r="T41" s="497">
        <v>675.38369978424157</v>
      </c>
      <c r="U41" s="318">
        <v>5268.6094036892482</v>
      </c>
      <c r="V41" s="371">
        <v>0</v>
      </c>
      <c r="X41" s="67">
        <v>3</v>
      </c>
      <c r="Y41" s="68">
        <f>'Structural Information'!$Z$9</f>
        <v>40.367000000000004</v>
      </c>
      <c r="Z41" s="68">
        <f t="shared" si="8"/>
        <v>1.5132056896085875</v>
      </c>
      <c r="AA41" s="68">
        <f t="shared" si="9"/>
        <v>13.24054978407514</v>
      </c>
      <c r="AB41" s="246" t="s">
        <v>380</v>
      </c>
    </row>
    <row r="42" spans="2:28" x14ac:dyDescent="0.25">
      <c r="B42" s="380">
        <v>5</v>
      </c>
      <c r="C42" s="17">
        <f>V49*-1</f>
        <v>-710.36818550742998</v>
      </c>
      <c r="D42" s="383">
        <f>M49</f>
        <v>5.2991834214731082E-2</v>
      </c>
      <c r="E42" s="929"/>
      <c r="F42" s="930"/>
      <c r="G42" s="931"/>
      <c r="H42" s="17"/>
      <c r="J42" s="366">
        <v>2</v>
      </c>
      <c r="K42" s="318">
        <v>3</v>
      </c>
      <c r="L42" s="318">
        <v>5.75</v>
      </c>
      <c r="M42" s="367">
        <v>2.6221171177326977E-2</v>
      </c>
      <c r="N42" s="69">
        <v>1.4329239139855737E-2</v>
      </c>
      <c r="O42" s="368">
        <v>4.776413046618579E-3</v>
      </c>
      <c r="P42" s="367">
        <v>6.7523273096129852E-3</v>
      </c>
      <c r="Q42" s="367">
        <v>1.8141308521286454E-3</v>
      </c>
      <c r="R42" s="68">
        <v>0.70737285495900271</v>
      </c>
      <c r="S42" s="68">
        <v>2.6328933444983216</v>
      </c>
      <c r="T42" s="497">
        <v>775.52638711643954</v>
      </c>
      <c r="U42" s="318">
        <v>7595.1885650385666</v>
      </c>
      <c r="V42" s="369"/>
      <c r="X42" s="67">
        <v>2</v>
      </c>
      <c r="Y42" s="68">
        <f>'Structural Information'!$Z$10</f>
        <v>40.367000000000004</v>
      </c>
      <c r="Z42" s="68">
        <f t="shared" si="8"/>
        <v>1.0584700169151582</v>
      </c>
      <c r="AA42" s="68">
        <f t="shared" si="9"/>
        <v>6.0862025972621598</v>
      </c>
      <c r="AB42" s="68">
        <f>(('Structural Information'!$Z$6*M38+'Structural Information'!$Z$7*M39+'Structural Information'!$Z$8*M40+'Structural Information'!$Z$9*M41+'Structural Information'!$Z$10*M42+'Structural Information'!$Z$11*M43)^2)/('Structural Information'!$Z$6*M38*M38+'Structural Information'!$Z$7*M39*M39+'Structural Information'!$Z$8*M40*M40+'Structural Information'!$Z$9*M41*M41+'Structural Information'!$Z$10*M42*M42+'Structural Information'!$Z$11*M43*M43)</f>
        <v>210.2141858870319</v>
      </c>
    </row>
    <row r="43" spans="2:28" x14ac:dyDescent="0.25">
      <c r="B43" s="380">
        <v>6</v>
      </c>
      <c r="C43" s="17">
        <f>V60*-1</f>
        <v>-243.37710888610809</v>
      </c>
      <c r="D43" s="383">
        <f>M60</f>
        <v>5.5595061081949393E-2</v>
      </c>
      <c r="E43" s="18">
        <f>((C43-C42)/(D43-D42))*-1</f>
        <v>-179389.3119735381</v>
      </c>
      <c r="F43" s="17"/>
      <c r="G43" s="225"/>
      <c r="H43" s="17"/>
      <c r="J43" s="366">
        <v>1</v>
      </c>
      <c r="K43" s="318">
        <v>2.75</v>
      </c>
      <c r="L43" s="318">
        <v>2.75</v>
      </c>
      <c r="M43" s="367">
        <v>1.1891932037471241E-2</v>
      </c>
      <c r="N43" s="69">
        <v>1.1891932037471241E-2</v>
      </c>
      <c r="O43" s="368">
        <v>4.3243389227168149E-3</v>
      </c>
      <c r="P43" s="367">
        <v>5.3120868684138484E-3</v>
      </c>
      <c r="Q43" s="367">
        <v>1.780731968888595E-3</v>
      </c>
      <c r="R43" s="68">
        <v>0.81405651485666164</v>
      </c>
      <c r="S43" s="68">
        <v>2.4284052840449406</v>
      </c>
      <c r="T43" s="497">
        <v>820.94350535716478</v>
      </c>
      <c r="U43" s="318">
        <v>9852.7832047707707</v>
      </c>
      <c r="V43" s="372"/>
      <c r="X43" s="67">
        <v>1</v>
      </c>
      <c r="Y43" s="68">
        <f>'Structural Information'!$Z$11</f>
        <v>40.367000000000004</v>
      </c>
      <c r="Z43" s="68">
        <f t="shared" si="8"/>
        <v>0.4800416205566016</v>
      </c>
      <c r="AA43" s="68">
        <f t="shared" si="9"/>
        <v>1.3201144565306544</v>
      </c>
      <c r="AB43" s="66" t="s">
        <v>379</v>
      </c>
    </row>
    <row r="44" spans="2:28" x14ac:dyDescent="0.25">
      <c r="B44" s="380">
        <v>7</v>
      </c>
      <c r="C44" s="17">
        <f>V71*-1</f>
        <v>-246.01670541714887</v>
      </c>
      <c r="D44" s="383">
        <f>M71</f>
        <v>7.3984019950715157E-2</v>
      </c>
      <c r="E44" s="18">
        <f t="shared" ref="E44:E47" si="10">((C44-C43)/(D44-D43))*-1</f>
        <v>143.54246751425495</v>
      </c>
      <c r="G44" s="384"/>
      <c r="X44" s="373"/>
      <c r="Y44" s="66" t="s">
        <v>95</v>
      </c>
      <c r="Z44" s="374">
        <f>SUM(Z38:Z43)</f>
        <v>8.6770597946674535</v>
      </c>
      <c r="AA44" s="374">
        <f>SUM(AA38:AA43)</f>
        <v>104.1401612333208</v>
      </c>
      <c r="AB44" s="317">
        <f>2*PI()*SQRT(AB42/AB40)</f>
        <v>0.71800095885560433</v>
      </c>
    </row>
    <row r="45" spans="2:28" x14ac:dyDescent="0.25">
      <c r="B45" s="380">
        <v>8</v>
      </c>
      <c r="C45" s="17">
        <f>V82*-1</f>
        <v>-208.82053587812428</v>
      </c>
      <c r="D45" s="383">
        <f>M82</f>
        <v>0.11566887864649333</v>
      </c>
      <c r="E45" s="18">
        <f t="shared" si="10"/>
        <v>-892.31847492844702</v>
      </c>
      <c r="G45" s="384"/>
    </row>
    <row r="46" spans="2:28" x14ac:dyDescent="0.25">
      <c r="B46" s="380">
        <v>9</v>
      </c>
      <c r="C46" s="17">
        <f>V93*-1</f>
        <v>-136.56743632304389</v>
      </c>
      <c r="D46" s="383">
        <f>M93</f>
        <v>0.19995986072668318</v>
      </c>
      <c r="E46" s="18">
        <f t="shared" si="10"/>
        <v>-857.18659068822717</v>
      </c>
      <c r="G46" s="384"/>
      <c r="J46" s="919" t="s">
        <v>128</v>
      </c>
      <c r="K46" s="920"/>
      <c r="L46" s="920"/>
      <c r="M46" s="920"/>
      <c r="N46" s="920"/>
      <c r="O46" s="920"/>
      <c r="P46" s="920"/>
      <c r="Q46" s="920"/>
      <c r="R46" s="920"/>
      <c r="S46" s="920"/>
      <c r="T46" s="920"/>
      <c r="U46" s="920"/>
      <c r="V46" s="921"/>
      <c r="X46" s="914" t="s">
        <v>124</v>
      </c>
      <c r="Y46" s="914"/>
      <c r="Z46" s="914"/>
      <c r="AA46" s="914"/>
      <c r="AB46" s="914"/>
    </row>
    <row r="47" spans="2:28" ht="15" customHeight="1" x14ac:dyDescent="0.25">
      <c r="B47" s="380">
        <v>10</v>
      </c>
      <c r="C47" s="17">
        <f>V104*-1</f>
        <v>-136.56743632304389</v>
      </c>
      <c r="D47" s="383">
        <f>M104</f>
        <v>0.19995986072668318</v>
      </c>
      <c r="E47" s="18" t="e">
        <f t="shared" si="10"/>
        <v>#DIV/0!</v>
      </c>
      <c r="G47" s="384"/>
      <c r="J47" s="580" t="s">
        <v>9</v>
      </c>
      <c r="K47" s="582" t="s">
        <v>3</v>
      </c>
      <c r="L47" s="582" t="s">
        <v>89</v>
      </c>
      <c r="M47" s="580" t="s">
        <v>91</v>
      </c>
      <c r="N47" s="580" t="s">
        <v>98</v>
      </c>
      <c r="O47" s="582" t="s">
        <v>119</v>
      </c>
      <c r="P47" s="582" t="s">
        <v>284</v>
      </c>
      <c r="Q47" s="582" t="s">
        <v>285</v>
      </c>
      <c r="R47" s="580" t="s">
        <v>452</v>
      </c>
      <c r="S47" s="580" t="s">
        <v>453</v>
      </c>
      <c r="T47" s="580" t="s">
        <v>92</v>
      </c>
      <c r="U47" s="582" t="s">
        <v>120</v>
      </c>
      <c r="V47" s="580" t="s">
        <v>96</v>
      </c>
      <c r="X47" s="580" t="s">
        <v>9</v>
      </c>
      <c r="Y47" s="913" t="s">
        <v>93</v>
      </c>
      <c r="Z47" s="913" t="s">
        <v>94</v>
      </c>
      <c r="AA47" s="913" t="s">
        <v>122</v>
      </c>
      <c r="AB47" s="582" t="s">
        <v>123</v>
      </c>
    </row>
    <row r="48" spans="2:28" x14ac:dyDescent="0.25">
      <c r="B48" s="380">
        <v>11</v>
      </c>
      <c r="C48" s="17">
        <f>V115*-1</f>
        <v>-136.56743632304389</v>
      </c>
      <c r="D48" s="383">
        <f>M115</f>
        <v>0.19995986072668318</v>
      </c>
      <c r="E48" s="18" t="e">
        <f t="shared" ref="E48:E57" si="11">((C48-C47)/(D48-D47))*-1</f>
        <v>#DIV/0!</v>
      </c>
      <c r="G48" s="384"/>
      <c r="J48" s="580"/>
      <c r="K48" s="582"/>
      <c r="L48" s="582"/>
      <c r="M48" s="580"/>
      <c r="N48" s="580"/>
      <c r="O48" s="582"/>
      <c r="P48" s="582"/>
      <c r="Q48" s="582"/>
      <c r="R48" s="580"/>
      <c r="S48" s="580"/>
      <c r="T48" s="580"/>
      <c r="U48" s="582"/>
      <c r="V48" s="580"/>
      <c r="X48" s="580"/>
      <c r="Y48" s="913"/>
      <c r="Z48" s="913"/>
      <c r="AA48" s="913"/>
      <c r="AB48" s="582"/>
    </row>
    <row r="49" spans="2:28" x14ac:dyDescent="0.25">
      <c r="B49" s="380">
        <v>12</v>
      </c>
      <c r="C49" s="17">
        <f>V126*-1</f>
        <v>-136.56743632304389</v>
      </c>
      <c r="D49" s="383">
        <f>M126</f>
        <v>0.19995986072668318</v>
      </c>
      <c r="E49" s="18" t="e">
        <f t="shared" si="11"/>
        <v>#DIV/0!</v>
      </c>
      <c r="G49" s="384"/>
      <c r="J49" s="366">
        <v>6</v>
      </c>
      <c r="K49" s="318">
        <v>3</v>
      </c>
      <c r="L49" s="318">
        <v>17.75</v>
      </c>
      <c r="M49" s="367">
        <v>5.2991834214731082E-2</v>
      </c>
      <c r="N49" s="69">
        <v>2.4901937877773381E-3</v>
      </c>
      <c r="O49" s="368">
        <v>8.3006459592577936E-4</v>
      </c>
      <c r="P49" s="367">
        <v>8.3119145368492249E-3</v>
      </c>
      <c r="Q49" s="367">
        <v>3.0605372788564604E-3</v>
      </c>
      <c r="R49" s="68">
        <v>9.986442861579635E-2</v>
      </c>
      <c r="S49" s="68">
        <v>0.27121531949969413</v>
      </c>
      <c r="T49" s="497">
        <v>152.99424868758902</v>
      </c>
      <c r="U49" s="318">
        <v>458.98274606276709</v>
      </c>
      <c r="V49" s="68">
        <v>710.36818550742998</v>
      </c>
      <c r="X49" s="67">
        <v>6</v>
      </c>
      <c r="Y49" s="68">
        <f>'Structural Information'!$Z$6</f>
        <v>37.8446</v>
      </c>
      <c r="Z49" s="68">
        <f t="shared" ref="Z49:Z54" si="12">Y49*M49</f>
        <v>2.005454769122812</v>
      </c>
      <c r="AA49" s="68">
        <f t="shared" ref="AA49:AA54" si="13">Z49*L49</f>
        <v>35.596822151929914</v>
      </c>
      <c r="AB49" s="68">
        <f>AA55/Z55</f>
        <v>11.915508005512232</v>
      </c>
    </row>
    <row r="50" spans="2:28" x14ac:dyDescent="0.25">
      <c r="B50" s="380">
        <v>13</v>
      </c>
      <c r="C50" s="17">
        <f>V137*-1</f>
        <v>-136.56743632304389</v>
      </c>
      <c r="D50" s="383">
        <f>M137</f>
        <v>0.19995986072668318</v>
      </c>
      <c r="E50" s="18" t="e">
        <f t="shared" si="11"/>
        <v>#DIV/0!</v>
      </c>
      <c r="G50" s="384"/>
      <c r="J50" s="366">
        <v>5</v>
      </c>
      <c r="K50" s="318">
        <v>3</v>
      </c>
      <c r="L50" s="318">
        <v>14.75</v>
      </c>
      <c r="M50" s="367">
        <v>5.0501640426953744E-2</v>
      </c>
      <c r="N50" s="69">
        <v>3.7968679706622752E-3</v>
      </c>
      <c r="O50" s="368">
        <v>1.265622656887425E-3</v>
      </c>
      <c r="P50" s="367">
        <v>9.597600000000003E-3</v>
      </c>
      <c r="Q50" s="367">
        <v>2.281598782064713E-3</v>
      </c>
      <c r="R50" s="68">
        <v>0.13186866059092112</v>
      </c>
      <c r="S50" s="68">
        <v>0.55470868359340142</v>
      </c>
      <c r="T50" s="497">
        <v>308.5170942798818</v>
      </c>
      <c r="U50" s="318">
        <v>1384.5340289024125</v>
      </c>
      <c r="V50" s="369"/>
      <c r="X50" s="67">
        <v>5</v>
      </c>
      <c r="Y50" s="68">
        <f>'Structural Information'!$Z$7</f>
        <v>40.367000000000004</v>
      </c>
      <c r="Z50" s="68">
        <f t="shared" si="12"/>
        <v>2.0385997191148419</v>
      </c>
      <c r="AA50" s="68">
        <f t="shared" si="13"/>
        <v>30.069345856943919</v>
      </c>
      <c r="AB50" s="66" t="s">
        <v>378</v>
      </c>
    </row>
    <row r="51" spans="2:28" x14ac:dyDescent="0.25">
      <c r="B51" s="380">
        <v>14</v>
      </c>
      <c r="C51" s="17">
        <f>V148*-1</f>
        <v>-136.56743632304389</v>
      </c>
      <c r="D51" s="383">
        <f>M148</f>
        <v>0.19995986072668318</v>
      </c>
      <c r="E51" s="18" t="e">
        <f t="shared" si="11"/>
        <v>#DIV/0!</v>
      </c>
      <c r="G51" s="384"/>
      <c r="J51" s="366">
        <v>4</v>
      </c>
      <c r="K51" s="318">
        <v>3</v>
      </c>
      <c r="L51" s="318">
        <v>11.75</v>
      </c>
      <c r="M51" s="367">
        <v>4.6704772456291468E-2</v>
      </c>
      <c r="N51" s="368">
        <v>5.1285295710049791E-3</v>
      </c>
      <c r="O51" s="368">
        <v>1.7095098570016596E-3</v>
      </c>
      <c r="P51" s="367">
        <v>9.015519176800749E-3</v>
      </c>
      <c r="Q51" s="367">
        <v>2.1092027799242134E-3</v>
      </c>
      <c r="R51" s="68">
        <v>0.18961857032046123</v>
      </c>
      <c r="S51" s="68">
        <v>0.81050047594906194</v>
      </c>
      <c r="T51" s="497">
        <v>452.34725610693278</v>
      </c>
      <c r="U51" s="318">
        <v>2741.5757972232109</v>
      </c>
      <c r="V51" s="370" t="s">
        <v>130</v>
      </c>
      <c r="X51" s="67">
        <v>4</v>
      </c>
      <c r="Y51" s="68">
        <f>'Structural Information'!$Z$8</f>
        <v>40.367000000000004</v>
      </c>
      <c r="Z51" s="68">
        <f t="shared" si="12"/>
        <v>1.885331549743118</v>
      </c>
      <c r="AA51" s="68">
        <f t="shared" si="13"/>
        <v>22.152645709481636</v>
      </c>
      <c r="AB51" s="317">
        <f>T54/M49</f>
        <v>13410.756879185437</v>
      </c>
    </row>
    <row r="52" spans="2:28" x14ac:dyDescent="0.25">
      <c r="B52" s="380">
        <v>15</v>
      </c>
      <c r="C52" s="17">
        <f>V159*-1</f>
        <v>-136.56743632304389</v>
      </c>
      <c r="D52" s="383">
        <f>M159</f>
        <v>0.19995986072668318</v>
      </c>
      <c r="E52" s="18" t="e">
        <f t="shared" si="11"/>
        <v>#DIV/0!</v>
      </c>
      <c r="G52" s="384"/>
      <c r="J52" s="366">
        <v>3</v>
      </c>
      <c r="K52" s="318">
        <v>3</v>
      </c>
      <c r="L52" s="318">
        <v>8.75</v>
      </c>
      <c r="M52" s="367">
        <v>4.1576242885286489E-2</v>
      </c>
      <c r="N52" s="69">
        <v>1.0220374782339975E-2</v>
      </c>
      <c r="O52" s="368">
        <v>3.4067915941133251E-3</v>
      </c>
      <c r="P52" s="367">
        <v>8.5822017391304368E-3</v>
      </c>
      <c r="Q52" s="367">
        <v>1.9542049297578846E-3</v>
      </c>
      <c r="R52" s="318">
        <v>0.39696009225466039</v>
      </c>
      <c r="S52" s="68">
        <v>1.7433133763179116</v>
      </c>
      <c r="T52" s="497">
        <v>580.38380200693803</v>
      </c>
      <c r="U52" s="318">
        <v>4482.7272032440251</v>
      </c>
      <c r="V52" s="371">
        <v>0</v>
      </c>
      <c r="X52" s="67">
        <v>3</v>
      </c>
      <c r="Y52" s="68">
        <f>'Structural Information'!$Z$9</f>
        <v>40.367000000000004</v>
      </c>
      <c r="Z52" s="68">
        <f t="shared" si="12"/>
        <v>1.6783081965503599</v>
      </c>
      <c r="AA52" s="68">
        <f t="shared" si="13"/>
        <v>14.685196719815648</v>
      </c>
      <c r="AB52" s="246" t="s">
        <v>380</v>
      </c>
    </row>
    <row r="53" spans="2:28" x14ac:dyDescent="0.25">
      <c r="B53" s="380">
        <v>16</v>
      </c>
      <c r="C53" s="17">
        <f>V170*-1</f>
        <v>-136.56743632304389</v>
      </c>
      <c r="D53" s="383">
        <f>M170</f>
        <v>0.19995986072668318</v>
      </c>
      <c r="E53" s="18" t="e">
        <f t="shared" si="11"/>
        <v>#DIV/0!</v>
      </c>
      <c r="G53" s="384"/>
      <c r="J53" s="366">
        <v>2</v>
      </c>
      <c r="K53" s="318">
        <v>3</v>
      </c>
      <c r="L53" s="318">
        <v>5.75</v>
      </c>
      <c r="M53" s="367">
        <v>3.1355868102946514E-2</v>
      </c>
      <c r="N53" s="69">
        <v>2.0408033186633576E-2</v>
      </c>
      <c r="O53" s="368">
        <v>6.8026777288778583E-3</v>
      </c>
      <c r="P53" s="367">
        <v>6.7523273096129852E-3</v>
      </c>
      <c r="Q53" s="367">
        <v>1.8141308521286454E-3</v>
      </c>
      <c r="R53" s="68">
        <v>1.0074567503848919</v>
      </c>
      <c r="S53" s="68">
        <v>3.7498274839964303</v>
      </c>
      <c r="T53" s="497">
        <v>675.78464454411392</v>
      </c>
      <c r="U53" s="318">
        <v>6510.0811368763671</v>
      </c>
      <c r="V53" s="369"/>
      <c r="X53" s="67">
        <v>2</v>
      </c>
      <c r="Y53" s="68">
        <f>'Structural Information'!$Z$10</f>
        <v>40.367000000000004</v>
      </c>
      <c r="Z53" s="68">
        <f t="shared" si="12"/>
        <v>1.2657423277116422</v>
      </c>
      <c r="AA53" s="68">
        <f t="shared" si="13"/>
        <v>7.2780183843419426</v>
      </c>
      <c r="AB53" s="68">
        <f>(('Structural Information'!$Z$6*M49+'Structural Information'!$Z$7*M50+'Structural Information'!$Z$8*M51+'Structural Information'!$Z$9*M52+'Structural Information'!$Z$10*M53+'Structural Information'!$Z$11*M54)^2)/('Structural Information'!$Z$6*M49*M49+'Structural Information'!$Z$7*M50*M50+'Structural Information'!$Z$8*M51*M51+'Structural Information'!$Z$9*M52*M52+'Structural Information'!$Z$10*M53*M53+'Structural Information'!$Z$11*M54*M54)</f>
        <v>210.8345686994943</v>
      </c>
    </row>
    <row r="54" spans="2:28" x14ac:dyDescent="0.25">
      <c r="B54" s="380">
        <v>17</v>
      </c>
      <c r="C54" s="17">
        <f>V181*-1</f>
        <v>-136.56743632304389</v>
      </c>
      <c r="D54" s="383">
        <f>M181</f>
        <v>0.19995986072668318</v>
      </c>
      <c r="E54" s="18" t="e">
        <f t="shared" si="11"/>
        <v>#DIV/0!</v>
      </c>
      <c r="G54" s="384"/>
      <c r="J54" s="366">
        <v>1</v>
      </c>
      <c r="K54" s="318">
        <v>2.75</v>
      </c>
      <c r="L54" s="318">
        <v>2.75</v>
      </c>
      <c r="M54" s="367">
        <v>1.0947834916312937E-2</v>
      </c>
      <c r="N54" s="69">
        <v>1.0947834916312937E-2</v>
      </c>
      <c r="O54" s="368">
        <v>3.9810308786592495E-3</v>
      </c>
      <c r="P54" s="367">
        <v>5.3120868684138484E-3</v>
      </c>
      <c r="Q54" s="367">
        <v>1.780731968888595E-3</v>
      </c>
      <c r="R54" s="68">
        <v>0.74942879837504561</v>
      </c>
      <c r="S54" s="68">
        <v>2.2356148753503442</v>
      </c>
      <c r="T54" s="497">
        <v>710.66060523585907</v>
      </c>
      <c r="U54" s="318">
        <v>8464.3978012749794</v>
      </c>
      <c r="V54" s="372"/>
      <c r="X54" s="67">
        <v>1</v>
      </c>
      <c r="Y54" s="68">
        <f>'Structural Information'!$Z$11</f>
        <v>40.367000000000004</v>
      </c>
      <c r="Z54" s="68">
        <f t="shared" si="12"/>
        <v>0.44193125206680439</v>
      </c>
      <c r="AA54" s="68">
        <f t="shared" si="13"/>
        <v>1.2153109431837121</v>
      </c>
      <c r="AB54" s="66" t="s">
        <v>379</v>
      </c>
    </row>
    <row r="55" spans="2:28" x14ac:dyDescent="0.25">
      <c r="B55" s="380">
        <v>18</v>
      </c>
      <c r="C55" s="17">
        <f>V192*-1</f>
        <v>-136.56743632304389</v>
      </c>
      <c r="D55" s="383">
        <f>M192</f>
        <v>0.19995986072668318</v>
      </c>
      <c r="E55" s="18" t="e">
        <f t="shared" si="11"/>
        <v>#DIV/0!</v>
      </c>
      <c r="G55" s="384"/>
      <c r="X55" s="373"/>
      <c r="Y55" s="66" t="s">
        <v>95</v>
      </c>
      <c r="Z55" s="374">
        <f>SUM(Z49:Z54)</f>
        <v>9.3153678143095782</v>
      </c>
      <c r="AA55" s="374">
        <f>SUM(AA49:AA54)</f>
        <v>110.99733976569676</v>
      </c>
      <c r="AB55" s="317">
        <f>2*PI()*SQRT(AB53/AB51)</f>
        <v>0.78781479698701562</v>
      </c>
    </row>
    <row r="56" spans="2:28" x14ac:dyDescent="0.25">
      <c r="B56" s="380">
        <v>19</v>
      </c>
      <c r="C56" s="17">
        <f>V203*-1</f>
        <v>-136.56743632304389</v>
      </c>
      <c r="D56" s="383">
        <f>M203</f>
        <v>0.19995986072668318</v>
      </c>
      <c r="E56" s="18" t="e">
        <f t="shared" si="11"/>
        <v>#DIV/0!</v>
      </c>
      <c r="G56" s="384"/>
    </row>
    <row r="57" spans="2:28" x14ac:dyDescent="0.25">
      <c r="B57" s="9">
        <v>20</v>
      </c>
      <c r="C57" s="100">
        <f>V214*-1</f>
        <v>-136.56743632304389</v>
      </c>
      <c r="D57" s="385">
        <f>M214</f>
        <v>0.19995986072668318</v>
      </c>
      <c r="E57" s="237" t="e">
        <f t="shared" si="11"/>
        <v>#DIV/0!</v>
      </c>
      <c r="F57" s="386"/>
      <c r="G57" s="387"/>
      <c r="J57" s="909" t="s">
        <v>129</v>
      </c>
      <c r="K57" s="910"/>
      <c r="L57" s="910"/>
      <c r="M57" s="910"/>
      <c r="N57" s="910"/>
      <c r="O57" s="910"/>
      <c r="P57" s="910"/>
      <c r="Q57" s="910"/>
      <c r="R57" s="910"/>
      <c r="S57" s="910"/>
      <c r="T57" s="910"/>
      <c r="U57" s="910"/>
      <c r="V57" s="911"/>
      <c r="W57" s="388"/>
      <c r="X57" s="912" t="s">
        <v>124</v>
      </c>
      <c r="Y57" s="912"/>
      <c r="Z57" s="912"/>
      <c r="AA57" s="912"/>
      <c r="AB57" s="912"/>
    </row>
    <row r="58" spans="2:28" ht="15" customHeight="1" x14ac:dyDescent="0.25">
      <c r="J58" s="580" t="s">
        <v>9</v>
      </c>
      <c r="K58" s="582" t="s">
        <v>3</v>
      </c>
      <c r="L58" s="582" t="s">
        <v>89</v>
      </c>
      <c r="M58" s="580" t="s">
        <v>91</v>
      </c>
      <c r="N58" s="580" t="s">
        <v>98</v>
      </c>
      <c r="O58" s="582" t="s">
        <v>119</v>
      </c>
      <c r="P58" s="582" t="s">
        <v>284</v>
      </c>
      <c r="Q58" s="582" t="s">
        <v>285</v>
      </c>
      <c r="R58" s="580" t="s">
        <v>452</v>
      </c>
      <c r="S58" s="580" t="s">
        <v>453</v>
      </c>
      <c r="T58" s="580" t="s">
        <v>92</v>
      </c>
      <c r="U58" s="582" t="s">
        <v>120</v>
      </c>
      <c r="V58" s="580" t="s">
        <v>96</v>
      </c>
      <c r="X58" s="580" t="s">
        <v>9</v>
      </c>
      <c r="Y58" s="913" t="s">
        <v>93</v>
      </c>
      <c r="Z58" s="913" t="s">
        <v>94</v>
      </c>
      <c r="AA58" s="913" t="s">
        <v>122</v>
      </c>
      <c r="AB58" s="582" t="s">
        <v>123</v>
      </c>
    </row>
    <row r="59" spans="2:28" x14ac:dyDescent="0.25">
      <c r="J59" s="580"/>
      <c r="K59" s="582"/>
      <c r="L59" s="582"/>
      <c r="M59" s="580"/>
      <c r="N59" s="580"/>
      <c r="O59" s="582"/>
      <c r="P59" s="582"/>
      <c r="Q59" s="582"/>
      <c r="R59" s="580"/>
      <c r="S59" s="580"/>
      <c r="T59" s="580"/>
      <c r="U59" s="582"/>
      <c r="V59" s="580"/>
      <c r="X59" s="580"/>
      <c r="Y59" s="913"/>
      <c r="Z59" s="913"/>
      <c r="AA59" s="913"/>
      <c r="AB59" s="582"/>
    </row>
    <row r="60" spans="2:28" x14ac:dyDescent="0.25">
      <c r="J60" s="366">
        <v>6</v>
      </c>
      <c r="K60" s="318">
        <v>3</v>
      </c>
      <c r="L60" s="318">
        <v>17.75</v>
      </c>
      <c r="M60" s="367">
        <v>5.5595061081949393E-2</v>
      </c>
      <c r="N60" s="69">
        <v>7.7817037654915461E-4</v>
      </c>
      <c r="O60" s="368">
        <v>2.5939012551638485E-4</v>
      </c>
      <c r="P60" s="367">
        <v>8.3119145368492249E-3</v>
      </c>
      <c r="Q60" s="367">
        <v>3.0605372788564604E-3</v>
      </c>
      <c r="R60" s="68">
        <v>3.1207025092285318E-2</v>
      </c>
      <c r="S60" s="68">
        <v>8.4753133807049533E-2</v>
      </c>
      <c r="T60" s="497">
        <v>47.809769944587593</v>
      </c>
      <c r="U60" s="318">
        <v>143.42930983376277</v>
      </c>
      <c r="V60" s="68">
        <v>243.37710888610809</v>
      </c>
      <c r="X60" s="67">
        <v>6</v>
      </c>
      <c r="Y60" s="68">
        <f>'Structural Information'!$Z$6</f>
        <v>37.8446</v>
      </c>
      <c r="Z60" s="68">
        <f t="shared" ref="Z60:Z65" si="14">Y60*M60</f>
        <v>2.1039728486219418</v>
      </c>
      <c r="AA60" s="68">
        <f t="shared" ref="AA60:AA65" si="15">Z60*L60</f>
        <v>37.345518063039464</v>
      </c>
      <c r="AB60" s="68">
        <f>AA66/Z66</f>
        <v>11.685971595793617</v>
      </c>
    </row>
    <row r="61" spans="2:28" x14ac:dyDescent="0.25">
      <c r="J61" s="366">
        <v>5</v>
      </c>
      <c r="K61" s="318">
        <v>3</v>
      </c>
      <c r="L61" s="318">
        <v>14.75</v>
      </c>
      <c r="M61" s="367">
        <v>5.4816890705400238E-2</v>
      </c>
      <c r="N61" s="69">
        <v>1.2072058219484774E-3</v>
      </c>
      <c r="O61" s="368">
        <v>4.0240194064949247E-4</v>
      </c>
      <c r="P61" s="367">
        <v>9.597600000000003E-3</v>
      </c>
      <c r="Q61" s="367">
        <v>2.281598782064713E-3</v>
      </c>
      <c r="R61" s="68">
        <v>4.192735065531928E-2</v>
      </c>
      <c r="S61" s="68">
        <v>0.1763684061425306</v>
      </c>
      <c r="T61" s="497">
        <v>98.092331696310211</v>
      </c>
      <c r="U61" s="318">
        <v>437.70630492269339</v>
      </c>
      <c r="V61" s="369"/>
      <c r="X61" s="67">
        <v>5</v>
      </c>
      <c r="Y61" s="68">
        <f>'Structural Information'!$Z$7</f>
        <v>40.367000000000004</v>
      </c>
      <c r="Z61" s="68">
        <f t="shared" si="14"/>
        <v>2.2127934271048915</v>
      </c>
      <c r="AA61" s="68">
        <f t="shared" si="15"/>
        <v>32.638703049797151</v>
      </c>
      <c r="AB61" s="66" t="s">
        <v>378</v>
      </c>
    </row>
    <row r="62" spans="2:28" x14ac:dyDescent="0.25">
      <c r="J62" s="366">
        <v>4</v>
      </c>
      <c r="K62" s="318">
        <v>3</v>
      </c>
      <c r="L62" s="318">
        <v>11.75</v>
      </c>
      <c r="M62" s="367">
        <v>5.3609684883451761E-2</v>
      </c>
      <c r="N62" s="368">
        <v>1.6696596452326698E-3</v>
      </c>
      <c r="O62" s="368">
        <v>5.5655321507755656E-4</v>
      </c>
      <c r="P62" s="367">
        <v>9.015519176800749E-3</v>
      </c>
      <c r="Q62" s="367">
        <v>2.1092027799242134E-3</v>
      </c>
      <c r="R62" s="68">
        <v>6.1732796987411576E-2</v>
      </c>
      <c r="S62" s="68">
        <v>0.26386899371408673</v>
      </c>
      <c r="T62" s="497">
        <v>147.26754495547797</v>
      </c>
      <c r="U62" s="318">
        <v>879.50893978912723</v>
      </c>
      <c r="V62" s="370" t="s">
        <v>130</v>
      </c>
      <c r="X62" s="67">
        <v>4</v>
      </c>
      <c r="Y62" s="68">
        <f>'Structural Information'!$Z$8</f>
        <v>40.367000000000004</v>
      </c>
      <c r="Z62" s="68">
        <f t="shared" si="14"/>
        <v>2.1640621496902974</v>
      </c>
      <c r="AA62" s="68">
        <f t="shared" si="15"/>
        <v>25.427730258860993</v>
      </c>
      <c r="AB62" s="317">
        <f>T65/M60</f>
        <v>4377.6749975570729</v>
      </c>
    </row>
    <row r="63" spans="2:28" x14ac:dyDescent="0.25">
      <c r="J63" s="366">
        <v>3</v>
      </c>
      <c r="K63" s="318">
        <v>3</v>
      </c>
      <c r="L63" s="318">
        <v>8.75</v>
      </c>
      <c r="M63" s="367">
        <v>5.1940025238219091E-2</v>
      </c>
      <c r="N63" s="69">
        <v>6.2126474955580338E-3</v>
      </c>
      <c r="O63" s="368">
        <v>2.0708824985193447E-3</v>
      </c>
      <c r="P63" s="367">
        <v>8.5822017391304368E-3</v>
      </c>
      <c r="Q63" s="367">
        <v>1.9542049297578846E-3</v>
      </c>
      <c r="R63" s="318">
        <v>0.2412996759418021</v>
      </c>
      <c r="S63" s="68">
        <v>1.0597059023773499</v>
      </c>
      <c r="T63" s="497">
        <v>194.91120903089211</v>
      </c>
      <c r="U63" s="318">
        <v>1464.2425668818037</v>
      </c>
      <c r="V63" s="371">
        <v>0</v>
      </c>
      <c r="X63" s="67">
        <v>3</v>
      </c>
      <c r="Y63" s="68">
        <f>'Structural Information'!$Z$9</f>
        <v>40.367000000000004</v>
      </c>
      <c r="Z63" s="68">
        <f t="shared" si="14"/>
        <v>2.0966629987911904</v>
      </c>
      <c r="AA63" s="68">
        <f t="shared" si="15"/>
        <v>18.345801239422915</v>
      </c>
      <c r="AB63" s="246" t="s">
        <v>380</v>
      </c>
    </row>
    <row r="64" spans="2:28" x14ac:dyDescent="0.25">
      <c r="J64" s="366">
        <v>2</v>
      </c>
      <c r="K64" s="318">
        <v>3</v>
      </c>
      <c r="L64" s="318">
        <v>5.75</v>
      </c>
      <c r="M64" s="367">
        <v>4.5727377742661057E-2</v>
      </c>
      <c r="N64" s="69">
        <v>3.8618347737834277E-2</v>
      </c>
      <c r="O64" s="368">
        <v>1.2872782579278092E-2</v>
      </c>
      <c r="P64" s="367">
        <v>6.7523273096129852E-3</v>
      </c>
      <c r="Q64" s="367">
        <v>1.8141308521286454E-3</v>
      </c>
      <c r="R64" s="68">
        <v>1.906421591997131</v>
      </c>
      <c r="S64" s="68">
        <v>7.0958401728152989</v>
      </c>
      <c r="T64" s="497">
        <v>236.85612173027619</v>
      </c>
      <c r="U64" s="318">
        <v>2174.8109320726321</v>
      </c>
      <c r="V64" s="369"/>
      <c r="X64" s="67">
        <v>2</v>
      </c>
      <c r="Y64" s="68">
        <f>'Structural Information'!$Z$10</f>
        <v>40.367000000000004</v>
      </c>
      <c r="Z64" s="68">
        <f t="shared" si="14"/>
        <v>1.845877057337999</v>
      </c>
      <c r="AA64" s="68">
        <f t="shared" si="15"/>
        <v>10.613793079693494</v>
      </c>
      <c r="AB64" s="68">
        <f>(('Structural Information'!$Z$6*M60+'Structural Information'!$Z$7*M61+'Structural Information'!$Z$8*M62+'Structural Information'!$Z$9*M63+'Structural Information'!$Z$10*M64+'Structural Information'!$Z$11*M65)^2)/('Structural Information'!$Z$6*M60*M60+'Structural Information'!$Z$7*M61*M61+'Structural Information'!$Z$8*M62*M62+'Structural Information'!$Z$9*M63*M63+'Structural Information'!$Z$10*M64*M64+'Structural Information'!$Z$11*M65*M65)</f>
        <v>208.70590605106833</v>
      </c>
    </row>
    <row r="65" spans="10:28" x14ac:dyDescent="0.25">
      <c r="J65" s="366">
        <v>1</v>
      </c>
      <c r="K65" s="318">
        <v>2.75</v>
      </c>
      <c r="L65" s="318">
        <v>2.75</v>
      </c>
      <c r="M65" s="367">
        <v>7.1090300048267776E-3</v>
      </c>
      <c r="N65" s="69">
        <v>7.1090300048267776E-3</v>
      </c>
      <c r="O65" s="368">
        <v>2.58510181993701E-3</v>
      </c>
      <c r="P65" s="367">
        <v>5.3120868684138484E-3</v>
      </c>
      <c r="Q65" s="367">
        <v>1.780731968888595E-3</v>
      </c>
      <c r="R65" s="68">
        <v>0.48664524582763519</v>
      </c>
      <c r="S65" s="68">
        <v>1.4517074243073453</v>
      </c>
      <c r="T65" s="497">
        <v>243.37710888610815</v>
      </c>
      <c r="U65" s="318">
        <v>2844.0979815094297</v>
      </c>
      <c r="V65" s="372"/>
      <c r="X65" s="67">
        <v>1</v>
      </c>
      <c r="Y65" s="68">
        <f>'Structural Information'!$Z$11</f>
        <v>40.367000000000004</v>
      </c>
      <c r="Z65" s="68">
        <f t="shared" si="14"/>
        <v>0.28697021420484259</v>
      </c>
      <c r="AA65" s="68">
        <f t="shared" si="15"/>
        <v>0.78916808906331715</v>
      </c>
      <c r="AB65" s="66" t="s">
        <v>379</v>
      </c>
    </row>
    <row r="66" spans="10:28" x14ac:dyDescent="0.25">
      <c r="X66" s="373"/>
      <c r="Y66" s="66" t="s">
        <v>95</v>
      </c>
      <c r="Z66" s="374">
        <f>SUM(Z60:Z65)</f>
        <v>10.710338695751162</v>
      </c>
      <c r="AA66" s="374">
        <f>SUM(AA60:AA65)</f>
        <v>125.16071377987734</v>
      </c>
      <c r="AB66" s="317">
        <f>2*PI()*SQRT(AB64/AB62)</f>
        <v>1.3719095519426496</v>
      </c>
    </row>
    <row r="67" spans="10:28" x14ac:dyDescent="0.25">
      <c r="R67" s="389"/>
      <c r="S67" s="389"/>
    </row>
    <row r="68" spans="10:28" x14ac:dyDescent="0.25">
      <c r="J68" s="909" t="s">
        <v>296</v>
      </c>
      <c r="K68" s="910"/>
      <c r="L68" s="910"/>
      <c r="M68" s="910"/>
      <c r="N68" s="910"/>
      <c r="O68" s="910"/>
      <c r="P68" s="910"/>
      <c r="Q68" s="910"/>
      <c r="R68" s="910"/>
      <c r="S68" s="910"/>
      <c r="T68" s="910"/>
      <c r="U68" s="910"/>
      <c r="V68" s="911"/>
      <c r="W68" s="388"/>
      <c r="X68" s="912" t="s">
        <v>124</v>
      </c>
      <c r="Y68" s="912"/>
      <c r="Z68" s="912"/>
      <c r="AA68" s="912"/>
      <c r="AB68" s="912"/>
    </row>
    <row r="69" spans="10:28" ht="15" customHeight="1" x14ac:dyDescent="0.25">
      <c r="J69" s="580" t="s">
        <v>9</v>
      </c>
      <c r="K69" s="582" t="s">
        <v>3</v>
      </c>
      <c r="L69" s="582" t="s">
        <v>89</v>
      </c>
      <c r="M69" s="580" t="s">
        <v>91</v>
      </c>
      <c r="N69" s="580" t="s">
        <v>98</v>
      </c>
      <c r="O69" s="582" t="s">
        <v>119</v>
      </c>
      <c r="P69" s="582" t="s">
        <v>284</v>
      </c>
      <c r="Q69" s="582" t="s">
        <v>285</v>
      </c>
      <c r="R69" s="580" t="s">
        <v>452</v>
      </c>
      <c r="S69" s="580" t="s">
        <v>453</v>
      </c>
      <c r="T69" s="580" t="s">
        <v>92</v>
      </c>
      <c r="U69" s="582" t="s">
        <v>120</v>
      </c>
      <c r="V69" s="580" t="s">
        <v>96</v>
      </c>
      <c r="X69" s="580" t="s">
        <v>9</v>
      </c>
      <c r="Y69" s="913" t="s">
        <v>93</v>
      </c>
      <c r="Z69" s="913" t="s">
        <v>94</v>
      </c>
      <c r="AA69" s="913" t="s">
        <v>122</v>
      </c>
      <c r="AB69" s="582" t="s">
        <v>123</v>
      </c>
    </row>
    <row r="70" spans="10:28" x14ac:dyDescent="0.25">
      <c r="J70" s="580"/>
      <c r="K70" s="582"/>
      <c r="L70" s="582"/>
      <c r="M70" s="580"/>
      <c r="N70" s="580"/>
      <c r="O70" s="582"/>
      <c r="P70" s="582"/>
      <c r="Q70" s="582"/>
      <c r="R70" s="580"/>
      <c r="S70" s="580"/>
      <c r="T70" s="580"/>
      <c r="U70" s="582"/>
      <c r="V70" s="580"/>
      <c r="X70" s="580"/>
      <c r="Y70" s="913"/>
      <c r="Z70" s="913"/>
      <c r="AA70" s="913"/>
      <c r="AB70" s="582"/>
    </row>
    <row r="71" spans="10:28" x14ac:dyDescent="0.25">
      <c r="J71" s="366">
        <v>6</v>
      </c>
      <c r="K71" s="318">
        <v>3</v>
      </c>
      <c r="L71" s="318">
        <v>17.75</v>
      </c>
      <c r="M71" s="367">
        <v>7.3984019950715157E-2</v>
      </c>
      <c r="N71" s="69">
        <v>7.7999831548605791E-4</v>
      </c>
      <c r="O71" s="368">
        <v>2.5999943849535262E-4</v>
      </c>
      <c r="P71" s="367">
        <v>8.3119145368492249E-3</v>
      </c>
      <c r="Q71" s="367">
        <v>3.0605372788564604E-3</v>
      </c>
      <c r="R71" s="68">
        <v>3.1280331064846331E-2</v>
      </c>
      <c r="S71" s="68">
        <v>8.4952220739653542E-2</v>
      </c>
      <c r="T71" s="497">
        <v>47.922076121589051</v>
      </c>
      <c r="U71" s="318">
        <v>143.76622836476716</v>
      </c>
      <c r="V71" s="68">
        <v>246.01670541714887</v>
      </c>
      <c r="X71" s="67">
        <v>6</v>
      </c>
      <c r="Y71" s="68">
        <f>'Structural Information'!$Z$6</f>
        <v>37.8446</v>
      </c>
      <c r="Z71" s="68">
        <f t="shared" ref="Z71:Z76" si="16">Y71*M71</f>
        <v>2.799895641426835</v>
      </c>
      <c r="AA71" s="68">
        <f t="shared" ref="AA71:AA76" si="17">Z71*L71</f>
        <v>49.698147635326322</v>
      </c>
      <c r="AB71" s="68">
        <f>AA77/Z77</f>
        <v>11.683150102764108</v>
      </c>
    </row>
    <row r="72" spans="10:28" x14ac:dyDescent="0.25">
      <c r="J72" s="366">
        <v>5</v>
      </c>
      <c r="K72" s="318">
        <v>3</v>
      </c>
      <c r="L72" s="318">
        <v>14.75</v>
      </c>
      <c r="M72" s="367">
        <v>7.32040216352291E-2</v>
      </c>
      <c r="N72" s="69">
        <v>1.2122146102042375E-3</v>
      </c>
      <c r="O72" s="368">
        <v>4.0407153673474583E-4</v>
      </c>
      <c r="P72" s="367">
        <v>9.597600000000003E-3</v>
      </c>
      <c r="Q72" s="367">
        <v>2.281598782064713E-3</v>
      </c>
      <c r="R72" s="68">
        <v>4.2101310404137046E-2</v>
      </c>
      <c r="S72" s="68">
        <v>0.17710017199828831</v>
      </c>
      <c r="T72" s="497">
        <v>98.499324199202547</v>
      </c>
      <c r="U72" s="318">
        <v>439.26420096237484</v>
      </c>
      <c r="V72" s="369"/>
      <c r="X72" s="67">
        <v>5</v>
      </c>
      <c r="Y72" s="68">
        <f>'Structural Information'!$Z$7</f>
        <v>40.367000000000004</v>
      </c>
      <c r="Z72" s="68">
        <f t="shared" si="16"/>
        <v>2.9550267413492932</v>
      </c>
      <c r="AA72" s="68">
        <f t="shared" si="17"/>
        <v>43.586644434902077</v>
      </c>
      <c r="AB72" s="66" t="s">
        <v>378</v>
      </c>
    </row>
    <row r="73" spans="10:28" x14ac:dyDescent="0.25">
      <c r="J73" s="366">
        <v>4</v>
      </c>
      <c r="K73" s="318">
        <v>3</v>
      </c>
      <c r="L73" s="318">
        <v>11.75</v>
      </c>
      <c r="M73" s="367">
        <v>7.1991807025024862E-2</v>
      </c>
      <c r="N73" s="368">
        <v>1.680674100746557E-3</v>
      </c>
      <c r="O73" s="368">
        <v>5.6022470024885229E-4</v>
      </c>
      <c r="P73" s="367">
        <v>9.015519176800749E-3</v>
      </c>
      <c r="Q73" s="367">
        <v>2.1092027799242134E-3</v>
      </c>
      <c r="R73" s="68">
        <v>6.2140037557732071E-2</v>
      </c>
      <c r="S73" s="68">
        <v>0.26560969176656496</v>
      </c>
      <c r="T73" s="497">
        <v>148.23904344451611</v>
      </c>
      <c r="U73" s="318">
        <v>883.98133129592316</v>
      </c>
      <c r="V73" s="370" t="s">
        <v>130</v>
      </c>
      <c r="X73" s="67">
        <v>4</v>
      </c>
      <c r="Y73" s="68">
        <f>'Structural Information'!$Z$8</f>
        <v>40.367000000000004</v>
      </c>
      <c r="Z73" s="68">
        <f t="shared" si="16"/>
        <v>2.9060932741791787</v>
      </c>
      <c r="AA73" s="68">
        <f t="shared" si="17"/>
        <v>34.14659597160535</v>
      </c>
      <c r="AB73" s="317">
        <f>T76/M71</f>
        <v>3325.2681536191249</v>
      </c>
    </row>
    <row r="74" spans="10:28" x14ac:dyDescent="0.25">
      <c r="J74" s="366">
        <v>3</v>
      </c>
      <c r="K74" s="318">
        <v>3</v>
      </c>
      <c r="L74" s="318">
        <v>8.75</v>
      </c>
      <c r="M74" s="367">
        <v>7.0311132924278305E-2</v>
      </c>
      <c r="N74" s="69">
        <v>6.2324677907533987E-3</v>
      </c>
      <c r="O74" s="368">
        <v>2.0774892635844664E-3</v>
      </c>
      <c r="P74" s="367">
        <v>8.5822017391304368E-3</v>
      </c>
      <c r="Q74" s="367">
        <v>1.9542049297578846E-3</v>
      </c>
      <c r="R74" s="318">
        <v>0.24206949763394411</v>
      </c>
      <c r="S74" s="68">
        <v>1.0630866967682127</v>
      </c>
      <c r="T74" s="497">
        <v>196.81757142428785</v>
      </c>
      <c r="U74" s="318">
        <v>1474.4340455687866</v>
      </c>
      <c r="V74" s="371">
        <v>0</v>
      </c>
      <c r="X74" s="67">
        <v>3</v>
      </c>
      <c r="Y74" s="68">
        <f>'Structural Information'!$Z$9</f>
        <v>40.367000000000004</v>
      </c>
      <c r="Z74" s="68">
        <f t="shared" si="16"/>
        <v>2.8382495027543428</v>
      </c>
      <c r="AA74" s="68">
        <f t="shared" si="17"/>
        <v>24.834683149100499</v>
      </c>
      <c r="AB74" s="246" t="s">
        <v>380</v>
      </c>
    </row>
    <row r="75" spans="10:28" x14ac:dyDescent="0.25">
      <c r="J75" s="366">
        <v>2</v>
      </c>
      <c r="K75" s="318">
        <v>3</v>
      </c>
      <c r="L75" s="318">
        <v>5.75</v>
      </c>
      <c r="M75" s="367">
        <v>6.4078665133524906E-2</v>
      </c>
      <c r="N75" s="69">
        <v>5.694795044217843E-2</v>
      </c>
      <c r="O75" s="368">
        <v>1.898265014739281E-2</v>
      </c>
      <c r="P75" s="367">
        <v>6.7523273096129852E-3</v>
      </c>
      <c r="Q75" s="367">
        <v>1.8141308521286454E-3</v>
      </c>
      <c r="R75" s="68">
        <v>2.8112751762445023</v>
      </c>
      <c r="S75" s="68">
        <v>10.463771191101872</v>
      </c>
      <c r="T75" s="497">
        <v>241.09003723515579</v>
      </c>
      <c r="U75" s="318">
        <v>2197.7041572742537</v>
      </c>
      <c r="V75" s="369"/>
      <c r="X75" s="67">
        <v>2</v>
      </c>
      <c r="Y75" s="68">
        <f>'Structural Information'!$Z$10</f>
        <v>40.367000000000004</v>
      </c>
      <c r="Z75" s="68">
        <f t="shared" si="16"/>
        <v>2.586663475445</v>
      </c>
      <c r="AA75" s="68">
        <f t="shared" si="17"/>
        <v>14.873314983808751</v>
      </c>
      <c r="AB75" s="68">
        <f>(('Structural Information'!$Z$6*M71+'Structural Information'!$Z$7*M72+'Structural Information'!$Z$8*M73+'Structural Information'!$Z$9*M74+'Structural Information'!$Z$10*M75+'Structural Information'!$Z$11*M76)^2)/('Structural Information'!$Z$6*M71*M71+'Structural Information'!$Z$7*M72*M72+'Structural Information'!$Z$8*M73*M73+'Structural Information'!$Z$9*M74*M74+'Structural Information'!$Z$10*M75*M75+'Structural Information'!$Z$11*M76*M76)</f>
        <v>206.59602416468226</v>
      </c>
    </row>
    <row r="76" spans="10:28" x14ac:dyDescent="0.25">
      <c r="J76" s="366">
        <v>1</v>
      </c>
      <c r="K76" s="318">
        <v>2.75</v>
      </c>
      <c r="L76" s="318">
        <v>2.75</v>
      </c>
      <c r="M76" s="367">
        <v>7.1307146913464781E-3</v>
      </c>
      <c r="N76" s="69">
        <v>7.1307146913464781E-3</v>
      </c>
      <c r="O76" s="368">
        <v>2.5929871604896283E-3</v>
      </c>
      <c r="P76" s="367">
        <v>5.3120868684138484E-3</v>
      </c>
      <c r="Q76" s="367">
        <v>1.780731968888595E-3</v>
      </c>
      <c r="R76" s="68">
        <v>0.48812966066269847</v>
      </c>
      <c r="S76" s="68">
        <v>1.4561355699746237</v>
      </c>
      <c r="T76" s="497">
        <v>246.0167054188351</v>
      </c>
      <c r="U76" s="318">
        <v>2874.2500971760501</v>
      </c>
      <c r="V76" s="372"/>
      <c r="X76" s="67">
        <v>1</v>
      </c>
      <c r="Y76" s="68">
        <f>'Structural Information'!$Z$11</f>
        <v>40.367000000000004</v>
      </c>
      <c r="Z76" s="68">
        <f t="shared" si="16"/>
        <v>0.28784555994558331</v>
      </c>
      <c r="AA76" s="68">
        <f t="shared" si="17"/>
        <v>0.79157528985035408</v>
      </c>
      <c r="AB76" s="66" t="s">
        <v>379</v>
      </c>
    </row>
    <row r="77" spans="10:28" x14ac:dyDescent="0.25">
      <c r="X77" s="373"/>
      <c r="Y77" s="66" t="s">
        <v>95</v>
      </c>
      <c r="Z77" s="374">
        <f>SUM(Z71:Z76)</f>
        <v>14.373774195100234</v>
      </c>
      <c r="AA77" s="374">
        <f>SUM(AA71:AA76)</f>
        <v>167.93096146459337</v>
      </c>
      <c r="AB77" s="317">
        <f>2*PI()*SQRT(AB75/AB73)</f>
        <v>1.5661289282287076</v>
      </c>
    </row>
    <row r="78" spans="10:28" x14ac:dyDescent="0.25">
      <c r="Q78" s="54"/>
      <c r="T78" s="390"/>
    </row>
    <row r="79" spans="10:28" x14ac:dyDescent="0.25">
      <c r="J79" s="912" t="s">
        <v>297</v>
      </c>
      <c r="K79" s="912"/>
      <c r="L79" s="912"/>
      <c r="M79" s="912"/>
      <c r="N79" s="912"/>
      <c r="O79" s="912"/>
      <c r="P79" s="912"/>
      <c r="Q79" s="912"/>
      <c r="R79" s="912"/>
      <c r="S79" s="912"/>
      <c r="T79" s="912"/>
      <c r="U79" s="912"/>
      <c r="V79" s="912"/>
      <c r="W79" s="388"/>
      <c r="X79" s="912" t="s">
        <v>124</v>
      </c>
      <c r="Y79" s="912"/>
      <c r="Z79" s="912"/>
      <c r="AA79" s="912"/>
      <c r="AB79" s="912"/>
    </row>
    <row r="80" spans="10:28" ht="15" customHeight="1" x14ac:dyDescent="0.25">
      <c r="J80" s="580" t="s">
        <v>9</v>
      </c>
      <c r="K80" s="582" t="s">
        <v>3</v>
      </c>
      <c r="L80" s="582" t="s">
        <v>89</v>
      </c>
      <c r="M80" s="580" t="s">
        <v>91</v>
      </c>
      <c r="N80" s="580" t="s">
        <v>98</v>
      </c>
      <c r="O80" s="582" t="s">
        <v>119</v>
      </c>
      <c r="P80" s="582" t="s">
        <v>284</v>
      </c>
      <c r="Q80" s="582" t="s">
        <v>285</v>
      </c>
      <c r="R80" s="580" t="s">
        <v>452</v>
      </c>
      <c r="S80" s="580" t="s">
        <v>453</v>
      </c>
      <c r="T80" s="580" t="s">
        <v>92</v>
      </c>
      <c r="U80" s="582" t="s">
        <v>120</v>
      </c>
      <c r="V80" s="580" t="s">
        <v>96</v>
      </c>
      <c r="X80" s="580" t="s">
        <v>9</v>
      </c>
      <c r="Y80" s="913" t="s">
        <v>93</v>
      </c>
      <c r="Z80" s="913" t="s">
        <v>94</v>
      </c>
      <c r="AA80" s="913" t="s">
        <v>122</v>
      </c>
      <c r="AB80" s="582" t="s">
        <v>123</v>
      </c>
    </row>
    <row r="81" spans="10:28" x14ac:dyDescent="0.25">
      <c r="J81" s="580"/>
      <c r="K81" s="582"/>
      <c r="L81" s="582"/>
      <c r="M81" s="580"/>
      <c r="N81" s="580"/>
      <c r="O81" s="582"/>
      <c r="P81" s="582"/>
      <c r="Q81" s="582"/>
      <c r="R81" s="580"/>
      <c r="S81" s="580"/>
      <c r="T81" s="580"/>
      <c r="U81" s="582"/>
      <c r="V81" s="580"/>
      <c r="X81" s="580"/>
      <c r="Y81" s="913"/>
      <c r="Z81" s="913"/>
      <c r="AA81" s="913"/>
      <c r="AB81" s="582"/>
    </row>
    <row r="82" spans="10:28" ht="15" customHeight="1" x14ac:dyDescent="0.25">
      <c r="J82" s="366">
        <v>6</v>
      </c>
      <c r="K82" s="318">
        <v>3</v>
      </c>
      <c r="L82" s="318">
        <v>17.75</v>
      </c>
      <c r="M82" s="367">
        <v>0.11566887864649333</v>
      </c>
      <c r="N82" s="69">
        <v>6.5406587613070499E-4</v>
      </c>
      <c r="O82" s="368">
        <v>2.18021958710235E-4</v>
      </c>
      <c r="P82" s="367">
        <v>8.3119145368492249E-3</v>
      </c>
      <c r="Q82" s="367">
        <v>3.0605372788564604E-3</v>
      </c>
      <c r="R82" s="68">
        <v>2.6230052985227154E-2</v>
      </c>
      <c r="S82" s="68">
        <v>7.1236498315647628E-2</v>
      </c>
      <c r="T82" s="497">
        <v>40.184951790489059</v>
      </c>
      <c r="U82" s="318">
        <v>120.55485537146717</v>
      </c>
      <c r="V82" s="68">
        <v>208.82053587812428</v>
      </c>
      <c r="X82" s="67">
        <v>6</v>
      </c>
      <c r="Y82" s="68">
        <f>'Structural Information'!$Z$6</f>
        <v>37.8446</v>
      </c>
      <c r="Z82" s="68">
        <f t="shared" ref="Z82:Z87" si="18">Y82*M82</f>
        <v>4.3774424448250819</v>
      </c>
      <c r="AA82" s="68">
        <f t="shared" ref="AA82:AA87" si="19">Z82*L82</f>
        <v>77.699603395645198</v>
      </c>
      <c r="AB82" s="68">
        <f>AA88/Z88</f>
        <v>11.6729534093592</v>
      </c>
    </row>
    <row r="83" spans="10:28" x14ac:dyDescent="0.25">
      <c r="J83" s="366">
        <v>5</v>
      </c>
      <c r="K83" s="318">
        <v>3</v>
      </c>
      <c r="L83" s="318">
        <v>14.75</v>
      </c>
      <c r="M83" s="367">
        <v>0.11501481277036263</v>
      </c>
      <c r="N83" s="69">
        <v>1.0190784614154402E-3</v>
      </c>
      <c r="O83" s="368">
        <v>3.3969282047181343E-4</v>
      </c>
      <c r="P83" s="367">
        <v>9.597600000000003E-3</v>
      </c>
      <c r="Q83" s="367">
        <v>2.281598782064713E-3</v>
      </c>
      <c r="R83" s="68">
        <v>3.539351717844183E-2</v>
      </c>
      <c r="S83" s="68">
        <v>0.14888367891063273</v>
      </c>
      <c r="T83" s="497">
        <v>82.805914819383574</v>
      </c>
      <c r="U83" s="318">
        <v>368.97259982961788</v>
      </c>
      <c r="V83" s="369"/>
      <c r="X83" s="67">
        <v>5</v>
      </c>
      <c r="Y83" s="68">
        <f>'Structural Information'!$Z$7</f>
        <v>40.367000000000004</v>
      </c>
      <c r="Z83" s="68">
        <f t="shared" si="18"/>
        <v>4.6428029471012291</v>
      </c>
      <c r="AA83" s="68">
        <f t="shared" si="19"/>
        <v>68.481343469743123</v>
      </c>
      <c r="AB83" s="66" t="s">
        <v>378</v>
      </c>
    </row>
    <row r="84" spans="10:28" ht="15" customHeight="1" x14ac:dyDescent="0.25">
      <c r="J84" s="366">
        <v>4</v>
      </c>
      <c r="K84" s="318">
        <v>3</v>
      </c>
      <c r="L84" s="318">
        <v>11.75</v>
      </c>
      <c r="M84" s="367">
        <v>0.11399573430894719</v>
      </c>
      <c r="N84" s="368">
        <v>1.4177575069222598E-3</v>
      </c>
      <c r="O84" s="368">
        <v>4.7258583564075324E-4</v>
      </c>
      <c r="P84" s="367">
        <v>9.015519176800749E-3</v>
      </c>
      <c r="Q84" s="367">
        <v>2.1092027799242134E-3</v>
      </c>
      <c r="R84" s="68">
        <v>5.2419148179157361E-2</v>
      </c>
      <c r="S84" s="68">
        <v>0.22405898576415392</v>
      </c>
      <c r="T84" s="497">
        <v>125.04923861745785</v>
      </c>
      <c r="U84" s="318">
        <v>744.12031568199143</v>
      </c>
      <c r="V84" s="370" t="s">
        <v>130</v>
      </c>
      <c r="X84" s="67">
        <v>4</v>
      </c>
      <c r="Y84" s="68">
        <f>'Structural Information'!$Z$8</f>
        <v>40.367000000000004</v>
      </c>
      <c r="Z84" s="68">
        <f t="shared" si="18"/>
        <v>4.6016658068492715</v>
      </c>
      <c r="AA84" s="68">
        <f t="shared" si="19"/>
        <v>54.069573230478937</v>
      </c>
      <c r="AB84" s="317">
        <f>T87/M82</f>
        <v>1805.3303388227739</v>
      </c>
    </row>
    <row r="85" spans="10:28" x14ac:dyDescent="0.25">
      <c r="J85" s="366">
        <v>3</v>
      </c>
      <c r="K85" s="318">
        <v>3</v>
      </c>
      <c r="L85" s="318">
        <v>8.75</v>
      </c>
      <c r="M85" s="367">
        <v>0.11257797680202493</v>
      </c>
      <c r="N85" s="69">
        <v>5.9200363597597394E-3</v>
      </c>
      <c r="O85" s="368">
        <v>1.9733454532532466E-3</v>
      </c>
      <c r="P85" s="367">
        <v>8.5822017391304368E-3</v>
      </c>
      <c r="Q85" s="367">
        <v>1.9542049297578846E-3</v>
      </c>
      <c r="R85" s="318">
        <v>0.22993463836392983</v>
      </c>
      <c r="S85" s="68">
        <v>1.0097945323972413</v>
      </c>
      <c r="T85" s="497">
        <v>166.76718495474256</v>
      </c>
      <c r="U85" s="318">
        <v>1244.421870546219</v>
      </c>
      <c r="V85" s="371">
        <v>0</v>
      </c>
      <c r="X85" s="67">
        <v>3</v>
      </c>
      <c r="Y85" s="68">
        <f>'Structural Information'!$Z$9</f>
        <v>40.367000000000004</v>
      </c>
      <c r="Z85" s="68">
        <f t="shared" si="18"/>
        <v>4.5444351895673405</v>
      </c>
      <c r="AA85" s="68">
        <f t="shared" si="19"/>
        <v>39.763807908714227</v>
      </c>
      <c r="AB85" s="246" t="s">
        <v>380</v>
      </c>
    </row>
    <row r="86" spans="10:28" x14ac:dyDescent="0.25">
      <c r="J86" s="366">
        <v>2</v>
      </c>
      <c r="K86" s="318">
        <v>3</v>
      </c>
      <c r="L86" s="318">
        <v>5.75</v>
      </c>
      <c r="M86" s="367">
        <v>0.10665794044226519</v>
      </c>
      <c r="N86" s="69">
        <v>9.9832797934479162E-2</v>
      </c>
      <c r="O86" s="368">
        <v>3.3277599311493052E-2</v>
      </c>
      <c r="P86" s="367">
        <v>6.7523273096129852E-3</v>
      </c>
      <c r="Q86" s="367">
        <v>1.8141308521286454E-3</v>
      </c>
      <c r="R86" s="68">
        <v>4.9283154956243349</v>
      </c>
      <c r="S86" s="68">
        <v>18.34354962457429</v>
      </c>
      <c r="T86" s="497">
        <v>206.29134733723521</v>
      </c>
      <c r="U86" s="318">
        <v>1863.2959125579246</v>
      </c>
      <c r="V86" s="369"/>
      <c r="X86" s="67">
        <v>2</v>
      </c>
      <c r="Y86" s="68">
        <f>'Structural Information'!$Z$10</f>
        <v>40.367000000000004</v>
      </c>
      <c r="Z86" s="68">
        <f t="shared" si="18"/>
        <v>4.3054610818329193</v>
      </c>
      <c r="AA86" s="68">
        <f t="shared" si="19"/>
        <v>24.756401220539285</v>
      </c>
      <c r="AB86" s="68">
        <f>(('Structural Information'!$Z$6*M82+'Structural Information'!$Z$7*M83+'Structural Information'!$Z$8*M84+'Structural Information'!$Z$9*M85+'Structural Information'!$Z$10*M86+'Structural Information'!$Z$11*M87)^2)/('Structural Information'!$Z$6*M82*M82+'Structural Information'!$Z$7*M83*M83+'Structural Information'!$Z$8*M84*M84+'Structural Information'!$Z$9*M85*M85+'Structural Information'!$Z$10*M86*M86+'Structural Information'!$Z$11*M87*M87)</f>
        <v>203.91015068129192</v>
      </c>
    </row>
    <row r="87" spans="10:28" x14ac:dyDescent="0.25">
      <c r="J87" s="366">
        <v>1</v>
      </c>
      <c r="K87" s="318">
        <v>2.75</v>
      </c>
      <c r="L87" s="318">
        <v>2.75</v>
      </c>
      <c r="M87" s="367">
        <v>6.8251425077860322E-3</v>
      </c>
      <c r="N87" s="69">
        <v>6.8251425077860322E-3</v>
      </c>
      <c r="O87" s="368">
        <v>2.4818700028312844E-3</v>
      </c>
      <c r="P87" s="367">
        <v>5.3120868684138484E-3</v>
      </c>
      <c r="Q87" s="367">
        <v>1.780731968888595E-3</v>
      </c>
      <c r="R87" s="68">
        <v>0.46721186311705654</v>
      </c>
      <c r="S87" s="68">
        <v>1.3937358604171572</v>
      </c>
      <c r="T87" s="497">
        <v>208.82053587812413</v>
      </c>
      <c r="U87" s="318">
        <v>2437.552386222766</v>
      </c>
      <c r="V87" s="372"/>
      <c r="X87" s="67">
        <v>1</v>
      </c>
      <c r="Y87" s="68">
        <f>'Structural Information'!$Z$11</f>
        <v>40.367000000000004</v>
      </c>
      <c r="Z87" s="68">
        <f t="shared" si="18"/>
        <v>0.27551052761179878</v>
      </c>
      <c r="AA87" s="68">
        <f t="shared" si="19"/>
        <v>0.7576539509324467</v>
      </c>
      <c r="AB87" s="66" t="s">
        <v>379</v>
      </c>
    </row>
    <row r="88" spans="10:28" x14ac:dyDescent="0.25">
      <c r="X88" s="373"/>
      <c r="Y88" s="66" t="s">
        <v>95</v>
      </c>
      <c r="Z88" s="374">
        <f>SUM(Z82:Z87)</f>
        <v>22.747317997787643</v>
      </c>
      <c r="AA88" s="374">
        <f>SUM(AA82:AA87)</f>
        <v>265.52838317605318</v>
      </c>
      <c r="AB88" s="317">
        <f>2*PI()*SQRT(AB86/AB84)</f>
        <v>2.1116452063028586</v>
      </c>
    </row>
    <row r="89" spans="10:28" x14ac:dyDescent="0.25">
      <c r="S89" s="54"/>
    </row>
    <row r="90" spans="10:28" x14ac:dyDescent="0.25">
      <c r="J90" s="912" t="s">
        <v>298</v>
      </c>
      <c r="K90" s="912"/>
      <c r="L90" s="912"/>
      <c r="M90" s="912"/>
      <c r="N90" s="912"/>
      <c r="O90" s="912"/>
      <c r="P90" s="912"/>
      <c r="Q90" s="912"/>
      <c r="R90" s="912"/>
      <c r="S90" s="912"/>
      <c r="T90" s="912"/>
      <c r="U90" s="912"/>
      <c r="V90" s="912"/>
      <c r="W90" s="388"/>
      <c r="X90" s="912" t="s">
        <v>124</v>
      </c>
      <c r="Y90" s="912"/>
      <c r="Z90" s="912"/>
      <c r="AA90" s="912"/>
      <c r="AB90" s="912"/>
    </row>
    <row r="91" spans="10:28" ht="15" customHeight="1" x14ac:dyDescent="0.25">
      <c r="J91" s="580" t="s">
        <v>9</v>
      </c>
      <c r="K91" s="582" t="s">
        <v>3</v>
      </c>
      <c r="L91" s="582" t="s">
        <v>89</v>
      </c>
      <c r="M91" s="580" t="s">
        <v>91</v>
      </c>
      <c r="N91" s="580" t="s">
        <v>98</v>
      </c>
      <c r="O91" s="582" t="s">
        <v>119</v>
      </c>
      <c r="P91" s="582" t="s">
        <v>284</v>
      </c>
      <c r="Q91" s="582" t="s">
        <v>285</v>
      </c>
      <c r="R91" s="580" t="s">
        <v>452</v>
      </c>
      <c r="S91" s="580" t="s">
        <v>453</v>
      </c>
      <c r="T91" s="580" t="s">
        <v>92</v>
      </c>
      <c r="U91" s="582" t="s">
        <v>120</v>
      </c>
      <c r="V91" s="580" t="s">
        <v>96</v>
      </c>
      <c r="X91" s="580" t="s">
        <v>9</v>
      </c>
      <c r="Y91" s="913" t="s">
        <v>93</v>
      </c>
      <c r="Z91" s="913" t="s">
        <v>94</v>
      </c>
      <c r="AA91" s="913" t="s">
        <v>122</v>
      </c>
      <c r="AB91" s="582" t="s">
        <v>123</v>
      </c>
    </row>
    <row r="92" spans="10:28" x14ac:dyDescent="0.25">
      <c r="J92" s="580"/>
      <c r="K92" s="582"/>
      <c r="L92" s="582"/>
      <c r="M92" s="580"/>
      <c r="N92" s="580"/>
      <c r="O92" s="582"/>
      <c r="P92" s="582"/>
      <c r="Q92" s="582"/>
      <c r="R92" s="580"/>
      <c r="S92" s="580"/>
      <c r="T92" s="580"/>
      <c r="U92" s="582"/>
      <c r="V92" s="580"/>
      <c r="X92" s="580"/>
      <c r="Y92" s="913"/>
      <c r="Z92" s="913"/>
      <c r="AA92" s="913"/>
      <c r="AB92" s="582"/>
    </row>
    <row r="93" spans="10:28" x14ac:dyDescent="0.25">
      <c r="J93" s="366">
        <v>6</v>
      </c>
      <c r="K93" s="318">
        <v>3</v>
      </c>
      <c r="L93" s="318">
        <v>17.75</v>
      </c>
      <c r="M93" s="367">
        <v>0.19995986072668318</v>
      </c>
      <c r="N93" s="69">
        <v>4.2404238141735551E-4</v>
      </c>
      <c r="O93" s="368">
        <v>1.4134746047245184E-4</v>
      </c>
      <c r="P93" s="367">
        <v>8.3119145368492249E-3</v>
      </c>
      <c r="Q93" s="367">
        <v>3.0605372788564604E-3</v>
      </c>
      <c r="R93" s="68">
        <v>1.7005403489871784E-2</v>
      </c>
      <c r="S93" s="68">
        <v>4.6183871521167985E-2</v>
      </c>
      <c r="T93" s="497">
        <v>26.052609188520677</v>
      </c>
      <c r="U93" s="318">
        <v>78.15782756556203</v>
      </c>
      <c r="V93" s="68">
        <v>136.56743632304389</v>
      </c>
      <c r="X93" s="67">
        <v>6</v>
      </c>
      <c r="Y93" s="68">
        <f>'Structural Information'!$Z$6</f>
        <v>37.8446</v>
      </c>
      <c r="Z93" s="68">
        <f t="shared" ref="Z93:Z98" si="20">Y93*M93</f>
        <v>7.5674009452570337</v>
      </c>
      <c r="AA93" s="68">
        <f t="shared" ref="AA93:AA98" si="21">Z93*L93</f>
        <v>134.32136677831235</v>
      </c>
      <c r="AB93" s="68">
        <f>AA99/Z99</f>
        <v>11.666218203452079</v>
      </c>
    </row>
    <row r="94" spans="10:28" x14ac:dyDescent="0.25">
      <c r="J94" s="366">
        <v>5</v>
      </c>
      <c r="K94" s="318">
        <v>3</v>
      </c>
      <c r="L94" s="318">
        <v>14.75</v>
      </c>
      <c r="M94" s="367">
        <v>0.19953581834526582</v>
      </c>
      <c r="N94" s="69">
        <v>6.618950556775971E-4</v>
      </c>
      <c r="O94" s="368">
        <v>2.2063168522586571E-4</v>
      </c>
      <c r="P94" s="367">
        <v>9.597600000000003E-3</v>
      </c>
      <c r="Q94" s="367">
        <v>2.281598782064713E-3</v>
      </c>
      <c r="R94" s="68">
        <v>2.2988214264593819E-2</v>
      </c>
      <c r="S94" s="68">
        <v>9.6700474667244948E-2</v>
      </c>
      <c r="T94" s="497">
        <v>53.78273378841056</v>
      </c>
      <c r="U94" s="318">
        <v>239.50602893079372</v>
      </c>
      <c r="V94" s="369"/>
      <c r="X94" s="67">
        <v>5</v>
      </c>
      <c r="Y94" s="68">
        <f>'Structural Information'!$Z$7</f>
        <v>40.367000000000004</v>
      </c>
      <c r="Z94" s="68">
        <f t="shared" si="20"/>
        <v>8.0546623791433465</v>
      </c>
      <c r="AA94" s="68">
        <f t="shared" si="21"/>
        <v>118.80627009236436</v>
      </c>
      <c r="AB94" s="66" t="s">
        <v>378</v>
      </c>
    </row>
    <row r="95" spans="10:28" ht="15" customHeight="1" x14ac:dyDescent="0.25">
      <c r="J95" s="366">
        <v>4</v>
      </c>
      <c r="K95" s="318">
        <v>3</v>
      </c>
      <c r="L95" s="318">
        <v>11.75</v>
      </c>
      <c r="M95" s="367">
        <v>0.19887392328958822</v>
      </c>
      <c r="N95" s="368">
        <v>9.231168043737914E-4</v>
      </c>
      <c r="O95" s="368">
        <v>3.0770560145793047E-4</v>
      </c>
      <c r="P95" s="367">
        <v>9.015519176800749E-3</v>
      </c>
      <c r="Q95" s="367">
        <v>2.1092027799242134E-3</v>
      </c>
      <c r="R95" s="68">
        <v>3.4130657971394057E-2</v>
      </c>
      <c r="S95" s="68">
        <v>0.14588715906632113</v>
      </c>
      <c r="T95" s="497">
        <v>81.420872736209446</v>
      </c>
      <c r="U95" s="318">
        <v>483.76864713942206</v>
      </c>
      <c r="V95" s="370" t="s">
        <v>130</v>
      </c>
      <c r="X95" s="67">
        <v>4</v>
      </c>
      <c r="Y95" s="68">
        <f>'Structural Information'!$Z$8</f>
        <v>40.367000000000004</v>
      </c>
      <c r="Z95" s="68">
        <f t="shared" si="20"/>
        <v>8.0279436614308093</v>
      </c>
      <c r="AA95" s="68">
        <f t="shared" si="21"/>
        <v>94.328338021812016</v>
      </c>
      <c r="AB95" s="317">
        <f>T98/M93</f>
        <v>682.97425206607954</v>
      </c>
    </row>
    <row r="96" spans="10:28" x14ac:dyDescent="0.25">
      <c r="J96" s="366">
        <v>3</v>
      </c>
      <c r="K96" s="318">
        <v>3</v>
      </c>
      <c r="L96" s="318">
        <v>8.75</v>
      </c>
      <c r="M96" s="367">
        <v>0.19795080648521443</v>
      </c>
      <c r="N96" s="69">
        <v>5.3187153577065882E-3</v>
      </c>
      <c r="O96" s="368">
        <v>1.7729051192355294E-3</v>
      </c>
      <c r="P96" s="367">
        <v>8.5822017391304368E-3</v>
      </c>
      <c r="Q96" s="367">
        <v>1.9542049297578846E-3</v>
      </c>
      <c r="R96" s="318">
        <v>0.20657928735839332</v>
      </c>
      <c r="S96" s="68">
        <v>0.90722579410091997</v>
      </c>
      <c r="T96" s="497">
        <v>108.93072321821901</v>
      </c>
      <c r="U96" s="318">
        <v>810.56081679407907</v>
      </c>
      <c r="V96" s="371">
        <v>0</v>
      </c>
      <c r="X96" s="67">
        <v>3</v>
      </c>
      <c r="Y96" s="68">
        <f>'Structural Information'!$Z$9</f>
        <v>40.367000000000004</v>
      </c>
      <c r="Z96" s="68">
        <f t="shared" si="20"/>
        <v>7.9906802053886521</v>
      </c>
      <c r="AA96" s="68">
        <f t="shared" si="21"/>
        <v>69.918451797150709</v>
      </c>
      <c r="AB96" s="246" t="s">
        <v>380</v>
      </c>
    </row>
    <row r="97" spans="9:28" x14ac:dyDescent="0.25">
      <c r="J97" s="366">
        <v>2</v>
      </c>
      <c r="K97" s="318">
        <v>3</v>
      </c>
      <c r="L97" s="318">
        <v>5.75</v>
      </c>
      <c r="M97" s="367">
        <v>0.19263209112750784</v>
      </c>
      <c r="N97" s="69">
        <v>0.18640051880914391</v>
      </c>
      <c r="O97" s="368">
        <v>6.2133506269714638E-2</v>
      </c>
      <c r="P97" s="367">
        <v>6.7523273096129852E-3</v>
      </c>
      <c r="Q97" s="367">
        <v>1.8141308521286454E-3</v>
      </c>
      <c r="R97" s="68">
        <v>9.201791237409056</v>
      </c>
      <c r="S97" s="68">
        <v>34.249737937486202</v>
      </c>
      <c r="T97" s="497">
        <v>135.70141498274251</v>
      </c>
      <c r="U97" s="318">
        <v>1217.6650617423065</v>
      </c>
      <c r="V97" s="369"/>
      <c r="X97" s="67">
        <v>2</v>
      </c>
      <c r="Y97" s="68">
        <f>'Structural Information'!$Z$10</f>
        <v>40.367000000000004</v>
      </c>
      <c r="Z97" s="68">
        <f t="shared" si="20"/>
        <v>7.77597962254411</v>
      </c>
      <c r="AA97" s="68">
        <f t="shared" si="21"/>
        <v>44.711882829628635</v>
      </c>
      <c r="AB97" s="68">
        <f>(('Structural Information'!$Z$6*M93+'Structural Information'!$Z$7*M94+'Structural Information'!$Z$8*M95+'Structural Information'!$Z$9*M96+'Structural Information'!$Z$10*M97+'Structural Information'!$Z$11*M98)^2)/('Structural Information'!$Z$6*M93*M93+'Structural Information'!$Z$7*M94*M94+'Structural Information'!$Z$8*M95*M95+'Structural Information'!$Z$9*M96*M96+'Structural Information'!$Z$10*M97*M97+'Structural Information'!$Z$11*M98*M98)</f>
        <v>201.78724365604677</v>
      </c>
    </row>
    <row r="98" spans="9:28" x14ac:dyDescent="0.25">
      <c r="J98" s="366">
        <v>1</v>
      </c>
      <c r="K98" s="318">
        <v>2.75</v>
      </c>
      <c r="L98" s="318">
        <v>2.75</v>
      </c>
      <c r="M98" s="367">
        <v>6.2315723183639362E-3</v>
      </c>
      <c r="N98" s="69">
        <v>6.2315723183639362E-3</v>
      </c>
      <c r="O98" s="368">
        <v>2.2660262975868861E-3</v>
      </c>
      <c r="P98" s="367">
        <v>5.3120868684138484E-3</v>
      </c>
      <c r="Q98" s="367">
        <v>1.780731968888595E-3</v>
      </c>
      <c r="R98" s="68">
        <v>0.42657929994723626</v>
      </c>
      <c r="S98" s="68">
        <v>1.2725251959177084</v>
      </c>
      <c r="T98" s="497">
        <v>136.56743632304386</v>
      </c>
      <c r="U98" s="318">
        <v>1593.2255116306771</v>
      </c>
      <c r="V98" s="372"/>
      <c r="X98" s="67">
        <v>1</v>
      </c>
      <c r="Y98" s="68">
        <f>'Structural Information'!$Z$11</f>
        <v>40.367000000000004</v>
      </c>
      <c r="Z98" s="68">
        <f t="shared" si="20"/>
        <v>0.25154987977539706</v>
      </c>
      <c r="AA98" s="68">
        <f t="shared" si="21"/>
        <v>0.69176216938234192</v>
      </c>
      <c r="AB98" s="66" t="s">
        <v>379</v>
      </c>
    </row>
    <row r="99" spans="9:28" x14ac:dyDescent="0.25">
      <c r="X99" s="373"/>
      <c r="Y99" s="66" t="s">
        <v>95</v>
      </c>
      <c r="Z99" s="374">
        <f>SUM(Z93:Z98)</f>
        <v>39.66821669353935</v>
      </c>
      <c r="AA99" s="374">
        <f>SUM(AA93:AA98)</f>
        <v>462.77807168865041</v>
      </c>
      <c r="AB99" s="317">
        <f>2*PI()*SQRT(AB97/AB95)</f>
        <v>3.4152661743160944</v>
      </c>
    </row>
    <row r="101" spans="9:28" x14ac:dyDescent="0.25">
      <c r="J101" s="912" t="s">
        <v>299</v>
      </c>
      <c r="K101" s="912"/>
      <c r="L101" s="912"/>
      <c r="M101" s="912"/>
      <c r="N101" s="912"/>
      <c r="O101" s="912"/>
      <c r="P101" s="912"/>
      <c r="Q101" s="912"/>
      <c r="R101" s="912"/>
      <c r="S101" s="912"/>
      <c r="T101" s="912"/>
      <c r="U101" s="912"/>
      <c r="V101" s="912"/>
      <c r="W101" s="388"/>
      <c r="X101" s="912" t="s">
        <v>124</v>
      </c>
      <c r="Y101" s="912"/>
      <c r="Z101" s="912"/>
      <c r="AA101" s="912"/>
      <c r="AB101" s="912"/>
    </row>
    <row r="102" spans="9:28" ht="15" customHeight="1" x14ac:dyDescent="0.25">
      <c r="J102" s="580" t="s">
        <v>9</v>
      </c>
      <c r="K102" s="582" t="s">
        <v>3</v>
      </c>
      <c r="L102" s="582" t="s">
        <v>89</v>
      </c>
      <c r="M102" s="580" t="s">
        <v>91</v>
      </c>
      <c r="N102" s="580" t="s">
        <v>98</v>
      </c>
      <c r="O102" s="582" t="s">
        <v>119</v>
      </c>
      <c r="P102" s="582" t="s">
        <v>284</v>
      </c>
      <c r="Q102" s="582" t="s">
        <v>285</v>
      </c>
      <c r="R102" s="580" t="s">
        <v>452</v>
      </c>
      <c r="S102" s="580" t="s">
        <v>453</v>
      </c>
      <c r="T102" s="580" t="s">
        <v>92</v>
      </c>
      <c r="U102" s="582" t="s">
        <v>120</v>
      </c>
      <c r="V102" s="580" t="s">
        <v>96</v>
      </c>
      <c r="X102" s="580" t="s">
        <v>9</v>
      </c>
      <c r="Y102" s="913" t="s">
        <v>93</v>
      </c>
      <c r="Z102" s="913" t="s">
        <v>94</v>
      </c>
      <c r="AA102" s="913" t="s">
        <v>122</v>
      </c>
      <c r="AB102" s="582" t="s">
        <v>123</v>
      </c>
    </row>
    <row r="103" spans="9:28" x14ac:dyDescent="0.25">
      <c r="J103" s="580"/>
      <c r="K103" s="582"/>
      <c r="L103" s="582"/>
      <c r="M103" s="580"/>
      <c r="N103" s="580"/>
      <c r="O103" s="582"/>
      <c r="P103" s="582"/>
      <c r="Q103" s="582"/>
      <c r="R103" s="580"/>
      <c r="S103" s="580"/>
      <c r="T103" s="580"/>
      <c r="U103" s="582"/>
      <c r="V103" s="580"/>
      <c r="X103" s="580"/>
      <c r="Y103" s="913"/>
      <c r="Z103" s="913"/>
      <c r="AA103" s="913"/>
      <c r="AB103" s="582"/>
    </row>
    <row r="104" spans="9:28" x14ac:dyDescent="0.25">
      <c r="J104" s="366">
        <v>6</v>
      </c>
      <c r="K104" s="318">
        <f>'Structural Information'!$U$6</f>
        <v>3</v>
      </c>
      <c r="L104" s="318">
        <f>L105+K104</f>
        <v>17.75</v>
      </c>
      <c r="M104" s="367">
        <f>'Yield Mechanism'!$X$57</f>
        <v>0.19995986072668318</v>
      </c>
      <c r="N104" s="69">
        <f>M104-M105</f>
        <v>4.2404238141735551E-4</v>
      </c>
      <c r="O104" s="368">
        <f t="shared" ref="O104:O109" si="22">N104/K104</f>
        <v>1.4134746047245184E-4</v>
      </c>
      <c r="P104" s="367">
        <f>$C$26</f>
        <v>8.3119145368492249E-3</v>
      </c>
      <c r="Q104" s="367">
        <f>$D$26</f>
        <v>3.0605372788564604E-3</v>
      </c>
      <c r="R104" s="68">
        <f>O104/P104</f>
        <v>1.7005403489871784E-2</v>
      </c>
      <c r="S104" s="68">
        <f>O104/Q104</f>
        <v>4.6183871521167985E-2</v>
      </c>
      <c r="T104" s="497">
        <f>'Yield Mechanism'!$AI$57</f>
        <v>26.052609188520677</v>
      </c>
      <c r="U104" s="318">
        <f>K104*T104</f>
        <v>78.15782756556203</v>
      </c>
      <c r="V104" s="68">
        <f>U109/AB104</f>
        <v>136.56743632304389</v>
      </c>
      <c r="X104" s="67">
        <v>6</v>
      </c>
      <c r="Y104" s="68">
        <f>'Structural Information'!$Z$6</f>
        <v>37.8446</v>
      </c>
      <c r="Z104" s="68">
        <f t="shared" ref="Z104:Z109" si="23">Y104*M104</f>
        <v>7.5674009452570337</v>
      </c>
      <c r="AA104" s="68">
        <f t="shared" ref="AA104:AA109" si="24">Z104*L104</f>
        <v>134.32136677831235</v>
      </c>
      <c r="AB104" s="68">
        <f>AA110/Z110</f>
        <v>11.666218203452079</v>
      </c>
    </row>
    <row r="105" spans="9:28" x14ac:dyDescent="0.25">
      <c r="J105" s="366">
        <v>5</v>
      </c>
      <c r="K105" s="318">
        <f>'Structural Information'!$U$7</f>
        <v>3</v>
      </c>
      <c r="L105" s="318">
        <f>L106+K105</f>
        <v>14.75</v>
      </c>
      <c r="M105" s="367">
        <f>'Yield Mechanism'!$X$58</f>
        <v>0.19953581834526582</v>
      </c>
      <c r="N105" s="69">
        <f>M105-M106</f>
        <v>6.618950556775971E-4</v>
      </c>
      <c r="O105" s="368">
        <f t="shared" si="22"/>
        <v>2.2063168522586571E-4</v>
      </c>
      <c r="P105" s="367">
        <f>$C$27</f>
        <v>9.597600000000003E-3</v>
      </c>
      <c r="Q105" s="367">
        <f>$D$27</f>
        <v>2.281598782064713E-3</v>
      </c>
      <c r="R105" s="68">
        <f t="shared" ref="R105:R107" si="25">O105/P105</f>
        <v>2.2988214264593819E-2</v>
      </c>
      <c r="S105" s="68">
        <f t="shared" ref="S105:S106" si="26">O105/Q105</f>
        <v>9.6700474667244948E-2</v>
      </c>
      <c r="T105" s="497">
        <f>'Yield Mechanism'!$AI$58</f>
        <v>53.78273378841056</v>
      </c>
      <c r="U105" s="318">
        <f>U104+T105*K105</f>
        <v>239.50602893079372</v>
      </c>
      <c r="V105" s="369"/>
      <c r="X105" s="67">
        <v>5</v>
      </c>
      <c r="Y105" s="68">
        <f>'Structural Information'!$Z$7</f>
        <v>40.367000000000004</v>
      </c>
      <c r="Z105" s="68">
        <f t="shared" si="23"/>
        <v>8.0546623791433465</v>
      </c>
      <c r="AA105" s="68">
        <f t="shared" si="24"/>
        <v>118.80627009236436</v>
      </c>
      <c r="AB105" s="66" t="s">
        <v>378</v>
      </c>
    </row>
    <row r="106" spans="9:28" x14ac:dyDescent="0.25">
      <c r="I106" s="354"/>
      <c r="J106" s="366">
        <v>4</v>
      </c>
      <c r="K106" s="318">
        <f>'Structural Information'!$U$8</f>
        <v>3</v>
      </c>
      <c r="L106" s="318">
        <f>L107+K106</f>
        <v>11.75</v>
      </c>
      <c r="M106" s="367">
        <f>'Yield Mechanism'!$X$59</f>
        <v>0.19887392328958822</v>
      </c>
      <c r="N106" s="368">
        <f>M106-M107</f>
        <v>9.231168043737914E-4</v>
      </c>
      <c r="O106" s="368">
        <f t="shared" si="22"/>
        <v>3.0770560145793047E-4</v>
      </c>
      <c r="P106" s="367">
        <f>$C$28</f>
        <v>9.015519176800749E-3</v>
      </c>
      <c r="Q106" s="367">
        <f>$D$28</f>
        <v>2.1092027799242134E-3</v>
      </c>
      <c r="R106" s="68">
        <f t="shared" si="25"/>
        <v>3.4130657971394057E-2</v>
      </c>
      <c r="S106" s="68">
        <f t="shared" si="26"/>
        <v>0.14588715906632113</v>
      </c>
      <c r="T106" s="497">
        <f>'Yield Mechanism'!$AI$59</f>
        <v>81.420872736209446</v>
      </c>
      <c r="U106" s="318">
        <f>U105+T106*K106</f>
        <v>483.76864713942206</v>
      </c>
      <c r="V106" s="370" t="s">
        <v>130</v>
      </c>
      <c r="X106" s="67">
        <v>4</v>
      </c>
      <c r="Y106" s="68">
        <f>'Structural Information'!$Z$8</f>
        <v>40.367000000000004</v>
      </c>
      <c r="Z106" s="68">
        <f t="shared" si="23"/>
        <v>8.0279436614308093</v>
      </c>
      <c r="AA106" s="68">
        <f t="shared" si="24"/>
        <v>94.328338021812016</v>
      </c>
      <c r="AB106" s="317">
        <f>T109/M104</f>
        <v>682.97425206607954</v>
      </c>
    </row>
    <row r="107" spans="9:28" x14ac:dyDescent="0.25">
      <c r="I107" s="354"/>
      <c r="J107" s="366">
        <v>3</v>
      </c>
      <c r="K107" s="318">
        <f>'Structural Information'!$U$9</f>
        <v>3</v>
      </c>
      <c r="L107" s="318">
        <f>L108+K107</f>
        <v>8.75</v>
      </c>
      <c r="M107" s="367">
        <f>'Yield Mechanism'!$X$60</f>
        <v>0.19795080648521443</v>
      </c>
      <c r="N107" s="69">
        <f>M107-M108</f>
        <v>5.3187153577065882E-3</v>
      </c>
      <c r="O107" s="368">
        <f t="shared" si="22"/>
        <v>1.7729051192355294E-3</v>
      </c>
      <c r="P107" s="367">
        <f>$C$29</f>
        <v>8.5822017391304368E-3</v>
      </c>
      <c r="Q107" s="367">
        <f>$D$29</f>
        <v>1.9542049297578846E-3</v>
      </c>
      <c r="R107" s="318">
        <f t="shared" si="25"/>
        <v>0.20657928735839332</v>
      </c>
      <c r="S107" s="68">
        <f>O107/Q107</f>
        <v>0.90722579410091997</v>
      </c>
      <c r="T107" s="497">
        <f>'Yield Mechanism'!$AI$60</f>
        <v>108.93072321821901</v>
      </c>
      <c r="U107" s="318">
        <f>U106+T107*K107</f>
        <v>810.56081679407907</v>
      </c>
      <c r="V107" s="371">
        <v>0</v>
      </c>
      <c r="X107" s="67">
        <v>3</v>
      </c>
      <c r="Y107" s="68">
        <f>'Structural Information'!$Z$9</f>
        <v>40.367000000000004</v>
      </c>
      <c r="Z107" s="68">
        <f t="shared" si="23"/>
        <v>7.9906802053886521</v>
      </c>
      <c r="AA107" s="68">
        <f t="shared" si="24"/>
        <v>69.918451797150709</v>
      </c>
      <c r="AB107" s="246" t="s">
        <v>380</v>
      </c>
    </row>
    <row r="108" spans="9:28" x14ac:dyDescent="0.25">
      <c r="J108" s="366">
        <v>2</v>
      </c>
      <c r="K108" s="318">
        <f>'Structural Information'!$U$10</f>
        <v>3</v>
      </c>
      <c r="L108" s="318">
        <f>L109+K108</f>
        <v>5.75</v>
      </c>
      <c r="M108" s="367">
        <f>'Yield Mechanism'!$X$61</f>
        <v>0.19263209112750784</v>
      </c>
      <c r="N108" s="69">
        <f>M108-M109</f>
        <v>0.18640051880914391</v>
      </c>
      <c r="O108" s="368">
        <f t="shared" si="22"/>
        <v>6.2133506269714638E-2</v>
      </c>
      <c r="P108" s="367">
        <f>$C$30</f>
        <v>6.7523273096129852E-3</v>
      </c>
      <c r="Q108" s="367">
        <f>$D$30</f>
        <v>1.8141308521286454E-3</v>
      </c>
      <c r="R108" s="68">
        <f>O108/P108</f>
        <v>9.201791237409056</v>
      </c>
      <c r="S108" s="68">
        <f t="shared" ref="S108:S109" si="27">O108/Q108</f>
        <v>34.249737937486202</v>
      </c>
      <c r="T108" s="497">
        <f>'Yield Mechanism'!$AI$61</f>
        <v>135.70141498274251</v>
      </c>
      <c r="U108" s="318">
        <f>U107+T108*K108</f>
        <v>1217.6650617423065</v>
      </c>
      <c r="V108" s="369"/>
      <c r="X108" s="67">
        <v>2</v>
      </c>
      <c r="Y108" s="68">
        <f>'Structural Information'!$Z$10</f>
        <v>40.367000000000004</v>
      </c>
      <c r="Z108" s="68">
        <f t="shared" si="23"/>
        <v>7.77597962254411</v>
      </c>
      <c r="AA108" s="68">
        <f t="shared" si="24"/>
        <v>44.711882829628635</v>
      </c>
      <c r="AB108" s="68">
        <f>(('Structural Information'!$Z$6*M104+'Structural Information'!$Z$7*M105+'Structural Information'!$Z$8*M106+'Structural Information'!$Z$9*M107+'Structural Information'!$Z$10*M108+'Structural Information'!$Z$11*M109)^2)/('Structural Information'!$Z$6*M104*M104+'Structural Information'!$Z$7*M105*M105+'Structural Information'!$Z$8*M106*M106+'Structural Information'!$Z$9*M107*M107+'Structural Information'!$Z$10*M108*M108+'Structural Information'!$Z$11*M109*M109)</f>
        <v>201.78724365604677</v>
      </c>
    </row>
    <row r="109" spans="9:28" x14ac:dyDescent="0.25">
      <c r="J109" s="366">
        <v>1</v>
      </c>
      <c r="K109" s="318">
        <f>'Structural Information'!$U$11</f>
        <v>2.75</v>
      </c>
      <c r="L109" s="318">
        <f>K109</f>
        <v>2.75</v>
      </c>
      <c r="M109" s="367">
        <f>'Yield Mechanism'!$X$62</f>
        <v>6.2315723183639362E-3</v>
      </c>
      <c r="N109" s="69">
        <f>M109</f>
        <v>6.2315723183639362E-3</v>
      </c>
      <c r="O109" s="368">
        <f t="shared" si="22"/>
        <v>2.2660262975868861E-3</v>
      </c>
      <c r="P109" s="367">
        <f>$C$31</f>
        <v>5.3120868684138484E-3</v>
      </c>
      <c r="Q109" s="367">
        <f>$D$31</f>
        <v>1.780731968888595E-3</v>
      </c>
      <c r="R109" s="68">
        <f t="shared" ref="R109" si="28">O109/P109</f>
        <v>0.42657929994723626</v>
      </c>
      <c r="S109" s="68">
        <f t="shared" si="27"/>
        <v>1.2725251959177084</v>
      </c>
      <c r="T109" s="497">
        <f>'Yield Mechanism'!$AI$62</f>
        <v>136.56743632304386</v>
      </c>
      <c r="U109" s="318">
        <f>U108+T109*K109</f>
        <v>1593.2255116306771</v>
      </c>
      <c r="V109" s="372"/>
      <c r="X109" s="67">
        <v>1</v>
      </c>
      <c r="Y109" s="68">
        <f>'Structural Information'!$Z$11</f>
        <v>40.367000000000004</v>
      </c>
      <c r="Z109" s="68">
        <f t="shared" si="23"/>
        <v>0.25154987977539706</v>
      </c>
      <c r="AA109" s="68">
        <f t="shared" si="24"/>
        <v>0.69176216938234192</v>
      </c>
      <c r="AB109" s="66" t="s">
        <v>379</v>
      </c>
    </row>
    <row r="110" spans="9:28" x14ac:dyDescent="0.25">
      <c r="X110" s="373"/>
      <c r="Y110" s="66" t="s">
        <v>95</v>
      </c>
      <c r="Z110" s="374">
        <f>SUM(Z104:Z109)</f>
        <v>39.66821669353935</v>
      </c>
      <c r="AA110" s="374">
        <f>SUM(AA104:AA109)</f>
        <v>462.77807168865041</v>
      </c>
      <c r="AB110" s="317">
        <f>2*PI()*SQRT(AB108/AB106)</f>
        <v>3.4152661743160944</v>
      </c>
    </row>
    <row r="112" spans="9:28" x14ac:dyDescent="0.25">
      <c r="J112" s="919" t="s">
        <v>381</v>
      </c>
      <c r="K112" s="920"/>
      <c r="L112" s="920"/>
      <c r="M112" s="920"/>
      <c r="N112" s="920"/>
      <c r="O112" s="920"/>
      <c r="P112" s="920"/>
      <c r="Q112" s="920"/>
      <c r="R112" s="920"/>
      <c r="S112" s="920"/>
      <c r="T112" s="920"/>
      <c r="U112" s="920"/>
      <c r="V112" s="921"/>
      <c r="W112" s="1"/>
      <c r="X112" s="918" t="s">
        <v>124</v>
      </c>
      <c r="Y112" s="918"/>
      <c r="Z112" s="918"/>
      <c r="AA112" s="918"/>
      <c r="AB112" s="918"/>
    </row>
    <row r="113" spans="2:28" ht="15" customHeight="1" x14ac:dyDescent="0.25">
      <c r="J113" s="580" t="s">
        <v>9</v>
      </c>
      <c r="K113" s="582" t="s">
        <v>3</v>
      </c>
      <c r="L113" s="582" t="s">
        <v>89</v>
      </c>
      <c r="M113" s="580" t="s">
        <v>91</v>
      </c>
      <c r="N113" s="580" t="s">
        <v>98</v>
      </c>
      <c r="O113" s="582" t="s">
        <v>119</v>
      </c>
      <c r="P113" s="582" t="s">
        <v>284</v>
      </c>
      <c r="Q113" s="582" t="s">
        <v>285</v>
      </c>
      <c r="R113" s="580" t="s">
        <v>452</v>
      </c>
      <c r="S113" s="580" t="s">
        <v>453</v>
      </c>
      <c r="T113" s="580" t="s">
        <v>92</v>
      </c>
      <c r="U113" s="582" t="s">
        <v>120</v>
      </c>
      <c r="V113" s="580" t="s">
        <v>96</v>
      </c>
      <c r="X113" s="580" t="s">
        <v>9</v>
      </c>
      <c r="Y113" s="913" t="s">
        <v>93</v>
      </c>
      <c r="Z113" s="913" t="s">
        <v>94</v>
      </c>
      <c r="AA113" s="913" t="s">
        <v>122</v>
      </c>
      <c r="AB113" s="582" t="s">
        <v>123</v>
      </c>
    </row>
    <row r="114" spans="2:28" x14ac:dyDescent="0.25">
      <c r="J114" s="580"/>
      <c r="K114" s="582"/>
      <c r="L114" s="582"/>
      <c r="M114" s="580"/>
      <c r="N114" s="580"/>
      <c r="O114" s="582"/>
      <c r="P114" s="582"/>
      <c r="Q114" s="582"/>
      <c r="R114" s="580"/>
      <c r="S114" s="580"/>
      <c r="T114" s="580"/>
      <c r="U114" s="582"/>
      <c r="V114" s="580"/>
      <c r="X114" s="580"/>
      <c r="Y114" s="913"/>
      <c r="Z114" s="913"/>
      <c r="AA114" s="913"/>
      <c r="AB114" s="582"/>
    </row>
    <row r="115" spans="2:28" x14ac:dyDescent="0.25">
      <c r="J115" s="366">
        <v>6</v>
      </c>
      <c r="K115" s="318">
        <f>'Structural Information'!$U$6</f>
        <v>3</v>
      </c>
      <c r="L115" s="318">
        <f>L116+K115</f>
        <v>17.75</v>
      </c>
      <c r="M115" s="367">
        <f>'Yield Mechanism'!$X$57</f>
        <v>0.19995986072668318</v>
      </c>
      <c r="N115" s="69">
        <f>M115-M116</f>
        <v>4.2404238141735551E-4</v>
      </c>
      <c r="O115" s="368">
        <f t="shared" ref="O115:O120" si="29">N115/K115</f>
        <v>1.4134746047245184E-4</v>
      </c>
      <c r="P115" s="367">
        <f>$C$26</f>
        <v>8.3119145368492249E-3</v>
      </c>
      <c r="Q115" s="367">
        <f>$D$26</f>
        <v>3.0605372788564604E-3</v>
      </c>
      <c r="R115" s="68">
        <f>O115/P115</f>
        <v>1.7005403489871784E-2</v>
      </c>
      <c r="S115" s="68">
        <f>O115/Q115</f>
        <v>4.6183871521167985E-2</v>
      </c>
      <c r="T115" s="497">
        <f>'Yield Mechanism'!$AI$57</f>
        <v>26.052609188520677</v>
      </c>
      <c r="U115" s="318">
        <f>K115*T115</f>
        <v>78.15782756556203</v>
      </c>
      <c r="V115" s="68">
        <f>U120/AB115</f>
        <v>136.56743632304389</v>
      </c>
      <c r="W115" s="45"/>
      <c r="X115" s="67">
        <v>6</v>
      </c>
      <c r="Y115" s="68">
        <f>'Structural Information'!$Z$6</f>
        <v>37.8446</v>
      </c>
      <c r="Z115" s="68">
        <f>Y115*M115</f>
        <v>7.5674009452570337</v>
      </c>
      <c r="AA115" s="68">
        <f t="shared" ref="AA115:AA120" si="30">Z115*L115</f>
        <v>134.32136677831235</v>
      </c>
      <c r="AB115" s="68">
        <f>AA121/Z121</f>
        <v>11.666218203452079</v>
      </c>
    </row>
    <row r="116" spans="2:28" x14ac:dyDescent="0.25">
      <c r="J116" s="366">
        <v>5</v>
      </c>
      <c r="K116" s="318">
        <f>'Structural Information'!$U$7</f>
        <v>3</v>
      </c>
      <c r="L116" s="318">
        <f>L117+K116</f>
        <v>14.75</v>
      </c>
      <c r="M116" s="367">
        <f>'Yield Mechanism'!$X$58</f>
        <v>0.19953581834526582</v>
      </c>
      <c r="N116" s="69">
        <f>M116-M117</f>
        <v>6.618950556775971E-4</v>
      </c>
      <c r="O116" s="368">
        <f t="shared" si="29"/>
        <v>2.2063168522586571E-4</v>
      </c>
      <c r="P116" s="367">
        <f>$C$27</f>
        <v>9.597600000000003E-3</v>
      </c>
      <c r="Q116" s="367">
        <f>$D$27</f>
        <v>2.281598782064713E-3</v>
      </c>
      <c r="R116" s="68">
        <f t="shared" ref="R116:R118" si="31">O116/P116</f>
        <v>2.2988214264593819E-2</v>
      </c>
      <c r="S116" s="68">
        <f t="shared" ref="S116:S117" si="32">O116/Q116</f>
        <v>9.6700474667244948E-2</v>
      </c>
      <c r="T116" s="497">
        <f>'Yield Mechanism'!$AI$58</f>
        <v>53.78273378841056</v>
      </c>
      <c r="U116" s="318">
        <f>U115+T116*K116</f>
        <v>239.50602893079372</v>
      </c>
      <c r="V116" s="369"/>
      <c r="W116" s="45"/>
      <c r="X116" s="67">
        <v>5</v>
      </c>
      <c r="Y116" s="68">
        <f>'Structural Information'!$Z$7</f>
        <v>40.367000000000004</v>
      </c>
      <c r="Z116" s="68">
        <f t="shared" ref="Z116:Z120" si="33">Y116*M116</f>
        <v>8.0546623791433465</v>
      </c>
      <c r="AA116" s="68">
        <f t="shared" si="30"/>
        <v>118.80627009236436</v>
      </c>
      <c r="AB116" s="66" t="s">
        <v>378</v>
      </c>
    </row>
    <row r="117" spans="2:28" ht="15" customHeight="1" x14ac:dyDescent="0.25">
      <c r="J117" s="366">
        <v>4</v>
      </c>
      <c r="K117" s="318">
        <f>'Structural Information'!$U$8</f>
        <v>3</v>
      </c>
      <c r="L117" s="318">
        <f>L118+K117</f>
        <v>11.75</v>
      </c>
      <c r="M117" s="367">
        <f>'Yield Mechanism'!$X$59</f>
        <v>0.19887392328958822</v>
      </c>
      <c r="N117" s="368">
        <f>M117-M118</f>
        <v>9.231168043737914E-4</v>
      </c>
      <c r="O117" s="368">
        <f t="shared" si="29"/>
        <v>3.0770560145793047E-4</v>
      </c>
      <c r="P117" s="367">
        <f>$C$28</f>
        <v>9.015519176800749E-3</v>
      </c>
      <c r="Q117" s="367">
        <f>$D$28</f>
        <v>2.1092027799242134E-3</v>
      </c>
      <c r="R117" s="68">
        <f t="shared" si="31"/>
        <v>3.4130657971394057E-2</v>
      </c>
      <c r="S117" s="68">
        <f t="shared" si="32"/>
        <v>0.14588715906632113</v>
      </c>
      <c r="T117" s="497">
        <f>'Yield Mechanism'!$AI$59</f>
        <v>81.420872736209446</v>
      </c>
      <c r="U117" s="318">
        <f>U116+T117*K117</f>
        <v>483.76864713942206</v>
      </c>
      <c r="V117" s="370" t="s">
        <v>130</v>
      </c>
      <c r="W117" s="45"/>
      <c r="X117" s="67">
        <v>4</v>
      </c>
      <c r="Y117" s="68">
        <f>'Structural Information'!$Z$8</f>
        <v>40.367000000000004</v>
      </c>
      <c r="Z117" s="68">
        <f t="shared" si="33"/>
        <v>8.0279436614308093</v>
      </c>
      <c r="AA117" s="68">
        <f t="shared" si="30"/>
        <v>94.328338021812016</v>
      </c>
      <c r="AB117" s="317">
        <f>T120/M115</f>
        <v>682.97425206607954</v>
      </c>
    </row>
    <row r="118" spans="2:28" ht="15" customHeight="1" x14ac:dyDescent="0.25">
      <c r="J118" s="366">
        <v>3</v>
      </c>
      <c r="K118" s="318">
        <f>'Structural Information'!$U$9</f>
        <v>3</v>
      </c>
      <c r="L118" s="318">
        <f>L119+K118</f>
        <v>8.75</v>
      </c>
      <c r="M118" s="367">
        <f>'Yield Mechanism'!$X$60</f>
        <v>0.19795080648521443</v>
      </c>
      <c r="N118" s="69">
        <f>M118-M119</f>
        <v>5.3187153577065882E-3</v>
      </c>
      <c r="O118" s="368">
        <f t="shared" si="29"/>
        <v>1.7729051192355294E-3</v>
      </c>
      <c r="P118" s="367">
        <f>$C$29</f>
        <v>8.5822017391304368E-3</v>
      </c>
      <c r="Q118" s="367">
        <f>$D$29</f>
        <v>1.9542049297578846E-3</v>
      </c>
      <c r="R118" s="318">
        <f t="shared" si="31"/>
        <v>0.20657928735839332</v>
      </c>
      <c r="S118" s="68">
        <f>O118/Q118</f>
        <v>0.90722579410091997</v>
      </c>
      <c r="T118" s="497">
        <f>'Yield Mechanism'!$AI$60</f>
        <v>108.93072321821901</v>
      </c>
      <c r="U118" s="318">
        <f>U117+T118*K118</f>
        <v>810.56081679407907</v>
      </c>
      <c r="V118" s="371">
        <v>0</v>
      </c>
      <c r="W118" s="45"/>
      <c r="X118" s="67">
        <v>3</v>
      </c>
      <c r="Y118" s="68">
        <f>'Structural Information'!$Z$9</f>
        <v>40.367000000000004</v>
      </c>
      <c r="Z118" s="68">
        <f t="shared" si="33"/>
        <v>7.9906802053886521</v>
      </c>
      <c r="AA118" s="68">
        <f t="shared" si="30"/>
        <v>69.918451797150709</v>
      </c>
      <c r="AB118" s="246" t="s">
        <v>380</v>
      </c>
    </row>
    <row r="119" spans="2:28" x14ac:dyDescent="0.25">
      <c r="J119" s="366">
        <v>2</v>
      </c>
      <c r="K119" s="318">
        <f>'Structural Information'!$U$10</f>
        <v>3</v>
      </c>
      <c r="L119" s="318">
        <f>L120+K119</f>
        <v>5.75</v>
      </c>
      <c r="M119" s="367">
        <f>'Yield Mechanism'!$X$61</f>
        <v>0.19263209112750784</v>
      </c>
      <c r="N119" s="69">
        <f>M119-M120</f>
        <v>0.18640051880914391</v>
      </c>
      <c r="O119" s="368">
        <f t="shared" si="29"/>
        <v>6.2133506269714638E-2</v>
      </c>
      <c r="P119" s="367">
        <f>$C$30</f>
        <v>6.7523273096129852E-3</v>
      </c>
      <c r="Q119" s="367">
        <f>$D$30</f>
        <v>1.8141308521286454E-3</v>
      </c>
      <c r="R119" s="68">
        <f>O119/P119</f>
        <v>9.201791237409056</v>
      </c>
      <c r="S119" s="68">
        <f t="shared" ref="S119:S120" si="34">O119/Q119</f>
        <v>34.249737937486202</v>
      </c>
      <c r="T119" s="497">
        <f>'Yield Mechanism'!$AI$61</f>
        <v>135.70141498274251</v>
      </c>
      <c r="U119" s="318">
        <f>U118+T119*K119</f>
        <v>1217.6650617423065</v>
      </c>
      <c r="V119" s="369"/>
      <c r="W119" s="45"/>
      <c r="X119" s="67">
        <v>2</v>
      </c>
      <c r="Y119" s="68">
        <f>'Structural Information'!$Z$10</f>
        <v>40.367000000000004</v>
      </c>
      <c r="Z119" s="68">
        <f t="shared" si="33"/>
        <v>7.77597962254411</v>
      </c>
      <c r="AA119" s="68">
        <f t="shared" si="30"/>
        <v>44.711882829628635</v>
      </c>
      <c r="AB119" s="68">
        <f>(('Structural Information'!$Z$6*M115+'Structural Information'!$Z$7*M116+'Structural Information'!$Z$8*M117+'Structural Information'!$Z$9*M118+'Structural Information'!$Z$10*M119+'Structural Information'!$Z$11*M120)^2)/('Structural Information'!$Z$6*M115*M115+'Structural Information'!$Z$7*M116*M116+'Structural Information'!$Z$8*M117*M117+'Structural Information'!$Z$9*M118*M118+'Structural Information'!$Z$10*M119*M119+'Structural Information'!$Z$11*M120*M120)</f>
        <v>201.78724365604677</v>
      </c>
    </row>
    <row r="120" spans="2:28" x14ac:dyDescent="0.25">
      <c r="J120" s="366">
        <v>1</v>
      </c>
      <c r="K120" s="318">
        <f>'Structural Information'!$U$11</f>
        <v>2.75</v>
      </c>
      <c r="L120" s="318">
        <f>K120</f>
        <v>2.75</v>
      </c>
      <c r="M120" s="367">
        <f>'Yield Mechanism'!$X$62</f>
        <v>6.2315723183639362E-3</v>
      </c>
      <c r="N120" s="69">
        <f>M120</f>
        <v>6.2315723183639362E-3</v>
      </c>
      <c r="O120" s="368">
        <f t="shared" si="29"/>
        <v>2.2660262975868861E-3</v>
      </c>
      <c r="P120" s="367">
        <f>$C$31</f>
        <v>5.3120868684138484E-3</v>
      </c>
      <c r="Q120" s="367">
        <f>$D$31</f>
        <v>1.780731968888595E-3</v>
      </c>
      <c r="R120" s="68">
        <f t="shared" ref="R120" si="35">O120/P120</f>
        <v>0.42657929994723626</v>
      </c>
      <c r="S120" s="68">
        <f t="shared" si="34"/>
        <v>1.2725251959177084</v>
      </c>
      <c r="T120" s="497">
        <f>'Yield Mechanism'!$AI$62</f>
        <v>136.56743632304386</v>
      </c>
      <c r="U120" s="318">
        <f>U119+T120*K120</f>
        <v>1593.2255116306771</v>
      </c>
      <c r="V120" s="372"/>
      <c r="W120" s="45"/>
      <c r="X120" s="67">
        <v>1</v>
      </c>
      <c r="Y120" s="68">
        <f>'Structural Information'!$Z$11</f>
        <v>40.367000000000004</v>
      </c>
      <c r="Z120" s="68">
        <f t="shared" si="33"/>
        <v>0.25154987977539706</v>
      </c>
      <c r="AA120" s="68">
        <f t="shared" si="30"/>
        <v>0.69176216938234192</v>
      </c>
      <c r="AB120" s="66" t="s">
        <v>379</v>
      </c>
    </row>
    <row r="121" spans="2:28" x14ac:dyDescent="0.25">
      <c r="X121" s="373"/>
      <c r="Y121" s="66" t="s">
        <v>95</v>
      </c>
      <c r="Z121" s="374">
        <f>SUM(Z115:Z120)</f>
        <v>39.66821669353935</v>
      </c>
      <c r="AA121" s="374">
        <f>SUM(AA115:AA120)</f>
        <v>462.77807168865041</v>
      </c>
      <c r="AB121" s="317">
        <f>2*PI()*SQRT(AB119/AB117)</f>
        <v>3.4152661743160944</v>
      </c>
    </row>
    <row r="123" spans="2:28" x14ac:dyDescent="0.25">
      <c r="B123" s="939" t="s">
        <v>231</v>
      </c>
      <c r="C123" s="940"/>
      <c r="D123" s="940"/>
      <c r="E123" s="940"/>
      <c r="F123" s="940"/>
      <c r="G123" s="940"/>
      <c r="H123" s="941"/>
      <c r="J123" s="914" t="s">
        <v>382</v>
      </c>
      <c r="K123" s="914"/>
      <c r="L123" s="914"/>
      <c r="M123" s="914"/>
      <c r="N123" s="914"/>
      <c r="O123" s="914"/>
      <c r="P123" s="914"/>
      <c r="Q123" s="914"/>
      <c r="R123" s="914"/>
      <c r="S123" s="914"/>
      <c r="T123" s="914"/>
      <c r="U123" s="914"/>
      <c r="V123" s="914"/>
      <c r="X123" s="916" t="s">
        <v>124</v>
      </c>
      <c r="Y123" s="916"/>
      <c r="Z123" s="916"/>
      <c r="AA123" s="916"/>
      <c r="AB123" s="916"/>
    </row>
    <row r="124" spans="2:28" x14ac:dyDescent="0.25">
      <c r="B124" s="580" t="s">
        <v>230</v>
      </c>
      <c r="C124" s="580" t="s">
        <v>9</v>
      </c>
      <c r="D124" s="591" t="s">
        <v>101</v>
      </c>
      <c r="E124" s="942"/>
      <c r="F124" s="942"/>
      <c r="G124" s="942"/>
      <c r="H124" s="592"/>
      <c r="J124" s="580" t="s">
        <v>9</v>
      </c>
      <c r="K124" s="582" t="s">
        <v>3</v>
      </c>
      <c r="L124" s="582" t="s">
        <v>89</v>
      </c>
      <c r="M124" s="580" t="s">
        <v>91</v>
      </c>
      <c r="N124" s="580" t="s">
        <v>98</v>
      </c>
      <c r="O124" s="582" t="s">
        <v>119</v>
      </c>
      <c r="P124" s="582" t="s">
        <v>284</v>
      </c>
      <c r="Q124" s="582" t="s">
        <v>285</v>
      </c>
      <c r="R124" s="580" t="s">
        <v>452</v>
      </c>
      <c r="S124" s="580" t="s">
        <v>453</v>
      </c>
      <c r="T124" s="580" t="s">
        <v>92</v>
      </c>
      <c r="U124" s="582" t="s">
        <v>120</v>
      </c>
      <c r="V124" s="580" t="s">
        <v>96</v>
      </c>
      <c r="X124" s="580" t="s">
        <v>9</v>
      </c>
      <c r="Y124" s="913" t="s">
        <v>93</v>
      </c>
      <c r="Z124" s="913" t="s">
        <v>94</v>
      </c>
      <c r="AA124" s="913" t="s">
        <v>122</v>
      </c>
      <c r="AB124" s="582" t="s">
        <v>123</v>
      </c>
    </row>
    <row r="125" spans="2:28" x14ac:dyDescent="0.25">
      <c r="B125" s="580"/>
      <c r="C125" s="580"/>
      <c r="D125" s="391"/>
      <c r="E125" s="391"/>
      <c r="F125" s="391"/>
      <c r="G125" s="391"/>
      <c r="H125" s="392"/>
      <c r="J125" s="580"/>
      <c r="K125" s="582"/>
      <c r="L125" s="582"/>
      <c r="M125" s="580"/>
      <c r="N125" s="580"/>
      <c r="O125" s="582"/>
      <c r="P125" s="582"/>
      <c r="Q125" s="582"/>
      <c r="R125" s="580"/>
      <c r="S125" s="580"/>
      <c r="T125" s="580"/>
      <c r="U125" s="582"/>
      <c r="V125" s="580"/>
      <c r="X125" s="580"/>
      <c r="Y125" s="913"/>
      <c r="Z125" s="913"/>
      <c r="AA125" s="913"/>
      <c r="AB125" s="582"/>
    </row>
    <row r="126" spans="2:28" x14ac:dyDescent="0.25">
      <c r="B126" s="66">
        <f>B127+3</f>
        <v>17.75</v>
      </c>
      <c r="C126" s="66">
        <v>6</v>
      </c>
      <c r="D126" s="69"/>
      <c r="E126" s="69"/>
      <c r="F126" s="69"/>
      <c r="G126" s="69"/>
      <c r="H126" s="393"/>
      <c r="I126" s="390"/>
      <c r="J126" s="366">
        <v>6</v>
      </c>
      <c r="K126" s="318">
        <f>'Structural Information'!$U$6</f>
        <v>3</v>
      </c>
      <c r="L126" s="318">
        <f>L127+K126</f>
        <v>17.75</v>
      </c>
      <c r="M126" s="367">
        <f>'Yield Mechanism'!$X$57</f>
        <v>0.19995986072668318</v>
      </c>
      <c r="N126" s="69">
        <f>M126-M127</f>
        <v>4.2404238141735551E-4</v>
      </c>
      <c r="O126" s="368">
        <f t="shared" ref="O126:O131" si="36">N126/K126</f>
        <v>1.4134746047245184E-4</v>
      </c>
      <c r="P126" s="367">
        <f>$C$26</f>
        <v>8.3119145368492249E-3</v>
      </c>
      <c r="Q126" s="367">
        <f>$D$26</f>
        <v>3.0605372788564604E-3</v>
      </c>
      <c r="R126" s="68">
        <f>O126/P126</f>
        <v>1.7005403489871784E-2</v>
      </c>
      <c r="S126" s="68">
        <f>O126/Q126</f>
        <v>4.6183871521167985E-2</v>
      </c>
      <c r="T126" s="497">
        <f>'Yield Mechanism'!$AI$57</f>
        <v>26.052609188520677</v>
      </c>
      <c r="U126" s="318">
        <f>K126*T126</f>
        <v>78.15782756556203</v>
      </c>
      <c r="V126" s="68">
        <f>U131/AB126</f>
        <v>136.56743632304389</v>
      </c>
      <c r="W126" s="45"/>
      <c r="X126" s="67">
        <v>6</v>
      </c>
      <c r="Y126" s="68">
        <f>'Structural Information'!$Z$6</f>
        <v>37.8446</v>
      </c>
      <c r="Z126" s="68">
        <f t="shared" ref="Z126:Z131" si="37">Y126*M126</f>
        <v>7.5674009452570337</v>
      </c>
      <c r="AA126" s="68">
        <f t="shared" ref="AA126:AA131" si="38">Z126*L126</f>
        <v>134.32136677831235</v>
      </c>
      <c r="AB126" s="68">
        <f>AA132/Z132</f>
        <v>11.666218203452079</v>
      </c>
    </row>
    <row r="127" spans="2:28" x14ac:dyDescent="0.25">
      <c r="B127" s="66">
        <f>B128+3</f>
        <v>14.75</v>
      </c>
      <c r="C127" s="66">
        <v>5</v>
      </c>
      <c r="D127" s="69"/>
      <c r="E127" s="69"/>
      <c r="F127" s="69"/>
      <c r="G127" s="69"/>
      <c r="H127" s="393"/>
      <c r="I127" s="390"/>
      <c r="J127" s="366">
        <v>5</v>
      </c>
      <c r="K127" s="318">
        <f>'Structural Information'!$U$7</f>
        <v>3</v>
      </c>
      <c r="L127" s="318">
        <f>L128+K127</f>
        <v>14.75</v>
      </c>
      <c r="M127" s="367">
        <f>'Yield Mechanism'!$X$58</f>
        <v>0.19953581834526582</v>
      </c>
      <c r="N127" s="69">
        <f>M127-M128</f>
        <v>6.618950556775971E-4</v>
      </c>
      <c r="O127" s="368">
        <f t="shared" si="36"/>
        <v>2.2063168522586571E-4</v>
      </c>
      <c r="P127" s="367">
        <f>$C$27</f>
        <v>9.597600000000003E-3</v>
      </c>
      <c r="Q127" s="367">
        <f>$D$27</f>
        <v>2.281598782064713E-3</v>
      </c>
      <c r="R127" s="68">
        <f t="shared" ref="R127:R129" si="39">O127/P127</f>
        <v>2.2988214264593819E-2</v>
      </c>
      <c r="S127" s="68">
        <f t="shared" ref="S127:S128" si="40">O127/Q127</f>
        <v>9.6700474667244948E-2</v>
      </c>
      <c r="T127" s="497">
        <f>'Yield Mechanism'!$AI$58</f>
        <v>53.78273378841056</v>
      </c>
      <c r="U127" s="318">
        <f>U126+T127*K127</f>
        <v>239.50602893079372</v>
      </c>
      <c r="V127" s="369"/>
      <c r="W127" s="45"/>
      <c r="X127" s="67">
        <v>5</v>
      </c>
      <c r="Y127" s="68">
        <f>'Structural Information'!$Z$7</f>
        <v>40.367000000000004</v>
      </c>
      <c r="Z127" s="68">
        <f t="shared" si="37"/>
        <v>8.0546623791433465</v>
      </c>
      <c r="AA127" s="68">
        <f t="shared" si="38"/>
        <v>118.80627009236436</v>
      </c>
      <c r="AB127" s="66" t="s">
        <v>378</v>
      </c>
    </row>
    <row r="128" spans="2:28" x14ac:dyDescent="0.25">
      <c r="B128" s="66">
        <f>B129+3</f>
        <v>11.75</v>
      </c>
      <c r="C128" s="66">
        <v>4</v>
      </c>
      <c r="D128" s="69"/>
      <c r="E128" s="69"/>
      <c r="F128" s="69"/>
      <c r="G128" s="69"/>
      <c r="H128" s="393"/>
      <c r="I128" s="390"/>
      <c r="J128" s="366">
        <v>4</v>
      </c>
      <c r="K128" s="318">
        <f>'Structural Information'!$U$8</f>
        <v>3</v>
      </c>
      <c r="L128" s="318">
        <f>L129+K128</f>
        <v>11.75</v>
      </c>
      <c r="M128" s="367">
        <f>'Yield Mechanism'!$X$59</f>
        <v>0.19887392328958822</v>
      </c>
      <c r="N128" s="368">
        <f>M128-M129</f>
        <v>9.231168043737914E-4</v>
      </c>
      <c r="O128" s="368">
        <f t="shared" si="36"/>
        <v>3.0770560145793047E-4</v>
      </c>
      <c r="P128" s="367">
        <f>$C$28</f>
        <v>9.015519176800749E-3</v>
      </c>
      <c r="Q128" s="367">
        <f>$D$28</f>
        <v>2.1092027799242134E-3</v>
      </c>
      <c r="R128" s="68">
        <f t="shared" si="39"/>
        <v>3.4130657971394057E-2</v>
      </c>
      <c r="S128" s="68">
        <f t="shared" si="40"/>
        <v>0.14588715906632113</v>
      </c>
      <c r="T128" s="497">
        <f>'Yield Mechanism'!$AI$59</f>
        <v>81.420872736209446</v>
      </c>
      <c r="U128" s="318">
        <f>U127+T128*K128</f>
        <v>483.76864713942206</v>
      </c>
      <c r="V128" s="370" t="s">
        <v>130</v>
      </c>
      <c r="W128" s="45"/>
      <c r="X128" s="67">
        <v>4</v>
      </c>
      <c r="Y128" s="68">
        <f>'Structural Information'!$Z$8</f>
        <v>40.367000000000004</v>
      </c>
      <c r="Z128" s="68">
        <f t="shared" si="37"/>
        <v>8.0279436614308093</v>
      </c>
      <c r="AA128" s="68">
        <f t="shared" si="38"/>
        <v>94.328338021812016</v>
      </c>
      <c r="AB128" s="317">
        <f>T131/M126</f>
        <v>682.97425206607954</v>
      </c>
    </row>
    <row r="129" spans="2:28" x14ac:dyDescent="0.25">
      <c r="B129" s="66">
        <f>B130+3</f>
        <v>8.75</v>
      </c>
      <c r="C129" s="66">
        <v>3</v>
      </c>
      <c r="D129" s="69"/>
      <c r="E129" s="69"/>
      <c r="F129" s="69"/>
      <c r="G129" s="69"/>
      <c r="H129" s="393"/>
      <c r="I129" s="390"/>
      <c r="J129" s="366">
        <v>3</v>
      </c>
      <c r="K129" s="318">
        <f>'Structural Information'!$U$9</f>
        <v>3</v>
      </c>
      <c r="L129" s="318">
        <f>L130+K129</f>
        <v>8.75</v>
      </c>
      <c r="M129" s="367">
        <f>'Yield Mechanism'!$X$60</f>
        <v>0.19795080648521443</v>
      </c>
      <c r="N129" s="69">
        <f>M129-M130</f>
        <v>5.3187153577065882E-3</v>
      </c>
      <c r="O129" s="368">
        <f t="shared" si="36"/>
        <v>1.7729051192355294E-3</v>
      </c>
      <c r="P129" s="367">
        <f>$C$29</f>
        <v>8.5822017391304368E-3</v>
      </c>
      <c r="Q129" s="367">
        <f>$D$29</f>
        <v>1.9542049297578846E-3</v>
      </c>
      <c r="R129" s="318">
        <f t="shared" si="39"/>
        <v>0.20657928735839332</v>
      </c>
      <c r="S129" s="68">
        <f>O129/Q129</f>
        <v>0.90722579410091997</v>
      </c>
      <c r="T129" s="497">
        <f>'Yield Mechanism'!$AI$60</f>
        <v>108.93072321821901</v>
      </c>
      <c r="U129" s="318">
        <f>U128+T129*K129</f>
        <v>810.56081679407907</v>
      </c>
      <c r="V129" s="371">
        <v>0</v>
      </c>
      <c r="W129" s="45"/>
      <c r="X129" s="67">
        <v>3</v>
      </c>
      <c r="Y129" s="68">
        <f>'Structural Information'!$Z$9</f>
        <v>40.367000000000004</v>
      </c>
      <c r="Z129" s="68">
        <f t="shared" si="37"/>
        <v>7.9906802053886521</v>
      </c>
      <c r="AA129" s="68">
        <f t="shared" si="38"/>
        <v>69.918451797150709</v>
      </c>
      <c r="AB129" s="246" t="s">
        <v>380</v>
      </c>
    </row>
    <row r="130" spans="2:28" x14ac:dyDescent="0.25">
      <c r="B130" s="66">
        <f>B131+3</f>
        <v>5.75</v>
      </c>
      <c r="C130" s="66">
        <v>2</v>
      </c>
      <c r="D130" s="69"/>
      <c r="E130" s="69"/>
      <c r="F130" s="69"/>
      <c r="G130" s="69"/>
      <c r="H130" s="393"/>
      <c r="I130" s="390"/>
      <c r="J130" s="366">
        <v>2</v>
      </c>
      <c r="K130" s="318">
        <f>'Structural Information'!$U$10</f>
        <v>3</v>
      </c>
      <c r="L130" s="318">
        <f>L131+K130</f>
        <v>5.75</v>
      </c>
      <c r="M130" s="367">
        <f>'Yield Mechanism'!$X$61</f>
        <v>0.19263209112750784</v>
      </c>
      <c r="N130" s="69">
        <f>M130-M131</f>
        <v>0.18640051880914391</v>
      </c>
      <c r="O130" s="368">
        <f t="shared" si="36"/>
        <v>6.2133506269714638E-2</v>
      </c>
      <c r="P130" s="367">
        <f>$C$30</f>
        <v>6.7523273096129852E-3</v>
      </c>
      <c r="Q130" s="367">
        <f>$D$30</f>
        <v>1.8141308521286454E-3</v>
      </c>
      <c r="R130" s="68">
        <f>O130/P130</f>
        <v>9.201791237409056</v>
      </c>
      <c r="S130" s="68">
        <f t="shared" ref="S130:S131" si="41">O130/Q130</f>
        <v>34.249737937486202</v>
      </c>
      <c r="T130" s="497">
        <f>'Yield Mechanism'!$AI$61</f>
        <v>135.70141498274251</v>
      </c>
      <c r="U130" s="318">
        <f>U129+T130*K130</f>
        <v>1217.6650617423065</v>
      </c>
      <c r="V130" s="369"/>
      <c r="W130" s="45"/>
      <c r="X130" s="67">
        <v>2</v>
      </c>
      <c r="Y130" s="68">
        <f>'Structural Information'!$Z$10</f>
        <v>40.367000000000004</v>
      </c>
      <c r="Z130" s="68">
        <f t="shared" si="37"/>
        <v>7.77597962254411</v>
      </c>
      <c r="AA130" s="68">
        <f t="shared" si="38"/>
        <v>44.711882829628635</v>
      </c>
      <c r="AB130" s="68">
        <f>(('Structural Information'!$Z$6*M126+'Structural Information'!$Z$7*M127+'Structural Information'!$Z$8*M128+'Structural Information'!$Z$9*M129+'Structural Information'!$Z$10*M130+'Structural Information'!$Z$11*M131)^2)/('Structural Information'!$Z$6*M126*M126+'Structural Information'!$Z$7*M127*M127+'Structural Information'!$Z$8*M128*M128+'Structural Information'!$Z$9*M129*M129+'Structural Information'!$Z$10*M130*M130+'Structural Information'!$Z$11*M131*M131)</f>
        <v>201.78724365604677</v>
      </c>
    </row>
    <row r="131" spans="2:28" x14ac:dyDescent="0.25">
      <c r="B131" s="66">
        <v>2.75</v>
      </c>
      <c r="C131" s="66">
        <v>1</v>
      </c>
      <c r="D131" s="69"/>
      <c r="E131" s="69"/>
      <c r="F131" s="69"/>
      <c r="G131" s="69"/>
      <c r="H131" s="393"/>
      <c r="I131" s="390"/>
      <c r="J131" s="366">
        <v>1</v>
      </c>
      <c r="K131" s="318">
        <f>'Structural Information'!$U$11</f>
        <v>2.75</v>
      </c>
      <c r="L131" s="318">
        <f>K131</f>
        <v>2.75</v>
      </c>
      <c r="M131" s="367">
        <f>'Yield Mechanism'!$X$62</f>
        <v>6.2315723183639362E-3</v>
      </c>
      <c r="N131" s="69">
        <f>M131</f>
        <v>6.2315723183639362E-3</v>
      </c>
      <c r="O131" s="368">
        <f t="shared" si="36"/>
        <v>2.2660262975868861E-3</v>
      </c>
      <c r="P131" s="367">
        <f>$C$31</f>
        <v>5.3120868684138484E-3</v>
      </c>
      <c r="Q131" s="367">
        <f>$D$31</f>
        <v>1.780731968888595E-3</v>
      </c>
      <c r="R131" s="68">
        <f t="shared" ref="R131" si="42">O131/P131</f>
        <v>0.42657929994723626</v>
      </c>
      <c r="S131" s="68">
        <f t="shared" si="41"/>
        <v>1.2725251959177084</v>
      </c>
      <c r="T131" s="497">
        <f>'Yield Mechanism'!$AI$62</f>
        <v>136.56743632304386</v>
      </c>
      <c r="U131" s="318">
        <f>U130+T131*K131</f>
        <v>1593.2255116306771</v>
      </c>
      <c r="V131" s="372"/>
      <c r="W131" s="45"/>
      <c r="X131" s="67">
        <v>1</v>
      </c>
      <c r="Y131" s="68">
        <f>'Structural Information'!$Z$11</f>
        <v>40.367000000000004</v>
      </c>
      <c r="Z131" s="68">
        <f t="shared" si="37"/>
        <v>0.25154987977539706</v>
      </c>
      <c r="AA131" s="68">
        <f t="shared" si="38"/>
        <v>0.69176216938234192</v>
      </c>
      <c r="AB131" s="66" t="s">
        <v>379</v>
      </c>
    </row>
    <row r="132" spans="2:28" x14ac:dyDescent="0.25">
      <c r="B132" s="391">
        <v>0</v>
      </c>
      <c r="C132" s="66">
        <v>0</v>
      </c>
      <c r="D132" s="69"/>
      <c r="E132" s="69"/>
      <c r="F132" s="69"/>
      <c r="G132" s="69"/>
      <c r="H132" s="393"/>
      <c r="I132" s="390"/>
      <c r="X132" s="373"/>
      <c r="Y132" s="66" t="s">
        <v>95</v>
      </c>
      <c r="Z132" s="374">
        <f>SUM(Z126:Z131)</f>
        <v>39.66821669353935</v>
      </c>
      <c r="AA132" s="374">
        <f>SUM(AA126:AA131)</f>
        <v>462.77807168865041</v>
      </c>
      <c r="AB132" s="317">
        <f>2*PI()*SQRT(AB130/AB128)</f>
        <v>3.4152661743160944</v>
      </c>
    </row>
    <row r="134" spans="2:28" x14ac:dyDescent="0.25">
      <c r="B134" s="904" t="s">
        <v>139</v>
      </c>
      <c r="C134" s="905"/>
      <c r="D134" s="905"/>
      <c r="E134" s="905"/>
      <c r="F134" s="905"/>
      <c r="G134" s="905"/>
      <c r="H134" s="906"/>
      <c r="J134" s="919" t="s">
        <v>383</v>
      </c>
      <c r="K134" s="920"/>
      <c r="L134" s="920"/>
      <c r="M134" s="920"/>
      <c r="N134" s="920"/>
      <c r="O134" s="920"/>
      <c r="P134" s="920"/>
      <c r="Q134" s="920"/>
      <c r="R134" s="920"/>
      <c r="S134" s="920"/>
      <c r="T134" s="920"/>
      <c r="U134" s="920"/>
      <c r="V134" s="921"/>
      <c r="X134" s="917" t="s">
        <v>124</v>
      </c>
      <c r="Y134" s="917"/>
      <c r="Z134" s="917"/>
      <c r="AA134" s="917"/>
      <c r="AB134" s="917"/>
    </row>
    <row r="135" spans="2:28" x14ac:dyDescent="0.25">
      <c r="B135" s="580" t="s">
        <v>9</v>
      </c>
      <c r="C135" s="580" t="s">
        <v>133</v>
      </c>
      <c r="D135" s="580" t="s">
        <v>134</v>
      </c>
      <c r="E135" s="580" t="s">
        <v>135</v>
      </c>
      <c r="F135" s="580" t="s">
        <v>136</v>
      </c>
      <c r="G135" s="580" t="s">
        <v>137</v>
      </c>
      <c r="H135" s="580" t="s">
        <v>138</v>
      </c>
      <c r="J135" s="580" t="s">
        <v>9</v>
      </c>
      <c r="K135" s="582" t="s">
        <v>3</v>
      </c>
      <c r="L135" s="582" t="s">
        <v>89</v>
      </c>
      <c r="M135" s="580" t="s">
        <v>91</v>
      </c>
      <c r="N135" s="580" t="s">
        <v>98</v>
      </c>
      <c r="O135" s="582" t="s">
        <v>119</v>
      </c>
      <c r="P135" s="582" t="s">
        <v>284</v>
      </c>
      <c r="Q135" s="582" t="s">
        <v>285</v>
      </c>
      <c r="R135" s="580" t="s">
        <v>452</v>
      </c>
      <c r="S135" s="580" t="s">
        <v>453</v>
      </c>
      <c r="T135" s="580" t="s">
        <v>92</v>
      </c>
      <c r="U135" s="582" t="s">
        <v>120</v>
      </c>
      <c r="V135" s="580" t="s">
        <v>96</v>
      </c>
      <c r="X135" s="580" t="s">
        <v>9</v>
      </c>
      <c r="Y135" s="913" t="s">
        <v>93</v>
      </c>
      <c r="Z135" s="913" t="s">
        <v>94</v>
      </c>
      <c r="AA135" s="913" t="s">
        <v>122</v>
      </c>
      <c r="AB135" s="582" t="s">
        <v>123</v>
      </c>
    </row>
    <row r="136" spans="2:28" x14ac:dyDescent="0.25">
      <c r="B136" s="580"/>
      <c r="C136" s="580"/>
      <c r="D136" s="580"/>
      <c r="E136" s="580"/>
      <c r="F136" s="580"/>
      <c r="G136" s="580"/>
      <c r="H136" s="580"/>
      <c r="J136" s="580"/>
      <c r="K136" s="582"/>
      <c r="L136" s="582"/>
      <c r="M136" s="580"/>
      <c r="N136" s="580"/>
      <c r="O136" s="582"/>
      <c r="P136" s="582"/>
      <c r="Q136" s="582"/>
      <c r="R136" s="580"/>
      <c r="S136" s="580"/>
      <c r="T136" s="580"/>
      <c r="U136" s="582"/>
      <c r="V136" s="580"/>
      <c r="X136" s="580"/>
      <c r="Y136" s="913"/>
      <c r="Z136" s="913"/>
      <c r="AA136" s="913"/>
      <c r="AB136" s="582"/>
    </row>
    <row r="137" spans="2:28" x14ac:dyDescent="0.25">
      <c r="B137" s="394">
        <v>6</v>
      </c>
      <c r="C137" s="69">
        <f t="shared" ref="C137:C143" si="43">M5-H126</f>
        <v>2.6199995195363E-2</v>
      </c>
      <c r="D137" s="69">
        <f t="shared" ref="D137:D142" si="44">M16-H126</f>
        <v>2.6599712598064821E-2</v>
      </c>
      <c r="E137" s="69">
        <f t="shared" ref="E137:E142" si="45">M27-H126</f>
        <v>3.3676562727157675E-2</v>
      </c>
      <c r="F137" s="69">
        <f t="shared" ref="F137:F142" si="46">M38-H126</f>
        <v>5.0996640018404815E-2</v>
      </c>
      <c r="G137" s="69">
        <f t="shared" ref="G137:G142" si="47">M49-H126</f>
        <v>5.2991834214731082E-2</v>
      </c>
      <c r="H137" s="69">
        <f t="shared" ref="H137:H142" si="48">M104-H126</f>
        <v>0.19995986072668318</v>
      </c>
      <c r="J137" s="366">
        <v>6</v>
      </c>
      <c r="K137" s="318">
        <f>'Structural Information'!$U$6</f>
        <v>3</v>
      </c>
      <c r="L137" s="318">
        <f>L138+K137</f>
        <v>17.75</v>
      </c>
      <c r="M137" s="367">
        <f>'Yield Mechanism'!$X$57</f>
        <v>0.19995986072668318</v>
      </c>
      <c r="N137" s="69">
        <f>M137-M138</f>
        <v>4.2404238141735551E-4</v>
      </c>
      <c r="O137" s="368">
        <f t="shared" ref="O137:O142" si="49">N137/K137</f>
        <v>1.4134746047245184E-4</v>
      </c>
      <c r="P137" s="367">
        <f>$C$26</f>
        <v>8.3119145368492249E-3</v>
      </c>
      <c r="Q137" s="367">
        <f>$D$26</f>
        <v>3.0605372788564604E-3</v>
      </c>
      <c r="R137" s="68">
        <f>O137/P137</f>
        <v>1.7005403489871784E-2</v>
      </c>
      <c r="S137" s="68">
        <f>O137/Q137</f>
        <v>4.6183871521167985E-2</v>
      </c>
      <c r="T137" s="497">
        <f>'Yield Mechanism'!$AI$57</f>
        <v>26.052609188520677</v>
      </c>
      <c r="U137" s="318">
        <f>K137*T137</f>
        <v>78.15782756556203</v>
      </c>
      <c r="V137" s="68">
        <f>U142/AB137</f>
        <v>136.56743632304389</v>
      </c>
      <c r="W137" s="45"/>
      <c r="X137" s="67">
        <v>6</v>
      </c>
      <c r="Y137" s="68">
        <f>'Structural Information'!$Z$6</f>
        <v>37.8446</v>
      </c>
      <c r="Z137" s="68">
        <f t="shared" ref="Z137:Z142" si="50">Y137*M137</f>
        <v>7.5674009452570337</v>
      </c>
      <c r="AA137" s="68">
        <f t="shared" ref="AA137:AA142" si="51">Z137*L137</f>
        <v>134.32136677831235</v>
      </c>
      <c r="AB137" s="68">
        <f>AA143/Z143</f>
        <v>11.666218203452079</v>
      </c>
    </row>
    <row r="138" spans="2:28" x14ac:dyDescent="0.25">
      <c r="B138" s="394">
        <v>5</v>
      </c>
      <c r="C138" s="69">
        <f t="shared" si="43"/>
        <v>2.3798157738099956E-2</v>
      </c>
      <c r="D138" s="69">
        <f t="shared" si="44"/>
        <v>2.4181164346738161E-2</v>
      </c>
      <c r="E138" s="69">
        <f t="shared" si="45"/>
        <v>3.1090323318891007E-2</v>
      </c>
      <c r="F138" s="69">
        <f t="shared" si="46"/>
        <v>4.8024671507759603E-2</v>
      </c>
      <c r="G138" s="69">
        <f t="shared" si="47"/>
        <v>5.0501640426953744E-2</v>
      </c>
      <c r="H138" s="69">
        <f t="shared" si="48"/>
        <v>0.19953581834526582</v>
      </c>
      <c r="I138" s="395"/>
      <c r="J138" s="366">
        <v>5</v>
      </c>
      <c r="K138" s="318">
        <f>'Structural Information'!$U$7</f>
        <v>3</v>
      </c>
      <c r="L138" s="318">
        <f>L139+K138</f>
        <v>14.75</v>
      </c>
      <c r="M138" s="367">
        <f>'Yield Mechanism'!$X$58</f>
        <v>0.19953581834526582</v>
      </c>
      <c r="N138" s="69">
        <f>M138-M139</f>
        <v>6.618950556775971E-4</v>
      </c>
      <c r="O138" s="368">
        <f t="shared" si="49"/>
        <v>2.2063168522586571E-4</v>
      </c>
      <c r="P138" s="367">
        <f>$C$27</f>
        <v>9.597600000000003E-3</v>
      </c>
      <c r="Q138" s="367">
        <f>$D$27</f>
        <v>2.281598782064713E-3</v>
      </c>
      <c r="R138" s="68">
        <f t="shared" ref="R138:R140" si="52">O138/P138</f>
        <v>2.2988214264593819E-2</v>
      </c>
      <c r="S138" s="68">
        <f t="shared" ref="S138:S139" si="53">O138/Q138</f>
        <v>9.6700474667244948E-2</v>
      </c>
      <c r="T138" s="497">
        <f>'Yield Mechanism'!$AI$58</f>
        <v>53.78273378841056</v>
      </c>
      <c r="U138" s="318">
        <f>U137+T138*K138</f>
        <v>239.50602893079372</v>
      </c>
      <c r="V138" s="369"/>
      <c r="W138" s="45"/>
      <c r="X138" s="67">
        <v>5</v>
      </c>
      <c r="Y138" s="68">
        <f>'Structural Information'!$Z$7</f>
        <v>40.367000000000004</v>
      </c>
      <c r="Z138" s="68">
        <f t="shared" si="50"/>
        <v>8.0546623791433465</v>
      </c>
      <c r="AA138" s="68">
        <f t="shared" si="51"/>
        <v>118.80627009236436</v>
      </c>
      <c r="AB138" s="66" t="s">
        <v>378</v>
      </c>
    </row>
    <row r="139" spans="2:28" x14ac:dyDescent="0.25">
      <c r="B139" s="394">
        <v>4</v>
      </c>
      <c r="C139" s="69">
        <f t="shared" si="43"/>
        <v>2.0222561500584352E-2</v>
      </c>
      <c r="D139" s="69">
        <f t="shared" si="44"/>
        <v>2.0579229204241066E-2</v>
      </c>
      <c r="E139" s="69">
        <f t="shared" si="45"/>
        <v>2.7209178775528045E-2</v>
      </c>
      <c r="F139" s="69">
        <f t="shared" si="46"/>
        <v>4.3520279188268923E-2</v>
      </c>
      <c r="G139" s="69">
        <f t="shared" si="47"/>
        <v>4.6704772456291468E-2</v>
      </c>
      <c r="H139" s="69">
        <f t="shared" si="48"/>
        <v>0.19887392328958822</v>
      </c>
      <c r="I139" s="395"/>
      <c r="J139" s="366">
        <v>4</v>
      </c>
      <c r="K139" s="318">
        <f>'Structural Information'!$U$8</f>
        <v>3</v>
      </c>
      <c r="L139" s="318">
        <f>L140+K139</f>
        <v>11.75</v>
      </c>
      <c r="M139" s="367">
        <f>'Yield Mechanism'!$X$59</f>
        <v>0.19887392328958822</v>
      </c>
      <c r="N139" s="368">
        <f>M139-M140</f>
        <v>9.231168043737914E-4</v>
      </c>
      <c r="O139" s="368">
        <f t="shared" si="49"/>
        <v>3.0770560145793047E-4</v>
      </c>
      <c r="P139" s="367">
        <f>$C$28</f>
        <v>9.015519176800749E-3</v>
      </c>
      <c r="Q139" s="367">
        <f>$D$28</f>
        <v>2.1092027799242134E-3</v>
      </c>
      <c r="R139" s="68">
        <f t="shared" si="52"/>
        <v>3.4130657971394057E-2</v>
      </c>
      <c r="S139" s="68">
        <f t="shared" si="53"/>
        <v>0.14588715906632113</v>
      </c>
      <c r="T139" s="497">
        <f>'Yield Mechanism'!$AI$59</f>
        <v>81.420872736209446</v>
      </c>
      <c r="U139" s="318">
        <f>U138+T139*K139</f>
        <v>483.76864713942206</v>
      </c>
      <c r="V139" s="370" t="s">
        <v>130</v>
      </c>
      <c r="W139" s="45"/>
      <c r="X139" s="67">
        <v>4</v>
      </c>
      <c r="Y139" s="68">
        <f>'Structural Information'!$Z$8</f>
        <v>40.367000000000004</v>
      </c>
      <c r="Z139" s="68">
        <f t="shared" si="50"/>
        <v>8.0279436614308093</v>
      </c>
      <c r="AA139" s="68">
        <f t="shared" si="51"/>
        <v>94.328338021812016</v>
      </c>
      <c r="AB139" s="317">
        <f>T142/M137</f>
        <v>682.97425206607954</v>
      </c>
    </row>
    <row r="140" spans="2:28" x14ac:dyDescent="0.25">
      <c r="B140" s="394">
        <v>3</v>
      </c>
      <c r="C140" s="69">
        <f t="shared" si="43"/>
        <v>1.5551152770493858E-2</v>
      </c>
      <c r="D140" s="69">
        <f t="shared" si="44"/>
        <v>1.5870720129237251E-2</v>
      </c>
      <c r="E140" s="69">
        <f t="shared" si="45"/>
        <v>2.2081161189511256E-2</v>
      </c>
      <c r="F140" s="69">
        <f t="shared" si="46"/>
        <v>3.7486206297435709E-2</v>
      </c>
      <c r="G140" s="69">
        <f t="shared" si="47"/>
        <v>4.1576242885286489E-2</v>
      </c>
      <c r="H140" s="69">
        <f t="shared" si="48"/>
        <v>0.19795080648521443</v>
      </c>
      <c r="J140" s="366">
        <v>3</v>
      </c>
      <c r="K140" s="318">
        <f>'Structural Information'!$U$9</f>
        <v>3</v>
      </c>
      <c r="L140" s="318">
        <f>L141+K140</f>
        <v>8.75</v>
      </c>
      <c r="M140" s="367">
        <f>'Yield Mechanism'!$X$60</f>
        <v>0.19795080648521443</v>
      </c>
      <c r="N140" s="69">
        <f>M140-M141</f>
        <v>5.3187153577065882E-3</v>
      </c>
      <c r="O140" s="368">
        <f t="shared" si="49"/>
        <v>1.7729051192355294E-3</v>
      </c>
      <c r="P140" s="367">
        <f>$C$29</f>
        <v>8.5822017391304368E-3</v>
      </c>
      <c r="Q140" s="367">
        <f>$D$29</f>
        <v>1.9542049297578846E-3</v>
      </c>
      <c r="R140" s="318">
        <f t="shared" si="52"/>
        <v>0.20657928735839332</v>
      </c>
      <c r="S140" s="68">
        <f>O140/Q140</f>
        <v>0.90722579410091997</v>
      </c>
      <c r="T140" s="497">
        <f>'Yield Mechanism'!$AI$60</f>
        <v>108.93072321821901</v>
      </c>
      <c r="U140" s="318">
        <f>U139+T140*K140</f>
        <v>810.56081679407907</v>
      </c>
      <c r="V140" s="371">
        <v>0</v>
      </c>
      <c r="W140" s="45"/>
      <c r="X140" s="67">
        <v>3</v>
      </c>
      <c r="Y140" s="68">
        <f>'Structural Information'!$Z$9</f>
        <v>40.367000000000004</v>
      </c>
      <c r="Z140" s="68">
        <f t="shared" si="50"/>
        <v>7.9906802053886521</v>
      </c>
      <c r="AA140" s="68">
        <f t="shared" si="51"/>
        <v>69.918451797150709</v>
      </c>
      <c r="AB140" s="246" t="s">
        <v>380</v>
      </c>
    </row>
    <row r="141" spans="2:28" x14ac:dyDescent="0.25">
      <c r="B141" s="394">
        <v>2</v>
      </c>
      <c r="C141" s="69">
        <f t="shared" si="43"/>
        <v>1.0295982302774337E-2</v>
      </c>
      <c r="D141" s="69">
        <f t="shared" si="44"/>
        <v>1.0569670019785846E-2</v>
      </c>
      <c r="E141" s="69">
        <f t="shared" si="45"/>
        <v>1.6240295539493091E-2</v>
      </c>
      <c r="F141" s="69">
        <f t="shared" si="46"/>
        <v>2.6221171177326977E-2</v>
      </c>
      <c r="G141" s="69">
        <f t="shared" si="47"/>
        <v>3.1355868102946514E-2</v>
      </c>
      <c r="H141" s="69">
        <f t="shared" si="48"/>
        <v>0.19263209112750784</v>
      </c>
      <c r="J141" s="366">
        <v>2</v>
      </c>
      <c r="K141" s="318">
        <f>'Structural Information'!$U$10</f>
        <v>3</v>
      </c>
      <c r="L141" s="318">
        <f>L142+K141</f>
        <v>5.75</v>
      </c>
      <c r="M141" s="367">
        <f>'Yield Mechanism'!$X$61</f>
        <v>0.19263209112750784</v>
      </c>
      <c r="N141" s="69">
        <f>M141-M142</f>
        <v>0.18640051880914391</v>
      </c>
      <c r="O141" s="368">
        <f t="shared" si="49"/>
        <v>6.2133506269714638E-2</v>
      </c>
      <c r="P141" s="367">
        <f>$C$30</f>
        <v>6.7523273096129852E-3</v>
      </c>
      <c r="Q141" s="367">
        <f>$D$30</f>
        <v>1.8141308521286454E-3</v>
      </c>
      <c r="R141" s="68">
        <f>O141/P141</f>
        <v>9.201791237409056</v>
      </c>
      <c r="S141" s="68">
        <f t="shared" ref="S141:S142" si="54">O141/Q141</f>
        <v>34.249737937486202</v>
      </c>
      <c r="T141" s="497">
        <f>'Yield Mechanism'!$AI$61</f>
        <v>135.70141498274251</v>
      </c>
      <c r="U141" s="318">
        <f>U140+T141*K141</f>
        <v>1217.6650617423065</v>
      </c>
      <c r="V141" s="369"/>
      <c r="W141" s="45"/>
      <c r="X141" s="67">
        <v>2</v>
      </c>
      <c r="Y141" s="68">
        <f>'Structural Information'!$Z$10</f>
        <v>40.367000000000004</v>
      </c>
      <c r="Z141" s="68">
        <f t="shared" si="50"/>
        <v>7.77597962254411</v>
      </c>
      <c r="AA141" s="68">
        <f t="shared" si="51"/>
        <v>44.711882829628635</v>
      </c>
      <c r="AB141" s="68">
        <f>(('Structural Information'!$Z$6*M137+'Structural Information'!$Z$7*M138+'Structural Information'!$Z$8*M139+'Structural Information'!$Z$9*M140+'Structural Information'!$Z$10*M141+'Structural Information'!$Z$11*M142)^2)/('Structural Information'!$Z$6*M137*M137+'Structural Information'!$Z$7*M138*M138+'Structural Information'!$Z$8*M139*M139+'Structural Information'!$Z$9*M140*M140+'Structural Information'!$Z$10*M141*M141+'Structural Information'!$Z$11*M142*M142)</f>
        <v>201.78724365604677</v>
      </c>
    </row>
    <row r="142" spans="2:28" x14ac:dyDescent="0.25">
      <c r="B142" s="394">
        <v>1</v>
      </c>
      <c r="C142" s="69">
        <f t="shared" si="43"/>
        <v>4.9024920952893776E-3</v>
      </c>
      <c r="D142" s="69">
        <f t="shared" si="44"/>
        <v>5.1235294172913221E-3</v>
      </c>
      <c r="E142" s="69">
        <f t="shared" si="45"/>
        <v>7.6159311327745442E-3</v>
      </c>
      <c r="F142" s="69">
        <f t="shared" si="46"/>
        <v>1.1891932037471241E-2</v>
      </c>
      <c r="G142" s="69">
        <f t="shared" si="47"/>
        <v>1.0947834916312937E-2</v>
      </c>
      <c r="H142" s="69">
        <f t="shared" si="48"/>
        <v>6.2315723183639362E-3</v>
      </c>
      <c r="J142" s="366">
        <v>1</v>
      </c>
      <c r="K142" s="318">
        <f>'Structural Information'!$U$11</f>
        <v>2.75</v>
      </c>
      <c r="L142" s="318">
        <f>K142</f>
        <v>2.75</v>
      </c>
      <c r="M142" s="367">
        <f>'Yield Mechanism'!$X$62</f>
        <v>6.2315723183639362E-3</v>
      </c>
      <c r="N142" s="69">
        <f>M142</f>
        <v>6.2315723183639362E-3</v>
      </c>
      <c r="O142" s="368">
        <f t="shared" si="49"/>
        <v>2.2660262975868861E-3</v>
      </c>
      <c r="P142" s="367">
        <f>$C$31</f>
        <v>5.3120868684138484E-3</v>
      </c>
      <c r="Q142" s="367">
        <f>$D$31</f>
        <v>1.780731968888595E-3</v>
      </c>
      <c r="R142" s="68">
        <f t="shared" ref="R142" si="55">O142/P142</f>
        <v>0.42657929994723626</v>
      </c>
      <c r="S142" s="68">
        <f t="shared" si="54"/>
        <v>1.2725251959177084</v>
      </c>
      <c r="T142" s="497">
        <f>'Yield Mechanism'!$AI$62</f>
        <v>136.56743632304386</v>
      </c>
      <c r="U142" s="318">
        <f>U141+T142*K142</f>
        <v>1593.2255116306771</v>
      </c>
      <c r="V142" s="372"/>
      <c r="W142" s="45"/>
      <c r="X142" s="67">
        <v>1</v>
      </c>
      <c r="Y142" s="68">
        <f>'Structural Information'!$Z$11</f>
        <v>40.367000000000004</v>
      </c>
      <c r="Z142" s="68">
        <f t="shared" si="50"/>
        <v>0.25154987977539706</v>
      </c>
      <c r="AA142" s="68">
        <f t="shared" si="51"/>
        <v>0.69176216938234192</v>
      </c>
      <c r="AB142" s="66" t="s">
        <v>379</v>
      </c>
    </row>
    <row r="143" spans="2:28" x14ac:dyDescent="0.25">
      <c r="B143" s="396">
        <v>0</v>
      </c>
      <c r="C143" s="69">
        <f t="shared" si="43"/>
        <v>0</v>
      </c>
      <c r="D143" s="69">
        <f>M22</f>
        <v>0</v>
      </c>
      <c r="E143" s="69">
        <v>0</v>
      </c>
      <c r="F143" s="69">
        <v>0</v>
      </c>
      <c r="G143" s="69">
        <v>0</v>
      </c>
      <c r="H143" s="69">
        <f>M66-H132</f>
        <v>0</v>
      </c>
      <c r="X143" s="373"/>
      <c r="Y143" s="66" t="s">
        <v>95</v>
      </c>
      <c r="Z143" s="374">
        <f>SUM(Z137:Z142)</f>
        <v>39.66821669353935</v>
      </c>
      <c r="AA143" s="374">
        <f>SUM(AA137:AA142)</f>
        <v>462.77807168865041</v>
      </c>
      <c r="AB143" s="317">
        <f>2*PI()*SQRT(AB141/AB139)</f>
        <v>3.4152661743160944</v>
      </c>
    </row>
    <row r="145" spans="10:28" x14ac:dyDescent="0.25">
      <c r="J145" s="914" t="s">
        <v>384</v>
      </c>
      <c r="K145" s="914"/>
      <c r="L145" s="914"/>
      <c r="M145" s="914"/>
      <c r="N145" s="914"/>
      <c r="O145" s="914"/>
      <c r="P145" s="914"/>
      <c r="Q145" s="914"/>
      <c r="R145" s="914"/>
      <c r="S145" s="914"/>
      <c r="T145" s="914"/>
      <c r="U145" s="914"/>
      <c r="V145" s="914"/>
      <c r="X145" s="915" t="s">
        <v>124</v>
      </c>
      <c r="Y145" s="915"/>
      <c r="Z145" s="915"/>
      <c r="AA145" s="915"/>
      <c r="AB145" s="915"/>
    </row>
    <row r="146" spans="10:28" x14ac:dyDescent="0.25">
      <c r="J146" s="580" t="s">
        <v>9</v>
      </c>
      <c r="K146" s="582" t="s">
        <v>3</v>
      </c>
      <c r="L146" s="582" t="s">
        <v>89</v>
      </c>
      <c r="M146" s="580" t="s">
        <v>91</v>
      </c>
      <c r="N146" s="580" t="s">
        <v>98</v>
      </c>
      <c r="O146" s="582" t="s">
        <v>119</v>
      </c>
      <c r="P146" s="582" t="s">
        <v>284</v>
      </c>
      <c r="Q146" s="582" t="s">
        <v>285</v>
      </c>
      <c r="R146" s="580" t="s">
        <v>452</v>
      </c>
      <c r="S146" s="580" t="s">
        <v>453</v>
      </c>
      <c r="T146" s="580" t="s">
        <v>92</v>
      </c>
      <c r="U146" s="582" t="s">
        <v>120</v>
      </c>
      <c r="V146" s="580" t="s">
        <v>96</v>
      </c>
      <c r="X146" s="580" t="s">
        <v>9</v>
      </c>
      <c r="Y146" s="913" t="s">
        <v>93</v>
      </c>
      <c r="Z146" s="913" t="s">
        <v>94</v>
      </c>
      <c r="AA146" s="913" t="s">
        <v>122</v>
      </c>
      <c r="AB146" s="582" t="s">
        <v>123</v>
      </c>
    </row>
    <row r="147" spans="10:28" x14ac:dyDescent="0.25">
      <c r="J147" s="580"/>
      <c r="K147" s="582"/>
      <c r="L147" s="582"/>
      <c r="M147" s="580"/>
      <c r="N147" s="580"/>
      <c r="O147" s="582"/>
      <c r="P147" s="582"/>
      <c r="Q147" s="582"/>
      <c r="R147" s="580"/>
      <c r="S147" s="580"/>
      <c r="T147" s="580"/>
      <c r="U147" s="582"/>
      <c r="V147" s="580"/>
      <c r="X147" s="580"/>
      <c r="Y147" s="913"/>
      <c r="Z147" s="913"/>
      <c r="AA147" s="913"/>
      <c r="AB147" s="582"/>
    </row>
    <row r="148" spans="10:28" x14ac:dyDescent="0.25">
      <c r="J148" s="366">
        <v>6</v>
      </c>
      <c r="K148" s="318">
        <f>'Structural Information'!$U$6</f>
        <v>3</v>
      </c>
      <c r="L148" s="318">
        <f>L149+K148</f>
        <v>17.75</v>
      </c>
      <c r="M148" s="367">
        <f>'Yield Mechanism'!$X$57</f>
        <v>0.19995986072668318</v>
      </c>
      <c r="N148" s="69">
        <f>M148-M149</f>
        <v>4.2404238141735551E-4</v>
      </c>
      <c r="O148" s="368">
        <f t="shared" ref="O148:O153" si="56">N148/K148</f>
        <v>1.4134746047245184E-4</v>
      </c>
      <c r="P148" s="367">
        <f>$C$26</f>
        <v>8.3119145368492249E-3</v>
      </c>
      <c r="Q148" s="367">
        <f>$D$26</f>
        <v>3.0605372788564604E-3</v>
      </c>
      <c r="R148" s="68">
        <f>O148/P148</f>
        <v>1.7005403489871784E-2</v>
      </c>
      <c r="S148" s="68">
        <f>O148/Q148</f>
        <v>4.6183871521167985E-2</v>
      </c>
      <c r="T148" s="497">
        <f>'Yield Mechanism'!$AI$57</f>
        <v>26.052609188520677</v>
      </c>
      <c r="U148" s="318">
        <f>K148*T148</f>
        <v>78.15782756556203</v>
      </c>
      <c r="V148" s="68">
        <f>U153/AB148</f>
        <v>136.56743632304389</v>
      </c>
      <c r="X148" s="67">
        <v>6</v>
      </c>
      <c r="Y148" s="68">
        <f>'Structural Information'!$Z$6</f>
        <v>37.8446</v>
      </c>
      <c r="Z148" s="68">
        <f t="shared" ref="Z148:Z153" si="57">Y148*M148</f>
        <v>7.5674009452570337</v>
      </c>
      <c r="AA148" s="68">
        <f t="shared" ref="AA148:AA153" si="58">Z148*L148</f>
        <v>134.32136677831235</v>
      </c>
      <c r="AB148" s="68">
        <f>AA154/Z154</f>
        <v>11.666218203452079</v>
      </c>
    </row>
    <row r="149" spans="10:28" x14ac:dyDescent="0.25">
      <c r="J149" s="366">
        <v>5</v>
      </c>
      <c r="K149" s="318">
        <f>'Structural Information'!$U$7</f>
        <v>3</v>
      </c>
      <c r="L149" s="318">
        <f>L150+K149</f>
        <v>14.75</v>
      </c>
      <c r="M149" s="367">
        <f>'Yield Mechanism'!$X$58</f>
        <v>0.19953581834526582</v>
      </c>
      <c r="N149" s="69">
        <f>M149-M150</f>
        <v>6.618950556775971E-4</v>
      </c>
      <c r="O149" s="368">
        <f t="shared" si="56"/>
        <v>2.2063168522586571E-4</v>
      </c>
      <c r="P149" s="367">
        <f>$C$27</f>
        <v>9.597600000000003E-3</v>
      </c>
      <c r="Q149" s="367">
        <f>$D$27</f>
        <v>2.281598782064713E-3</v>
      </c>
      <c r="R149" s="68">
        <f t="shared" ref="R149:R151" si="59">O149/P149</f>
        <v>2.2988214264593819E-2</v>
      </c>
      <c r="S149" s="68">
        <f t="shared" ref="S149:S150" si="60">O149/Q149</f>
        <v>9.6700474667244948E-2</v>
      </c>
      <c r="T149" s="497">
        <f>'Yield Mechanism'!$AI$58</f>
        <v>53.78273378841056</v>
      </c>
      <c r="U149" s="318">
        <f>U148+T149*K149</f>
        <v>239.50602893079372</v>
      </c>
      <c r="V149" s="369"/>
      <c r="X149" s="67">
        <v>5</v>
      </c>
      <c r="Y149" s="68">
        <f>'Structural Information'!$Z$7</f>
        <v>40.367000000000004</v>
      </c>
      <c r="Z149" s="68">
        <f t="shared" si="57"/>
        <v>8.0546623791433465</v>
      </c>
      <c r="AA149" s="68">
        <f t="shared" si="58"/>
        <v>118.80627009236436</v>
      </c>
      <c r="AB149" s="66" t="s">
        <v>378</v>
      </c>
    </row>
    <row r="150" spans="10:28" x14ac:dyDescent="0.25">
      <c r="J150" s="366">
        <v>4</v>
      </c>
      <c r="K150" s="318">
        <f>'Structural Information'!$U$8</f>
        <v>3</v>
      </c>
      <c r="L150" s="318">
        <f>L151+K150</f>
        <v>11.75</v>
      </c>
      <c r="M150" s="367">
        <f>'Yield Mechanism'!$X$59</f>
        <v>0.19887392328958822</v>
      </c>
      <c r="N150" s="368">
        <f>M150-M151</f>
        <v>9.231168043737914E-4</v>
      </c>
      <c r="O150" s="368">
        <f t="shared" si="56"/>
        <v>3.0770560145793047E-4</v>
      </c>
      <c r="P150" s="367">
        <f>$C$28</f>
        <v>9.015519176800749E-3</v>
      </c>
      <c r="Q150" s="367">
        <f>$D$28</f>
        <v>2.1092027799242134E-3</v>
      </c>
      <c r="R150" s="68">
        <f t="shared" si="59"/>
        <v>3.4130657971394057E-2</v>
      </c>
      <c r="S150" s="68">
        <f t="shared" si="60"/>
        <v>0.14588715906632113</v>
      </c>
      <c r="T150" s="497">
        <f>'Yield Mechanism'!$AI$59</f>
        <v>81.420872736209446</v>
      </c>
      <c r="U150" s="318">
        <f>U149+T150*K150</f>
        <v>483.76864713942206</v>
      </c>
      <c r="V150" s="370" t="s">
        <v>130</v>
      </c>
      <c r="X150" s="67">
        <v>4</v>
      </c>
      <c r="Y150" s="68">
        <f>'Structural Information'!$Z$8</f>
        <v>40.367000000000004</v>
      </c>
      <c r="Z150" s="68">
        <f t="shared" si="57"/>
        <v>8.0279436614308093</v>
      </c>
      <c r="AA150" s="68">
        <f t="shared" si="58"/>
        <v>94.328338021812016</v>
      </c>
      <c r="AB150" s="317">
        <f>T153/M148</f>
        <v>682.97425206607954</v>
      </c>
    </row>
    <row r="151" spans="10:28" x14ac:dyDescent="0.25">
      <c r="J151" s="366">
        <v>3</v>
      </c>
      <c r="K151" s="318">
        <f>'Structural Information'!$U$9</f>
        <v>3</v>
      </c>
      <c r="L151" s="318">
        <f>L152+K151</f>
        <v>8.75</v>
      </c>
      <c r="M151" s="367">
        <f>'Yield Mechanism'!$X$60</f>
        <v>0.19795080648521443</v>
      </c>
      <c r="N151" s="69">
        <f>M151-M152</f>
        <v>5.3187153577065882E-3</v>
      </c>
      <c r="O151" s="368">
        <f t="shared" si="56"/>
        <v>1.7729051192355294E-3</v>
      </c>
      <c r="P151" s="367">
        <f>$C$29</f>
        <v>8.5822017391304368E-3</v>
      </c>
      <c r="Q151" s="367">
        <f>$D$29</f>
        <v>1.9542049297578846E-3</v>
      </c>
      <c r="R151" s="318">
        <f t="shared" si="59"/>
        <v>0.20657928735839332</v>
      </c>
      <c r="S151" s="68">
        <f>O151/Q151</f>
        <v>0.90722579410091997</v>
      </c>
      <c r="T151" s="497">
        <f>'Yield Mechanism'!$AI$60</f>
        <v>108.93072321821901</v>
      </c>
      <c r="U151" s="318">
        <f>U150+T151*K151</f>
        <v>810.56081679407907</v>
      </c>
      <c r="V151" s="371">
        <v>0</v>
      </c>
      <c r="X151" s="67">
        <v>3</v>
      </c>
      <c r="Y151" s="68">
        <f>'Structural Information'!$Z$9</f>
        <v>40.367000000000004</v>
      </c>
      <c r="Z151" s="68">
        <f t="shared" si="57"/>
        <v>7.9906802053886521</v>
      </c>
      <c r="AA151" s="68">
        <f t="shared" si="58"/>
        <v>69.918451797150709</v>
      </c>
      <c r="AB151" s="246" t="s">
        <v>380</v>
      </c>
    </row>
    <row r="152" spans="10:28" x14ac:dyDescent="0.25">
      <c r="J152" s="366">
        <v>2</v>
      </c>
      <c r="K152" s="318">
        <f>'Structural Information'!$U$10</f>
        <v>3</v>
      </c>
      <c r="L152" s="318">
        <f>L153+K152</f>
        <v>5.75</v>
      </c>
      <c r="M152" s="367">
        <f>'Yield Mechanism'!$X$61</f>
        <v>0.19263209112750784</v>
      </c>
      <c r="N152" s="69">
        <f>M152-M153</f>
        <v>0.18640051880914391</v>
      </c>
      <c r="O152" s="368">
        <f t="shared" si="56"/>
        <v>6.2133506269714638E-2</v>
      </c>
      <c r="P152" s="367">
        <f>$C$30</f>
        <v>6.7523273096129852E-3</v>
      </c>
      <c r="Q152" s="367">
        <f>$D$30</f>
        <v>1.8141308521286454E-3</v>
      </c>
      <c r="R152" s="68">
        <f>O152/P152</f>
        <v>9.201791237409056</v>
      </c>
      <c r="S152" s="68">
        <f t="shared" ref="S152:S153" si="61">O152/Q152</f>
        <v>34.249737937486202</v>
      </c>
      <c r="T152" s="497">
        <f>'Yield Mechanism'!$AI$61</f>
        <v>135.70141498274251</v>
      </c>
      <c r="U152" s="318">
        <f>U151+T152*K152</f>
        <v>1217.6650617423065</v>
      </c>
      <c r="V152" s="369"/>
      <c r="X152" s="67">
        <v>2</v>
      </c>
      <c r="Y152" s="68">
        <f>'Structural Information'!$Z$10</f>
        <v>40.367000000000004</v>
      </c>
      <c r="Z152" s="68">
        <f t="shared" si="57"/>
        <v>7.77597962254411</v>
      </c>
      <c r="AA152" s="68">
        <f t="shared" si="58"/>
        <v>44.711882829628635</v>
      </c>
      <c r="AB152" s="68">
        <f>(('Structural Information'!$Z$6*M148+'Structural Information'!$Z$7*M149+'Structural Information'!$Z$8*M150+'Structural Information'!$Z$9*M151+'Structural Information'!$Z$10*M152+'Structural Information'!$Z$11*M153)^2)/('Structural Information'!$Z$6*M148*M148+'Structural Information'!$Z$7*M149*M149+'Structural Information'!$Z$8*M150*M150+'Structural Information'!$Z$9*M151*M151+'Structural Information'!$Z$10*M152*M152+'Structural Information'!$Z$11*M153*M153)</f>
        <v>201.78724365604677</v>
      </c>
    </row>
    <row r="153" spans="10:28" x14ac:dyDescent="0.25">
      <c r="J153" s="366">
        <v>1</v>
      </c>
      <c r="K153" s="318">
        <f>'Structural Information'!$U$11</f>
        <v>2.75</v>
      </c>
      <c r="L153" s="318">
        <f>K153</f>
        <v>2.75</v>
      </c>
      <c r="M153" s="367">
        <f>'Yield Mechanism'!$X$62</f>
        <v>6.2315723183639362E-3</v>
      </c>
      <c r="N153" s="69">
        <f>M153</f>
        <v>6.2315723183639362E-3</v>
      </c>
      <c r="O153" s="368">
        <f t="shared" si="56"/>
        <v>2.2660262975868861E-3</v>
      </c>
      <c r="P153" s="367">
        <f>$C$31</f>
        <v>5.3120868684138484E-3</v>
      </c>
      <c r="Q153" s="367">
        <f>$D$31</f>
        <v>1.780731968888595E-3</v>
      </c>
      <c r="R153" s="68">
        <f t="shared" ref="R153" si="62">O153/P153</f>
        <v>0.42657929994723626</v>
      </c>
      <c r="S153" s="68">
        <f t="shared" si="61"/>
        <v>1.2725251959177084</v>
      </c>
      <c r="T153" s="497">
        <f>'Yield Mechanism'!$AI$62</f>
        <v>136.56743632304386</v>
      </c>
      <c r="U153" s="318">
        <f>U152+T153*K153</f>
        <v>1593.2255116306771</v>
      </c>
      <c r="V153" s="372"/>
      <c r="X153" s="67">
        <v>1</v>
      </c>
      <c r="Y153" s="68">
        <f>'Structural Information'!$Z$11</f>
        <v>40.367000000000004</v>
      </c>
      <c r="Z153" s="68">
        <f t="shared" si="57"/>
        <v>0.25154987977539706</v>
      </c>
      <c r="AA153" s="68">
        <f t="shared" si="58"/>
        <v>0.69176216938234192</v>
      </c>
      <c r="AB153" s="66" t="s">
        <v>379</v>
      </c>
    </row>
    <row r="154" spans="10:28" x14ac:dyDescent="0.25">
      <c r="X154" s="373"/>
      <c r="Y154" s="66" t="s">
        <v>95</v>
      </c>
      <c r="Z154" s="374">
        <f>SUM(Z148:Z153)</f>
        <v>39.66821669353935</v>
      </c>
      <c r="AA154" s="374">
        <f>SUM(AA148:AA153)</f>
        <v>462.77807168865041</v>
      </c>
      <c r="AB154" s="317">
        <f>2*PI()*SQRT(AB152/AB150)</f>
        <v>3.4152661743160944</v>
      </c>
    </row>
    <row r="156" spans="10:28" x14ac:dyDescent="0.25">
      <c r="J156" s="919" t="s">
        <v>385</v>
      </c>
      <c r="K156" s="920"/>
      <c r="L156" s="920"/>
      <c r="M156" s="920"/>
      <c r="N156" s="920"/>
      <c r="O156" s="920"/>
      <c r="P156" s="920"/>
      <c r="Q156" s="920"/>
      <c r="R156" s="920"/>
      <c r="S156" s="920"/>
      <c r="T156" s="920"/>
      <c r="U156" s="920"/>
      <c r="V156" s="921"/>
      <c r="X156" s="914" t="s">
        <v>124</v>
      </c>
      <c r="Y156" s="914"/>
      <c r="Z156" s="914"/>
      <c r="AA156" s="914"/>
      <c r="AB156" s="914"/>
    </row>
    <row r="157" spans="10:28" x14ac:dyDescent="0.25">
      <c r="J157" s="580" t="s">
        <v>9</v>
      </c>
      <c r="K157" s="582" t="s">
        <v>3</v>
      </c>
      <c r="L157" s="582" t="s">
        <v>89</v>
      </c>
      <c r="M157" s="580" t="s">
        <v>91</v>
      </c>
      <c r="N157" s="580" t="s">
        <v>98</v>
      </c>
      <c r="O157" s="582" t="s">
        <v>119</v>
      </c>
      <c r="P157" s="582" t="s">
        <v>284</v>
      </c>
      <c r="Q157" s="582" t="s">
        <v>285</v>
      </c>
      <c r="R157" s="580" t="s">
        <v>452</v>
      </c>
      <c r="S157" s="580" t="s">
        <v>453</v>
      </c>
      <c r="T157" s="580" t="s">
        <v>92</v>
      </c>
      <c r="U157" s="582" t="s">
        <v>120</v>
      </c>
      <c r="V157" s="580" t="s">
        <v>96</v>
      </c>
      <c r="X157" s="580" t="s">
        <v>9</v>
      </c>
      <c r="Y157" s="913" t="s">
        <v>93</v>
      </c>
      <c r="Z157" s="913" t="s">
        <v>94</v>
      </c>
      <c r="AA157" s="913" t="s">
        <v>122</v>
      </c>
      <c r="AB157" s="582" t="s">
        <v>123</v>
      </c>
    </row>
    <row r="158" spans="10:28" x14ac:dyDescent="0.25">
      <c r="J158" s="580"/>
      <c r="K158" s="582"/>
      <c r="L158" s="582"/>
      <c r="M158" s="580"/>
      <c r="N158" s="580"/>
      <c r="O158" s="582"/>
      <c r="P158" s="582"/>
      <c r="Q158" s="582"/>
      <c r="R158" s="580"/>
      <c r="S158" s="580"/>
      <c r="T158" s="580"/>
      <c r="U158" s="582"/>
      <c r="V158" s="580"/>
      <c r="X158" s="580"/>
      <c r="Y158" s="913"/>
      <c r="Z158" s="913"/>
      <c r="AA158" s="913"/>
      <c r="AB158" s="582"/>
    </row>
    <row r="159" spans="10:28" x14ac:dyDescent="0.25">
      <c r="J159" s="366">
        <v>6</v>
      </c>
      <c r="K159" s="318">
        <f>'Structural Information'!$U$6</f>
        <v>3</v>
      </c>
      <c r="L159" s="318">
        <f>L160+K159</f>
        <v>17.75</v>
      </c>
      <c r="M159" s="367">
        <f>'Yield Mechanism'!$X$57</f>
        <v>0.19995986072668318</v>
      </c>
      <c r="N159" s="69">
        <f>M159-M160</f>
        <v>4.2404238141735551E-4</v>
      </c>
      <c r="O159" s="368">
        <f t="shared" ref="O159:O164" si="63">N159/K159</f>
        <v>1.4134746047245184E-4</v>
      </c>
      <c r="P159" s="367">
        <f>$C$26</f>
        <v>8.3119145368492249E-3</v>
      </c>
      <c r="Q159" s="367">
        <f>$D$26</f>
        <v>3.0605372788564604E-3</v>
      </c>
      <c r="R159" s="68">
        <f>O159/P159</f>
        <v>1.7005403489871784E-2</v>
      </c>
      <c r="S159" s="68">
        <f>O159/Q159</f>
        <v>4.6183871521167985E-2</v>
      </c>
      <c r="T159" s="497">
        <f>'Yield Mechanism'!$AI$57</f>
        <v>26.052609188520677</v>
      </c>
      <c r="U159" s="318">
        <f>K159*T159</f>
        <v>78.15782756556203</v>
      </c>
      <c r="V159" s="68">
        <f>U164/AB159</f>
        <v>136.56743632304389</v>
      </c>
      <c r="X159" s="67">
        <v>6</v>
      </c>
      <c r="Y159" s="68">
        <f>'Structural Information'!$Z$6</f>
        <v>37.8446</v>
      </c>
      <c r="Z159" s="68">
        <f t="shared" ref="Z159:Z164" si="64">Y159*M159</f>
        <v>7.5674009452570337</v>
      </c>
      <c r="AA159" s="68">
        <f t="shared" ref="AA159:AA164" si="65">Z159*L159</f>
        <v>134.32136677831235</v>
      </c>
      <c r="AB159" s="68">
        <f>AA165/Z165</f>
        <v>11.666218203452079</v>
      </c>
    </row>
    <row r="160" spans="10:28" x14ac:dyDescent="0.25">
      <c r="J160" s="366">
        <v>5</v>
      </c>
      <c r="K160" s="318">
        <f>'Structural Information'!$U$7</f>
        <v>3</v>
      </c>
      <c r="L160" s="318">
        <f>L161+K160</f>
        <v>14.75</v>
      </c>
      <c r="M160" s="367">
        <f>'Yield Mechanism'!$X$58</f>
        <v>0.19953581834526582</v>
      </c>
      <c r="N160" s="69">
        <f>M160-M161</f>
        <v>6.618950556775971E-4</v>
      </c>
      <c r="O160" s="368">
        <f t="shared" si="63"/>
        <v>2.2063168522586571E-4</v>
      </c>
      <c r="P160" s="367">
        <f>$C$27</f>
        <v>9.597600000000003E-3</v>
      </c>
      <c r="Q160" s="367">
        <f>$D$27</f>
        <v>2.281598782064713E-3</v>
      </c>
      <c r="R160" s="68">
        <f t="shared" ref="R160:R162" si="66">O160/P160</f>
        <v>2.2988214264593819E-2</v>
      </c>
      <c r="S160" s="68">
        <f t="shared" ref="S160:S161" si="67">O160/Q160</f>
        <v>9.6700474667244948E-2</v>
      </c>
      <c r="T160" s="497">
        <f>'Yield Mechanism'!$AI$58</f>
        <v>53.78273378841056</v>
      </c>
      <c r="U160" s="318">
        <f>U159+T160*K160</f>
        <v>239.50602893079372</v>
      </c>
      <c r="V160" s="369"/>
      <c r="X160" s="67">
        <v>5</v>
      </c>
      <c r="Y160" s="68">
        <f>'Structural Information'!$Z$7</f>
        <v>40.367000000000004</v>
      </c>
      <c r="Z160" s="68">
        <f t="shared" si="64"/>
        <v>8.0546623791433465</v>
      </c>
      <c r="AA160" s="68">
        <f t="shared" si="65"/>
        <v>118.80627009236436</v>
      </c>
      <c r="AB160" s="66" t="s">
        <v>378</v>
      </c>
    </row>
    <row r="161" spans="10:28" x14ac:dyDescent="0.25">
      <c r="J161" s="366">
        <v>4</v>
      </c>
      <c r="K161" s="318">
        <f>'Structural Information'!$U$8</f>
        <v>3</v>
      </c>
      <c r="L161" s="318">
        <f>L162+K161</f>
        <v>11.75</v>
      </c>
      <c r="M161" s="367">
        <f>'Yield Mechanism'!$X$59</f>
        <v>0.19887392328958822</v>
      </c>
      <c r="N161" s="368">
        <f>M161-M162</f>
        <v>9.231168043737914E-4</v>
      </c>
      <c r="O161" s="368">
        <f t="shared" si="63"/>
        <v>3.0770560145793047E-4</v>
      </c>
      <c r="P161" s="367">
        <f>$C$28</f>
        <v>9.015519176800749E-3</v>
      </c>
      <c r="Q161" s="367">
        <f>$D$28</f>
        <v>2.1092027799242134E-3</v>
      </c>
      <c r="R161" s="68">
        <f t="shared" si="66"/>
        <v>3.4130657971394057E-2</v>
      </c>
      <c r="S161" s="68">
        <f t="shared" si="67"/>
        <v>0.14588715906632113</v>
      </c>
      <c r="T161" s="497">
        <f>'Yield Mechanism'!$AI$59</f>
        <v>81.420872736209446</v>
      </c>
      <c r="U161" s="318">
        <f>U160+T161*K161</f>
        <v>483.76864713942206</v>
      </c>
      <c r="V161" s="370" t="s">
        <v>130</v>
      </c>
      <c r="X161" s="67">
        <v>4</v>
      </c>
      <c r="Y161" s="68">
        <f>'Structural Information'!$Z$8</f>
        <v>40.367000000000004</v>
      </c>
      <c r="Z161" s="68">
        <f t="shared" si="64"/>
        <v>8.0279436614308093</v>
      </c>
      <c r="AA161" s="68">
        <f t="shared" si="65"/>
        <v>94.328338021812016</v>
      </c>
      <c r="AB161" s="317">
        <f>T164/M159</f>
        <v>682.97425206607954</v>
      </c>
    </row>
    <row r="162" spans="10:28" x14ac:dyDescent="0.25">
      <c r="J162" s="366">
        <v>3</v>
      </c>
      <c r="K162" s="318">
        <f>'Structural Information'!$U$9</f>
        <v>3</v>
      </c>
      <c r="L162" s="318">
        <f>L163+K162</f>
        <v>8.75</v>
      </c>
      <c r="M162" s="367">
        <f>'Yield Mechanism'!$X$60</f>
        <v>0.19795080648521443</v>
      </c>
      <c r="N162" s="69">
        <f>M162-M163</f>
        <v>5.3187153577065882E-3</v>
      </c>
      <c r="O162" s="368">
        <f t="shared" si="63"/>
        <v>1.7729051192355294E-3</v>
      </c>
      <c r="P162" s="367">
        <f>$C$29</f>
        <v>8.5822017391304368E-3</v>
      </c>
      <c r="Q162" s="367">
        <f>$D$29</f>
        <v>1.9542049297578846E-3</v>
      </c>
      <c r="R162" s="318">
        <f t="shared" si="66"/>
        <v>0.20657928735839332</v>
      </c>
      <c r="S162" s="68">
        <f>O162/Q162</f>
        <v>0.90722579410091997</v>
      </c>
      <c r="T162" s="497">
        <f>'Yield Mechanism'!$AI$60</f>
        <v>108.93072321821901</v>
      </c>
      <c r="U162" s="318">
        <f>U161+T162*K162</f>
        <v>810.56081679407907</v>
      </c>
      <c r="V162" s="371">
        <v>0</v>
      </c>
      <c r="X162" s="67">
        <v>3</v>
      </c>
      <c r="Y162" s="68">
        <f>'Structural Information'!$Z$9</f>
        <v>40.367000000000004</v>
      </c>
      <c r="Z162" s="68">
        <f t="shared" si="64"/>
        <v>7.9906802053886521</v>
      </c>
      <c r="AA162" s="68">
        <f t="shared" si="65"/>
        <v>69.918451797150709</v>
      </c>
      <c r="AB162" s="246" t="s">
        <v>380</v>
      </c>
    </row>
    <row r="163" spans="10:28" x14ac:dyDescent="0.25">
      <c r="J163" s="366">
        <v>2</v>
      </c>
      <c r="K163" s="318">
        <f>'Structural Information'!$U$10</f>
        <v>3</v>
      </c>
      <c r="L163" s="318">
        <f>L164+K163</f>
        <v>5.75</v>
      </c>
      <c r="M163" s="367">
        <f>'Yield Mechanism'!$X$61</f>
        <v>0.19263209112750784</v>
      </c>
      <c r="N163" s="69">
        <f>M163-M164</f>
        <v>0.18640051880914391</v>
      </c>
      <c r="O163" s="368">
        <f t="shared" si="63"/>
        <v>6.2133506269714638E-2</v>
      </c>
      <c r="P163" s="367">
        <f>$C$30</f>
        <v>6.7523273096129852E-3</v>
      </c>
      <c r="Q163" s="367">
        <f>$D$30</f>
        <v>1.8141308521286454E-3</v>
      </c>
      <c r="R163" s="68">
        <f>O163/P163</f>
        <v>9.201791237409056</v>
      </c>
      <c r="S163" s="68">
        <f t="shared" ref="S163:S164" si="68">O163/Q163</f>
        <v>34.249737937486202</v>
      </c>
      <c r="T163" s="497">
        <f>'Yield Mechanism'!$AI$61</f>
        <v>135.70141498274251</v>
      </c>
      <c r="U163" s="318">
        <f>U162+T163*K163</f>
        <v>1217.6650617423065</v>
      </c>
      <c r="V163" s="369"/>
      <c r="X163" s="67">
        <v>2</v>
      </c>
      <c r="Y163" s="68">
        <f>'Structural Information'!$Z$10</f>
        <v>40.367000000000004</v>
      </c>
      <c r="Z163" s="68">
        <f t="shared" si="64"/>
        <v>7.77597962254411</v>
      </c>
      <c r="AA163" s="68">
        <f t="shared" si="65"/>
        <v>44.711882829628635</v>
      </c>
      <c r="AB163" s="68">
        <f>(('Structural Information'!$Z$6*M159+'Structural Information'!$Z$7*M160+'Structural Information'!$Z$8*M161+'Structural Information'!$Z$9*M162+'Structural Information'!$Z$10*M163+'Structural Information'!$Z$11*M164)^2)/('Structural Information'!$Z$6*M159*M159+'Structural Information'!$Z$7*M160*M160+'Structural Information'!$Z$8*M161*M161+'Structural Information'!$Z$9*M162*M162+'Structural Information'!$Z$10*M163*M163+'Structural Information'!$Z$11*M164*M164)</f>
        <v>201.78724365604677</v>
      </c>
    </row>
    <row r="164" spans="10:28" x14ac:dyDescent="0.25">
      <c r="J164" s="366">
        <v>1</v>
      </c>
      <c r="K164" s="318">
        <f>'Structural Information'!$U$11</f>
        <v>2.75</v>
      </c>
      <c r="L164" s="318">
        <f>K164</f>
        <v>2.75</v>
      </c>
      <c r="M164" s="367">
        <f>'Yield Mechanism'!$X$62</f>
        <v>6.2315723183639362E-3</v>
      </c>
      <c r="N164" s="69">
        <f>M164</f>
        <v>6.2315723183639362E-3</v>
      </c>
      <c r="O164" s="368">
        <f t="shared" si="63"/>
        <v>2.2660262975868861E-3</v>
      </c>
      <c r="P164" s="367">
        <f>$C$31</f>
        <v>5.3120868684138484E-3</v>
      </c>
      <c r="Q164" s="367">
        <f>$D$31</f>
        <v>1.780731968888595E-3</v>
      </c>
      <c r="R164" s="68">
        <f t="shared" ref="R164" si="69">O164/P164</f>
        <v>0.42657929994723626</v>
      </c>
      <c r="S164" s="68">
        <f t="shared" si="68"/>
        <v>1.2725251959177084</v>
      </c>
      <c r="T164" s="497">
        <f>'Yield Mechanism'!$AI$62</f>
        <v>136.56743632304386</v>
      </c>
      <c r="U164" s="318">
        <f>U163+T164*K164</f>
        <v>1593.2255116306771</v>
      </c>
      <c r="V164" s="372"/>
      <c r="X164" s="67">
        <v>1</v>
      </c>
      <c r="Y164" s="68">
        <f>'Structural Information'!$Z$11</f>
        <v>40.367000000000004</v>
      </c>
      <c r="Z164" s="68">
        <f t="shared" si="64"/>
        <v>0.25154987977539706</v>
      </c>
      <c r="AA164" s="68">
        <f t="shared" si="65"/>
        <v>0.69176216938234192</v>
      </c>
      <c r="AB164" s="66" t="s">
        <v>379</v>
      </c>
    </row>
    <row r="165" spans="10:28" x14ac:dyDescent="0.25">
      <c r="X165" s="373"/>
      <c r="Y165" s="66" t="s">
        <v>95</v>
      </c>
      <c r="Z165" s="374">
        <f>SUM(Z159:Z164)</f>
        <v>39.66821669353935</v>
      </c>
      <c r="AA165" s="374">
        <f>SUM(AA159:AA164)</f>
        <v>462.77807168865041</v>
      </c>
      <c r="AB165" s="317">
        <f>2*PI()*SQRT(AB163/AB161)</f>
        <v>3.4152661743160944</v>
      </c>
    </row>
    <row r="167" spans="10:28" x14ac:dyDescent="0.25">
      <c r="J167" s="909" t="s">
        <v>386</v>
      </c>
      <c r="K167" s="910"/>
      <c r="L167" s="910"/>
      <c r="M167" s="910"/>
      <c r="N167" s="910"/>
      <c r="O167" s="910"/>
      <c r="P167" s="910"/>
      <c r="Q167" s="910"/>
      <c r="R167" s="910"/>
      <c r="S167" s="910"/>
      <c r="T167" s="910"/>
      <c r="U167" s="910"/>
      <c r="V167" s="911"/>
      <c r="W167" s="388"/>
      <c r="X167" s="912" t="s">
        <v>124</v>
      </c>
      <c r="Y167" s="912"/>
      <c r="Z167" s="912"/>
      <c r="AA167" s="912"/>
      <c r="AB167" s="912"/>
    </row>
    <row r="168" spans="10:28" x14ac:dyDescent="0.25">
      <c r="J168" s="580" t="s">
        <v>9</v>
      </c>
      <c r="K168" s="582" t="s">
        <v>3</v>
      </c>
      <c r="L168" s="582" t="s">
        <v>89</v>
      </c>
      <c r="M168" s="580" t="s">
        <v>91</v>
      </c>
      <c r="N168" s="580" t="s">
        <v>98</v>
      </c>
      <c r="O168" s="582" t="s">
        <v>119</v>
      </c>
      <c r="P168" s="582" t="s">
        <v>284</v>
      </c>
      <c r="Q168" s="582" t="s">
        <v>285</v>
      </c>
      <c r="R168" s="580" t="s">
        <v>452</v>
      </c>
      <c r="S168" s="580" t="s">
        <v>453</v>
      </c>
      <c r="T168" s="580" t="s">
        <v>92</v>
      </c>
      <c r="U168" s="582" t="s">
        <v>120</v>
      </c>
      <c r="V168" s="580" t="s">
        <v>96</v>
      </c>
      <c r="X168" s="580" t="s">
        <v>9</v>
      </c>
      <c r="Y168" s="913" t="s">
        <v>93</v>
      </c>
      <c r="Z168" s="913" t="s">
        <v>94</v>
      </c>
      <c r="AA168" s="913" t="s">
        <v>122</v>
      </c>
      <c r="AB168" s="582" t="s">
        <v>123</v>
      </c>
    </row>
    <row r="169" spans="10:28" x14ac:dyDescent="0.25">
      <c r="J169" s="580"/>
      <c r="K169" s="582"/>
      <c r="L169" s="582"/>
      <c r="M169" s="580"/>
      <c r="N169" s="580"/>
      <c r="O169" s="582"/>
      <c r="P169" s="582"/>
      <c r="Q169" s="582"/>
      <c r="R169" s="580"/>
      <c r="S169" s="580"/>
      <c r="T169" s="580"/>
      <c r="U169" s="582"/>
      <c r="V169" s="580"/>
      <c r="X169" s="580"/>
      <c r="Y169" s="913"/>
      <c r="Z169" s="913"/>
      <c r="AA169" s="913"/>
      <c r="AB169" s="582"/>
    </row>
    <row r="170" spans="10:28" x14ac:dyDescent="0.25">
      <c r="J170" s="366">
        <v>6</v>
      </c>
      <c r="K170" s="318">
        <f>'Structural Information'!$U$6</f>
        <v>3</v>
      </c>
      <c r="L170" s="318">
        <f>L171+K170</f>
        <v>17.75</v>
      </c>
      <c r="M170" s="367">
        <f>'Yield Mechanism'!$X$57</f>
        <v>0.19995986072668318</v>
      </c>
      <c r="N170" s="69">
        <f>M170-M171</f>
        <v>4.2404238141735551E-4</v>
      </c>
      <c r="O170" s="368">
        <f t="shared" ref="O170:O175" si="70">N170/K170</f>
        <v>1.4134746047245184E-4</v>
      </c>
      <c r="P170" s="367">
        <f>$C$26</f>
        <v>8.3119145368492249E-3</v>
      </c>
      <c r="Q170" s="367">
        <f>$D$26</f>
        <v>3.0605372788564604E-3</v>
      </c>
      <c r="R170" s="68">
        <f>O170/P170</f>
        <v>1.7005403489871784E-2</v>
      </c>
      <c r="S170" s="68">
        <f>O170/Q170</f>
        <v>4.6183871521167985E-2</v>
      </c>
      <c r="T170" s="497">
        <f>'Yield Mechanism'!$AI$57</f>
        <v>26.052609188520677</v>
      </c>
      <c r="U170" s="318">
        <f>K170*T170</f>
        <v>78.15782756556203</v>
      </c>
      <c r="V170" s="68">
        <f>U175/AB170</f>
        <v>136.56743632304389</v>
      </c>
      <c r="X170" s="67">
        <v>6</v>
      </c>
      <c r="Y170" s="68">
        <f>'Structural Information'!$Z$6</f>
        <v>37.8446</v>
      </c>
      <c r="Z170" s="68">
        <f t="shared" ref="Z170:Z175" si="71">Y170*M170</f>
        <v>7.5674009452570337</v>
      </c>
      <c r="AA170" s="68">
        <f t="shared" ref="AA170:AA175" si="72">Z170*L170</f>
        <v>134.32136677831235</v>
      </c>
      <c r="AB170" s="68">
        <f>AA176/Z176</f>
        <v>11.666218203452079</v>
      </c>
    </row>
    <row r="171" spans="10:28" x14ac:dyDescent="0.25">
      <c r="J171" s="366">
        <v>5</v>
      </c>
      <c r="K171" s="318">
        <f>'Structural Information'!$U$7</f>
        <v>3</v>
      </c>
      <c r="L171" s="318">
        <f>L172+K171</f>
        <v>14.75</v>
      </c>
      <c r="M171" s="367">
        <f>'Yield Mechanism'!$X$58</f>
        <v>0.19953581834526582</v>
      </c>
      <c r="N171" s="69">
        <f>M171-M172</f>
        <v>6.618950556775971E-4</v>
      </c>
      <c r="O171" s="368">
        <f t="shared" si="70"/>
        <v>2.2063168522586571E-4</v>
      </c>
      <c r="P171" s="367">
        <f>$C$27</f>
        <v>9.597600000000003E-3</v>
      </c>
      <c r="Q171" s="367">
        <f>$D$27</f>
        <v>2.281598782064713E-3</v>
      </c>
      <c r="R171" s="68">
        <f t="shared" ref="R171:R173" si="73">O171/P171</f>
        <v>2.2988214264593819E-2</v>
      </c>
      <c r="S171" s="68">
        <f t="shared" ref="S171:S172" si="74">O171/Q171</f>
        <v>9.6700474667244948E-2</v>
      </c>
      <c r="T171" s="497">
        <f>'Yield Mechanism'!$AI$58</f>
        <v>53.78273378841056</v>
      </c>
      <c r="U171" s="318">
        <f>U170+T171*K171</f>
        <v>239.50602893079372</v>
      </c>
      <c r="V171" s="369"/>
      <c r="X171" s="67">
        <v>5</v>
      </c>
      <c r="Y171" s="68">
        <f>'Structural Information'!$Z$7</f>
        <v>40.367000000000004</v>
      </c>
      <c r="Z171" s="68">
        <f t="shared" si="71"/>
        <v>8.0546623791433465</v>
      </c>
      <c r="AA171" s="68">
        <f t="shared" si="72"/>
        <v>118.80627009236436</v>
      </c>
      <c r="AB171" s="66" t="s">
        <v>378</v>
      </c>
    </row>
    <row r="172" spans="10:28" x14ac:dyDescent="0.25">
      <c r="J172" s="366">
        <v>4</v>
      </c>
      <c r="K172" s="318">
        <f>'Structural Information'!$U$8</f>
        <v>3</v>
      </c>
      <c r="L172" s="318">
        <f>L173+K172</f>
        <v>11.75</v>
      </c>
      <c r="M172" s="367">
        <f>'Yield Mechanism'!$X$59</f>
        <v>0.19887392328958822</v>
      </c>
      <c r="N172" s="368">
        <f>M172-M173</f>
        <v>9.231168043737914E-4</v>
      </c>
      <c r="O172" s="368">
        <f t="shared" si="70"/>
        <v>3.0770560145793047E-4</v>
      </c>
      <c r="P172" s="367">
        <f>$C$28</f>
        <v>9.015519176800749E-3</v>
      </c>
      <c r="Q172" s="367">
        <f>$D$28</f>
        <v>2.1092027799242134E-3</v>
      </c>
      <c r="R172" s="68">
        <f t="shared" si="73"/>
        <v>3.4130657971394057E-2</v>
      </c>
      <c r="S172" s="68">
        <f t="shared" si="74"/>
        <v>0.14588715906632113</v>
      </c>
      <c r="T172" s="497">
        <f>'Yield Mechanism'!$AI$59</f>
        <v>81.420872736209446</v>
      </c>
      <c r="U172" s="318">
        <f>U171+T172*K172</f>
        <v>483.76864713942206</v>
      </c>
      <c r="V172" s="370" t="s">
        <v>130</v>
      </c>
      <c r="X172" s="67">
        <v>4</v>
      </c>
      <c r="Y172" s="68">
        <f>'Structural Information'!$Z$8</f>
        <v>40.367000000000004</v>
      </c>
      <c r="Z172" s="68">
        <f t="shared" si="71"/>
        <v>8.0279436614308093</v>
      </c>
      <c r="AA172" s="68">
        <f t="shared" si="72"/>
        <v>94.328338021812016</v>
      </c>
      <c r="AB172" s="317">
        <f>T175/M170</f>
        <v>682.97425206607954</v>
      </c>
    </row>
    <row r="173" spans="10:28" x14ac:dyDescent="0.25">
      <c r="J173" s="366">
        <v>3</v>
      </c>
      <c r="K173" s="318">
        <f>'Structural Information'!$U$9</f>
        <v>3</v>
      </c>
      <c r="L173" s="318">
        <f>L174+K173</f>
        <v>8.75</v>
      </c>
      <c r="M173" s="367">
        <f>'Yield Mechanism'!$X$60</f>
        <v>0.19795080648521443</v>
      </c>
      <c r="N173" s="69">
        <f>M173-M174</f>
        <v>5.3187153577065882E-3</v>
      </c>
      <c r="O173" s="368">
        <f t="shared" si="70"/>
        <v>1.7729051192355294E-3</v>
      </c>
      <c r="P173" s="367">
        <f>$C$29</f>
        <v>8.5822017391304368E-3</v>
      </c>
      <c r="Q173" s="367">
        <f>$D$29</f>
        <v>1.9542049297578846E-3</v>
      </c>
      <c r="R173" s="318">
        <f t="shared" si="73"/>
        <v>0.20657928735839332</v>
      </c>
      <c r="S173" s="68">
        <f>O173/Q173</f>
        <v>0.90722579410091997</v>
      </c>
      <c r="T173" s="497">
        <f>'Yield Mechanism'!$AI$60</f>
        <v>108.93072321821901</v>
      </c>
      <c r="U173" s="318">
        <f>U172+T173*K173</f>
        <v>810.56081679407907</v>
      </c>
      <c r="V173" s="371">
        <v>0</v>
      </c>
      <c r="X173" s="67">
        <v>3</v>
      </c>
      <c r="Y173" s="68">
        <f>'Structural Information'!$Z$9</f>
        <v>40.367000000000004</v>
      </c>
      <c r="Z173" s="68">
        <f t="shared" si="71"/>
        <v>7.9906802053886521</v>
      </c>
      <c r="AA173" s="68">
        <f t="shared" si="72"/>
        <v>69.918451797150709</v>
      </c>
      <c r="AB173" s="246" t="s">
        <v>380</v>
      </c>
    </row>
    <row r="174" spans="10:28" x14ac:dyDescent="0.25">
      <c r="J174" s="366">
        <v>2</v>
      </c>
      <c r="K174" s="318">
        <f>'Structural Information'!$U$10</f>
        <v>3</v>
      </c>
      <c r="L174" s="318">
        <f>L175+K174</f>
        <v>5.75</v>
      </c>
      <c r="M174" s="367">
        <f>'Yield Mechanism'!$X$61</f>
        <v>0.19263209112750784</v>
      </c>
      <c r="N174" s="69">
        <f>M174-M175</f>
        <v>0.18640051880914391</v>
      </c>
      <c r="O174" s="368">
        <f t="shared" si="70"/>
        <v>6.2133506269714638E-2</v>
      </c>
      <c r="P174" s="367">
        <f>$C$30</f>
        <v>6.7523273096129852E-3</v>
      </c>
      <c r="Q174" s="367">
        <f>$D$30</f>
        <v>1.8141308521286454E-3</v>
      </c>
      <c r="R174" s="68">
        <f>O174/P174</f>
        <v>9.201791237409056</v>
      </c>
      <c r="S174" s="68">
        <f t="shared" ref="S174:S175" si="75">O174/Q174</f>
        <v>34.249737937486202</v>
      </c>
      <c r="T174" s="497">
        <f>'Yield Mechanism'!$AI$61</f>
        <v>135.70141498274251</v>
      </c>
      <c r="U174" s="318">
        <f>U173+T174*K174</f>
        <v>1217.6650617423065</v>
      </c>
      <c r="V174" s="369"/>
      <c r="X174" s="67">
        <v>2</v>
      </c>
      <c r="Y174" s="68">
        <f>'Structural Information'!$Z$10</f>
        <v>40.367000000000004</v>
      </c>
      <c r="Z174" s="68">
        <f t="shared" si="71"/>
        <v>7.77597962254411</v>
      </c>
      <c r="AA174" s="68">
        <f t="shared" si="72"/>
        <v>44.711882829628635</v>
      </c>
      <c r="AB174" s="68">
        <f>(('Structural Information'!$Z$6*M170+'Structural Information'!$Z$7*M171+'Structural Information'!$Z$8*M172+'Structural Information'!$Z$9*M173+'Structural Information'!$Z$10*M174+'Structural Information'!$Z$11*M175)^2)/('Structural Information'!$Z$6*M170*M170+'Structural Information'!$Z$7*M171*M171+'Structural Information'!$Z$8*M172*M172+'Structural Information'!$Z$9*M173*M173+'Structural Information'!$Z$10*M174*M174+'Structural Information'!$Z$11*M175*M175)</f>
        <v>201.78724365604677</v>
      </c>
    </row>
    <row r="175" spans="10:28" x14ac:dyDescent="0.25">
      <c r="J175" s="366">
        <v>1</v>
      </c>
      <c r="K175" s="318">
        <f>'Structural Information'!$U$11</f>
        <v>2.75</v>
      </c>
      <c r="L175" s="318">
        <f>K175</f>
        <v>2.75</v>
      </c>
      <c r="M175" s="367">
        <f>'Yield Mechanism'!$X$62</f>
        <v>6.2315723183639362E-3</v>
      </c>
      <c r="N175" s="69">
        <f>M175</f>
        <v>6.2315723183639362E-3</v>
      </c>
      <c r="O175" s="368">
        <f t="shared" si="70"/>
        <v>2.2660262975868861E-3</v>
      </c>
      <c r="P175" s="367">
        <f>$C$31</f>
        <v>5.3120868684138484E-3</v>
      </c>
      <c r="Q175" s="367">
        <f>$D$31</f>
        <v>1.780731968888595E-3</v>
      </c>
      <c r="R175" s="68">
        <f t="shared" ref="R175" si="76">O175/P175</f>
        <v>0.42657929994723626</v>
      </c>
      <c r="S175" s="68">
        <f t="shared" si="75"/>
        <v>1.2725251959177084</v>
      </c>
      <c r="T175" s="497">
        <f>'Yield Mechanism'!$AI$62</f>
        <v>136.56743632304386</v>
      </c>
      <c r="U175" s="318">
        <f>U174+T175*K175</f>
        <v>1593.2255116306771</v>
      </c>
      <c r="V175" s="372"/>
      <c r="X175" s="67">
        <v>1</v>
      </c>
      <c r="Y175" s="68">
        <f>'Structural Information'!$Z$11</f>
        <v>40.367000000000004</v>
      </c>
      <c r="Z175" s="68">
        <f t="shared" si="71"/>
        <v>0.25154987977539706</v>
      </c>
      <c r="AA175" s="68">
        <f t="shared" si="72"/>
        <v>0.69176216938234192</v>
      </c>
      <c r="AB175" s="66" t="s">
        <v>379</v>
      </c>
    </row>
    <row r="176" spans="10:28" x14ac:dyDescent="0.25">
      <c r="X176" s="373"/>
      <c r="Y176" s="66" t="s">
        <v>95</v>
      </c>
      <c r="Z176" s="374">
        <f>SUM(Z170:Z175)</f>
        <v>39.66821669353935</v>
      </c>
      <c r="AA176" s="374">
        <f>SUM(AA170:AA175)</f>
        <v>462.77807168865041</v>
      </c>
      <c r="AB176" s="317">
        <f>2*PI()*SQRT(AB174/AB172)</f>
        <v>3.4152661743160944</v>
      </c>
    </row>
    <row r="177" spans="3:28" x14ac:dyDescent="0.25">
      <c r="R177" s="389"/>
      <c r="S177" s="389"/>
    </row>
    <row r="178" spans="3:28" x14ac:dyDescent="0.25">
      <c r="J178" s="909" t="s">
        <v>387</v>
      </c>
      <c r="K178" s="910"/>
      <c r="L178" s="910"/>
      <c r="M178" s="910"/>
      <c r="N178" s="910"/>
      <c r="O178" s="910"/>
      <c r="P178" s="910"/>
      <c r="Q178" s="910"/>
      <c r="R178" s="910"/>
      <c r="S178" s="910"/>
      <c r="T178" s="910"/>
      <c r="U178" s="910"/>
      <c r="V178" s="911"/>
      <c r="W178" s="388"/>
      <c r="X178" s="912" t="s">
        <v>124</v>
      </c>
      <c r="Y178" s="912"/>
      <c r="Z178" s="912"/>
      <c r="AA178" s="912"/>
      <c r="AB178" s="912"/>
    </row>
    <row r="179" spans="3:28" x14ac:dyDescent="0.25">
      <c r="J179" s="580" t="s">
        <v>9</v>
      </c>
      <c r="K179" s="582" t="s">
        <v>3</v>
      </c>
      <c r="L179" s="582" t="s">
        <v>89</v>
      </c>
      <c r="M179" s="580" t="s">
        <v>91</v>
      </c>
      <c r="N179" s="580" t="s">
        <v>98</v>
      </c>
      <c r="O179" s="582" t="s">
        <v>119</v>
      </c>
      <c r="P179" s="582" t="s">
        <v>284</v>
      </c>
      <c r="Q179" s="582" t="s">
        <v>285</v>
      </c>
      <c r="R179" s="580" t="s">
        <v>452</v>
      </c>
      <c r="S179" s="580" t="s">
        <v>453</v>
      </c>
      <c r="T179" s="580" t="s">
        <v>92</v>
      </c>
      <c r="U179" s="582" t="s">
        <v>120</v>
      </c>
      <c r="V179" s="580" t="s">
        <v>96</v>
      </c>
      <c r="X179" s="580" t="s">
        <v>9</v>
      </c>
      <c r="Y179" s="913" t="s">
        <v>93</v>
      </c>
      <c r="Z179" s="913" t="s">
        <v>94</v>
      </c>
      <c r="AA179" s="913" t="s">
        <v>122</v>
      </c>
      <c r="AB179" s="582" t="s">
        <v>123</v>
      </c>
    </row>
    <row r="180" spans="3:28" x14ac:dyDescent="0.25">
      <c r="J180" s="580"/>
      <c r="K180" s="582"/>
      <c r="L180" s="582"/>
      <c r="M180" s="580"/>
      <c r="N180" s="580"/>
      <c r="O180" s="582"/>
      <c r="P180" s="582"/>
      <c r="Q180" s="582"/>
      <c r="R180" s="580"/>
      <c r="S180" s="580"/>
      <c r="T180" s="580"/>
      <c r="U180" s="582"/>
      <c r="V180" s="580"/>
      <c r="X180" s="580"/>
      <c r="Y180" s="913"/>
      <c r="Z180" s="913"/>
      <c r="AA180" s="913"/>
      <c r="AB180" s="582"/>
    </row>
    <row r="181" spans="3:28" x14ac:dyDescent="0.25">
      <c r="J181" s="366">
        <v>6</v>
      </c>
      <c r="K181" s="318">
        <f>'Structural Information'!$U$6</f>
        <v>3</v>
      </c>
      <c r="L181" s="318">
        <f>L182+K181</f>
        <v>17.75</v>
      </c>
      <c r="M181" s="367">
        <f>'Yield Mechanism'!$X$57</f>
        <v>0.19995986072668318</v>
      </c>
      <c r="N181" s="69">
        <f>M181-M182</f>
        <v>4.2404238141735551E-4</v>
      </c>
      <c r="O181" s="368">
        <f t="shared" ref="O181:O186" si="77">N181/K181</f>
        <v>1.4134746047245184E-4</v>
      </c>
      <c r="P181" s="367">
        <f>$C$26</f>
        <v>8.3119145368492249E-3</v>
      </c>
      <c r="Q181" s="367">
        <f>$D$26</f>
        <v>3.0605372788564604E-3</v>
      </c>
      <c r="R181" s="68">
        <f>O181/P181</f>
        <v>1.7005403489871784E-2</v>
      </c>
      <c r="S181" s="68">
        <f>O181/Q181</f>
        <v>4.6183871521167985E-2</v>
      </c>
      <c r="T181" s="497">
        <f>'Yield Mechanism'!$AI$57</f>
        <v>26.052609188520677</v>
      </c>
      <c r="U181" s="318">
        <f>K181*T181</f>
        <v>78.15782756556203</v>
      </c>
      <c r="V181" s="68">
        <f>U186/AB181</f>
        <v>136.56743632304389</v>
      </c>
      <c r="X181" s="67">
        <v>6</v>
      </c>
      <c r="Y181" s="68">
        <f>'Structural Information'!$Z$6</f>
        <v>37.8446</v>
      </c>
      <c r="Z181" s="68">
        <f t="shared" ref="Z181:Z186" si="78">Y181*M181</f>
        <v>7.5674009452570337</v>
      </c>
      <c r="AA181" s="68">
        <f t="shared" ref="AA181:AA186" si="79">Z181*L181</f>
        <v>134.32136677831235</v>
      </c>
      <c r="AB181" s="68">
        <f>AA187/Z187</f>
        <v>11.666218203452079</v>
      </c>
    </row>
    <row r="182" spans="3:28" x14ac:dyDescent="0.25">
      <c r="J182" s="366">
        <v>5</v>
      </c>
      <c r="K182" s="318">
        <f>'Structural Information'!$U$7</f>
        <v>3</v>
      </c>
      <c r="L182" s="318">
        <f>L183+K182</f>
        <v>14.75</v>
      </c>
      <c r="M182" s="367">
        <f>'Yield Mechanism'!$X$58</f>
        <v>0.19953581834526582</v>
      </c>
      <c r="N182" s="69">
        <f>M182-M183</f>
        <v>6.618950556775971E-4</v>
      </c>
      <c r="O182" s="368">
        <f t="shared" si="77"/>
        <v>2.2063168522586571E-4</v>
      </c>
      <c r="P182" s="367">
        <f>$C$27</f>
        <v>9.597600000000003E-3</v>
      </c>
      <c r="Q182" s="367">
        <f>$D$27</f>
        <v>2.281598782064713E-3</v>
      </c>
      <c r="R182" s="68">
        <f t="shared" ref="R182:R184" si="80">O182/P182</f>
        <v>2.2988214264593819E-2</v>
      </c>
      <c r="S182" s="68">
        <f t="shared" ref="S182:S183" si="81">O182/Q182</f>
        <v>9.6700474667244948E-2</v>
      </c>
      <c r="T182" s="497">
        <f>'Yield Mechanism'!$AI$58</f>
        <v>53.78273378841056</v>
      </c>
      <c r="U182" s="318">
        <f>U181+T182*K182</f>
        <v>239.50602893079372</v>
      </c>
      <c r="V182" s="369"/>
      <c r="X182" s="67">
        <v>5</v>
      </c>
      <c r="Y182" s="68">
        <f>'Structural Information'!$Z$7</f>
        <v>40.367000000000004</v>
      </c>
      <c r="Z182" s="68">
        <f t="shared" si="78"/>
        <v>8.0546623791433465</v>
      </c>
      <c r="AA182" s="68">
        <f t="shared" si="79"/>
        <v>118.80627009236436</v>
      </c>
      <c r="AB182" s="66" t="s">
        <v>378</v>
      </c>
    </row>
    <row r="183" spans="3:28" x14ac:dyDescent="0.25">
      <c r="J183" s="366">
        <v>4</v>
      </c>
      <c r="K183" s="318">
        <f>'Structural Information'!$U$8</f>
        <v>3</v>
      </c>
      <c r="L183" s="318">
        <f>L184+K183</f>
        <v>11.75</v>
      </c>
      <c r="M183" s="367">
        <f>'Yield Mechanism'!$X$59</f>
        <v>0.19887392328958822</v>
      </c>
      <c r="N183" s="368">
        <f>M183-M184</f>
        <v>9.231168043737914E-4</v>
      </c>
      <c r="O183" s="368">
        <f t="shared" si="77"/>
        <v>3.0770560145793047E-4</v>
      </c>
      <c r="P183" s="367">
        <f>$C$28</f>
        <v>9.015519176800749E-3</v>
      </c>
      <c r="Q183" s="367">
        <f>$D$28</f>
        <v>2.1092027799242134E-3</v>
      </c>
      <c r="R183" s="68">
        <f t="shared" si="80"/>
        <v>3.4130657971394057E-2</v>
      </c>
      <c r="S183" s="68">
        <f t="shared" si="81"/>
        <v>0.14588715906632113</v>
      </c>
      <c r="T183" s="497">
        <f>'Yield Mechanism'!$AI$59</f>
        <v>81.420872736209446</v>
      </c>
      <c r="U183" s="318">
        <f>U182+T183*K183</f>
        <v>483.76864713942206</v>
      </c>
      <c r="V183" s="370" t="s">
        <v>130</v>
      </c>
      <c r="X183" s="67">
        <v>4</v>
      </c>
      <c r="Y183" s="68">
        <f>'Structural Information'!$Z$8</f>
        <v>40.367000000000004</v>
      </c>
      <c r="Z183" s="68">
        <f t="shared" si="78"/>
        <v>8.0279436614308093</v>
      </c>
      <c r="AA183" s="68">
        <f t="shared" si="79"/>
        <v>94.328338021812016</v>
      </c>
      <c r="AB183" s="317">
        <f>T186/M181</f>
        <v>682.97425206607954</v>
      </c>
    </row>
    <row r="184" spans="3:28" x14ac:dyDescent="0.25">
      <c r="J184" s="366">
        <v>3</v>
      </c>
      <c r="K184" s="318">
        <f>'Structural Information'!$U$9</f>
        <v>3</v>
      </c>
      <c r="L184" s="318">
        <f>L185+K184</f>
        <v>8.75</v>
      </c>
      <c r="M184" s="367">
        <f>'Yield Mechanism'!$X$60</f>
        <v>0.19795080648521443</v>
      </c>
      <c r="N184" s="69">
        <f>M184-M185</f>
        <v>5.3187153577065882E-3</v>
      </c>
      <c r="O184" s="368">
        <f t="shared" si="77"/>
        <v>1.7729051192355294E-3</v>
      </c>
      <c r="P184" s="367">
        <f>$C$29</f>
        <v>8.5822017391304368E-3</v>
      </c>
      <c r="Q184" s="367">
        <f>$D$29</f>
        <v>1.9542049297578846E-3</v>
      </c>
      <c r="R184" s="318">
        <f t="shared" si="80"/>
        <v>0.20657928735839332</v>
      </c>
      <c r="S184" s="68">
        <f>O184/Q184</f>
        <v>0.90722579410091997</v>
      </c>
      <c r="T184" s="497">
        <f>'Yield Mechanism'!$AI$60</f>
        <v>108.93072321821901</v>
      </c>
      <c r="U184" s="318">
        <f>U183+T184*K184</f>
        <v>810.56081679407907</v>
      </c>
      <c r="V184" s="371">
        <v>0</v>
      </c>
      <c r="X184" s="67">
        <v>3</v>
      </c>
      <c r="Y184" s="68">
        <f>'Structural Information'!$Z$9</f>
        <v>40.367000000000004</v>
      </c>
      <c r="Z184" s="68">
        <f t="shared" si="78"/>
        <v>7.9906802053886521</v>
      </c>
      <c r="AA184" s="68">
        <f t="shared" si="79"/>
        <v>69.918451797150709</v>
      </c>
      <c r="AB184" s="246" t="s">
        <v>380</v>
      </c>
    </row>
    <row r="185" spans="3:28" x14ac:dyDescent="0.25">
      <c r="C185" s="932" t="s">
        <v>313</v>
      </c>
      <c r="D185" s="933"/>
      <c r="E185" s="933"/>
      <c r="F185" s="934"/>
      <c r="J185" s="366">
        <v>2</v>
      </c>
      <c r="K185" s="318">
        <f>'Structural Information'!$U$10</f>
        <v>3</v>
      </c>
      <c r="L185" s="318">
        <f>L186+K185</f>
        <v>5.75</v>
      </c>
      <c r="M185" s="367">
        <f>'Yield Mechanism'!$X$61</f>
        <v>0.19263209112750784</v>
      </c>
      <c r="N185" s="69">
        <f>M185-M186</f>
        <v>0.18640051880914391</v>
      </c>
      <c r="O185" s="368">
        <f t="shared" si="77"/>
        <v>6.2133506269714638E-2</v>
      </c>
      <c r="P185" s="367">
        <f>$C$30</f>
        <v>6.7523273096129852E-3</v>
      </c>
      <c r="Q185" s="367">
        <f>$D$30</f>
        <v>1.8141308521286454E-3</v>
      </c>
      <c r="R185" s="68">
        <f>O185/P185</f>
        <v>9.201791237409056</v>
      </c>
      <c r="S185" s="68">
        <f t="shared" ref="S185:S186" si="82">O185/Q185</f>
        <v>34.249737937486202</v>
      </c>
      <c r="T185" s="497">
        <f>'Yield Mechanism'!$AI$61</f>
        <v>135.70141498274251</v>
      </c>
      <c r="U185" s="318">
        <f>U184+T185*K185</f>
        <v>1217.6650617423065</v>
      </c>
      <c r="V185" s="369"/>
      <c r="X185" s="67">
        <v>2</v>
      </c>
      <c r="Y185" s="68">
        <f>'Structural Information'!$Z$10</f>
        <v>40.367000000000004</v>
      </c>
      <c r="Z185" s="68">
        <f t="shared" si="78"/>
        <v>7.77597962254411</v>
      </c>
      <c r="AA185" s="68">
        <f t="shared" si="79"/>
        <v>44.711882829628635</v>
      </c>
      <c r="AB185" s="68">
        <f>(('Structural Information'!$Z$6*M181+'Structural Information'!$Z$7*M182+'Structural Information'!$Z$8*M183+'Structural Information'!$Z$9*M184+'Structural Information'!$Z$10*M185+'Structural Information'!$Z$11*M186)^2)/('Structural Information'!$Z$6*M181*M181+'Structural Information'!$Z$7*M182*M182+'Structural Information'!$Z$8*M183*M183+'Structural Information'!$Z$9*M184*M184+'Structural Information'!$Z$10*M185*M185+'Structural Information'!$Z$11*M186*M186)</f>
        <v>201.78724365604677</v>
      </c>
    </row>
    <row r="186" spans="3:28" x14ac:dyDescent="0.25">
      <c r="C186" s="585" t="s">
        <v>9</v>
      </c>
      <c r="D186" s="935" t="str">
        <f>H135</f>
        <v>LS6 Δi</v>
      </c>
      <c r="E186" s="937">
        <f>D125</f>
        <v>0</v>
      </c>
      <c r="F186" s="585" t="s">
        <v>265</v>
      </c>
      <c r="J186" s="366">
        <v>1</v>
      </c>
      <c r="K186" s="318">
        <f>'Structural Information'!$U$11</f>
        <v>2.75</v>
      </c>
      <c r="L186" s="318">
        <f>K186</f>
        <v>2.75</v>
      </c>
      <c r="M186" s="367">
        <f>'Yield Mechanism'!$X$62</f>
        <v>6.2315723183639362E-3</v>
      </c>
      <c r="N186" s="69">
        <f>M186</f>
        <v>6.2315723183639362E-3</v>
      </c>
      <c r="O186" s="368">
        <f t="shared" si="77"/>
        <v>2.2660262975868861E-3</v>
      </c>
      <c r="P186" s="367">
        <f>$C$31</f>
        <v>5.3120868684138484E-3</v>
      </c>
      <c r="Q186" s="367">
        <f>$D$31</f>
        <v>1.780731968888595E-3</v>
      </c>
      <c r="R186" s="68">
        <f t="shared" ref="R186" si="83">O186/P186</f>
        <v>0.42657929994723626</v>
      </c>
      <c r="S186" s="68">
        <f t="shared" si="82"/>
        <v>1.2725251959177084</v>
      </c>
      <c r="T186" s="497">
        <f>'Yield Mechanism'!$AI$62</f>
        <v>136.56743632304386</v>
      </c>
      <c r="U186" s="318">
        <f>U185+T186*K186</f>
        <v>1593.2255116306771</v>
      </c>
      <c r="V186" s="372"/>
      <c r="X186" s="67">
        <v>1</v>
      </c>
      <c r="Y186" s="68">
        <f>'Structural Information'!$Z$11</f>
        <v>40.367000000000004</v>
      </c>
      <c r="Z186" s="68">
        <f t="shared" si="78"/>
        <v>0.25154987977539706</v>
      </c>
      <c r="AA186" s="68">
        <f t="shared" si="79"/>
        <v>0.69176216938234192</v>
      </c>
      <c r="AB186" s="66" t="s">
        <v>379</v>
      </c>
    </row>
    <row r="187" spans="3:28" x14ac:dyDescent="0.25">
      <c r="C187" s="580"/>
      <c r="D187" s="936"/>
      <c r="E187" s="938"/>
      <c r="F187" s="580"/>
      <c r="X187" s="373"/>
      <c r="Y187" s="66" t="s">
        <v>95</v>
      </c>
      <c r="Z187" s="374">
        <f>SUM(Z181:Z186)</f>
        <v>39.66821669353935</v>
      </c>
      <c r="AA187" s="374">
        <f>SUM(AA181:AA186)</f>
        <v>462.77807168865041</v>
      </c>
      <c r="AB187" s="317">
        <f>2*PI()*SQRT(AB185/AB183)</f>
        <v>3.4152661743160944</v>
      </c>
    </row>
    <row r="188" spans="3:28" x14ac:dyDescent="0.25">
      <c r="C188" s="397">
        <v>6</v>
      </c>
      <c r="D188" s="398">
        <f t="shared" ref="D188:D194" si="84">H137/$H$137</f>
        <v>1</v>
      </c>
      <c r="E188" s="398" t="e">
        <f>D126/$D$126</f>
        <v>#DIV/0!</v>
      </c>
      <c r="F188" s="399" t="e">
        <f>(E188-D188)/E188</f>
        <v>#DIV/0!</v>
      </c>
      <c r="Q188" s="54"/>
      <c r="T188" s="390"/>
    </row>
    <row r="189" spans="3:28" x14ac:dyDescent="0.25">
      <c r="C189" s="400">
        <v>5</v>
      </c>
      <c r="D189" s="398">
        <f t="shared" si="84"/>
        <v>0.99787936248866982</v>
      </c>
      <c r="E189" s="398" t="e">
        <f t="shared" ref="E189:E193" si="85">D127/$D$126</f>
        <v>#DIV/0!</v>
      </c>
      <c r="F189" s="401" t="e">
        <f t="shared" ref="F189:F192" si="86">(E189-D189)/E189</f>
        <v>#DIV/0!</v>
      </c>
      <c r="J189" s="912" t="s">
        <v>388</v>
      </c>
      <c r="K189" s="912"/>
      <c r="L189" s="912"/>
      <c r="M189" s="912"/>
      <c r="N189" s="912"/>
      <c r="O189" s="912"/>
      <c r="P189" s="912"/>
      <c r="Q189" s="912"/>
      <c r="R189" s="912"/>
      <c r="S189" s="912"/>
      <c r="T189" s="912"/>
      <c r="U189" s="912"/>
      <c r="V189" s="912"/>
      <c r="W189" s="388"/>
      <c r="X189" s="912" t="s">
        <v>124</v>
      </c>
      <c r="Y189" s="912"/>
      <c r="Z189" s="912"/>
      <c r="AA189" s="912"/>
      <c r="AB189" s="912"/>
    </row>
    <row r="190" spans="3:28" x14ac:dyDescent="0.25">
      <c r="C190" s="400">
        <v>4</v>
      </c>
      <c r="D190" s="398">
        <f t="shared" si="84"/>
        <v>0.99456922287728899</v>
      </c>
      <c r="E190" s="398" t="e">
        <f t="shared" si="85"/>
        <v>#DIV/0!</v>
      </c>
      <c r="F190" s="401" t="e">
        <f t="shared" si="86"/>
        <v>#DIV/0!</v>
      </c>
      <c r="J190" s="580" t="s">
        <v>9</v>
      </c>
      <c r="K190" s="582" t="s">
        <v>3</v>
      </c>
      <c r="L190" s="582" t="s">
        <v>89</v>
      </c>
      <c r="M190" s="580" t="s">
        <v>91</v>
      </c>
      <c r="N190" s="580" t="s">
        <v>98</v>
      </c>
      <c r="O190" s="582" t="s">
        <v>119</v>
      </c>
      <c r="P190" s="582" t="s">
        <v>284</v>
      </c>
      <c r="Q190" s="582" t="s">
        <v>285</v>
      </c>
      <c r="R190" s="580" t="s">
        <v>452</v>
      </c>
      <c r="S190" s="580" t="s">
        <v>453</v>
      </c>
      <c r="T190" s="580" t="s">
        <v>92</v>
      </c>
      <c r="U190" s="582" t="s">
        <v>120</v>
      </c>
      <c r="V190" s="580" t="s">
        <v>96</v>
      </c>
      <c r="X190" s="580" t="s">
        <v>9</v>
      </c>
      <c r="Y190" s="913" t="s">
        <v>93</v>
      </c>
      <c r="Z190" s="913" t="s">
        <v>94</v>
      </c>
      <c r="AA190" s="913" t="s">
        <v>122</v>
      </c>
      <c r="AB190" s="582" t="s">
        <v>123</v>
      </c>
    </row>
    <row r="191" spans="3:28" x14ac:dyDescent="0.25">
      <c r="C191" s="400">
        <v>3</v>
      </c>
      <c r="D191" s="398">
        <f t="shared" si="84"/>
        <v>0.98995271233852855</v>
      </c>
      <c r="E191" s="398" t="e">
        <f t="shared" si="85"/>
        <v>#DIV/0!</v>
      </c>
      <c r="F191" s="401" t="e">
        <f t="shared" si="86"/>
        <v>#DIV/0!</v>
      </c>
      <c r="J191" s="580"/>
      <c r="K191" s="582"/>
      <c r="L191" s="582"/>
      <c r="M191" s="580"/>
      <c r="N191" s="580"/>
      <c r="O191" s="582"/>
      <c r="P191" s="582"/>
      <c r="Q191" s="582"/>
      <c r="R191" s="580"/>
      <c r="S191" s="580"/>
      <c r="T191" s="580"/>
      <c r="U191" s="582"/>
      <c r="V191" s="580"/>
      <c r="X191" s="580"/>
      <c r="Y191" s="913"/>
      <c r="Z191" s="913"/>
      <c r="AA191" s="913"/>
      <c r="AB191" s="582"/>
    </row>
    <row r="192" spans="3:28" x14ac:dyDescent="0.25">
      <c r="C192" s="400">
        <v>2</v>
      </c>
      <c r="D192" s="398">
        <f t="shared" si="84"/>
        <v>0.96335379724438119</v>
      </c>
      <c r="E192" s="398" t="e">
        <f t="shared" si="85"/>
        <v>#DIV/0!</v>
      </c>
      <c r="F192" s="401" t="e">
        <f t="shared" si="86"/>
        <v>#DIV/0!</v>
      </c>
      <c r="J192" s="366">
        <v>6</v>
      </c>
      <c r="K192" s="318">
        <f>'Structural Information'!$U$6</f>
        <v>3</v>
      </c>
      <c r="L192" s="318">
        <f>L193+K192</f>
        <v>17.75</v>
      </c>
      <c r="M192" s="367">
        <f>'Yield Mechanism'!$X$57</f>
        <v>0.19995986072668318</v>
      </c>
      <c r="N192" s="69">
        <f>M192-M193</f>
        <v>4.2404238141735551E-4</v>
      </c>
      <c r="O192" s="368">
        <f t="shared" ref="O192:O197" si="87">N192/K192</f>
        <v>1.4134746047245184E-4</v>
      </c>
      <c r="P192" s="367">
        <f>$C$26</f>
        <v>8.3119145368492249E-3</v>
      </c>
      <c r="Q192" s="367">
        <f>$D$26</f>
        <v>3.0605372788564604E-3</v>
      </c>
      <c r="R192" s="68">
        <f>O192/P192</f>
        <v>1.7005403489871784E-2</v>
      </c>
      <c r="S192" s="68">
        <f>O192/Q192</f>
        <v>4.6183871521167985E-2</v>
      </c>
      <c r="T192" s="497">
        <f>'Yield Mechanism'!$AI$57</f>
        <v>26.052609188520677</v>
      </c>
      <c r="U192" s="318">
        <f>K192*T192</f>
        <v>78.15782756556203</v>
      </c>
      <c r="V192" s="68">
        <f>U197/AB192</f>
        <v>136.56743632304389</v>
      </c>
      <c r="X192" s="67">
        <v>6</v>
      </c>
      <c r="Y192" s="68">
        <f>'Structural Information'!$Z$6</f>
        <v>37.8446</v>
      </c>
      <c r="Z192" s="68">
        <f t="shared" ref="Z192:Z197" si="88">Y192*M192</f>
        <v>7.5674009452570337</v>
      </c>
      <c r="AA192" s="68">
        <f t="shared" ref="AA192:AA197" si="89">Z192*L192</f>
        <v>134.32136677831235</v>
      </c>
      <c r="AB192" s="68">
        <f>AA198/Z198</f>
        <v>11.666218203452079</v>
      </c>
    </row>
    <row r="193" spans="3:28" x14ac:dyDescent="0.25">
      <c r="C193" s="400">
        <v>1</v>
      </c>
      <c r="D193" s="398">
        <f t="shared" si="84"/>
        <v>3.1164116116692106E-2</v>
      </c>
      <c r="E193" s="398" t="e">
        <f t="shared" si="85"/>
        <v>#DIV/0!</v>
      </c>
      <c r="F193" s="401" t="e">
        <f>(E193-D193)/E193</f>
        <v>#DIV/0!</v>
      </c>
      <c r="J193" s="366">
        <v>5</v>
      </c>
      <c r="K193" s="318">
        <f>'Structural Information'!$U$7</f>
        <v>3</v>
      </c>
      <c r="L193" s="318">
        <f>L194+K193</f>
        <v>14.75</v>
      </c>
      <c r="M193" s="367">
        <f>'Yield Mechanism'!$X$58</f>
        <v>0.19953581834526582</v>
      </c>
      <c r="N193" s="69">
        <f>M193-M194</f>
        <v>6.618950556775971E-4</v>
      </c>
      <c r="O193" s="368">
        <f t="shared" si="87"/>
        <v>2.2063168522586571E-4</v>
      </c>
      <c r="P193" s="367">
        <f>$C$27</f>
        <v>9.597600000000003E-3</v>
      </c>
      <c r="Q193" s="367">
        <f>$D$27</f>
        <v>2.281598782064713E-3</v>
      </c>
      <c r="R193" s="68">
        <f t="shared" ref="R193:R195" si="90">O193/P193</f>
        <v>2.2988214264593819E-2</v>
      </c>
      <c r="S193" s="68">
        <f t="shared" ref="S193:S194" si="91">O193/Q193</f>
        <v>9.6700474667244948E-2</v>
      </c>
      <c r="T193" s="497">
        <f>'Yield Mechanism'!$AI$58</f>
        <v>53.78273378841056</v>
      </c>
      <c r="U193" s="318">
        <f>U192+T193*K193</f>
        <v>239.50602893079372</v>
      </c>
      <c r="V193" s="369"/>
      <c r="X193" s="67">
        <v>5</v>
      </c>
      <c r="Y193" s="68">
        <f>'Structural Information'!$Z$7</f>
        <v>40.367000000000004</v>
      </c>
      <c r="Z193" s="68">
        <f t="shared" si="88"/>
        <v>8.0546623791433465</v>
      </c>
      <c r="AA193" s="68">
        <f t="shared" si="89"/>
        <v>118.80627009236436</v>
      </c>
      <c r="AB193" s="66" t="s">
        <v>378</v>
      </c>
    </row>
    <row r="194" spans="3:28" x14ac:dyDescent="0.25">
      <c r="C194" s="402">
        <v>0</v>
      </c>
      <c r="D194" s="403">
        <f t="shared" si="84"/>
        <v>0</v>
      </c>
      <c r="E194" s="403" t="e">
        <f>F132/$F$126</f>
        <v>#DIV/0!</v>
      </c>
      <c r="F194" s="404">
        <v>0</v>
      </c>
      <c r="J194" s="366">
        <v>4</v>
      </c>
      <c r="K194" s="318">
        <f>'Structural Information'!$U$8</f>
        <v>3</v>
      </c>
      <c r="L194" s="318">
        <f>L195+K194</f>
        <v>11.75</v>
      </c>
      <c r="M194" s="367">
        <f>'Yield Mechanism'!$X$59</f>
        <v>0.19887392328958822</v>
      </c>
      <c r="N194" s="368">
        <f>M194-M195</f>
        <v>9.231168043737914E-4</v>
      </c>
      <c r="O194" s="368">
        <f t="shared" si="87"/>
        <v>3.0770560145793047E-4</v>
      </c>
      <c r="P194" s="367">
        <f>$C$28</f>
        <v>9.015519176800749E-3</v>
      </c>
      <c r="Q194" s="367">
        <f>$D$28</f>
        <v>2.1092027799242134E-3</v>
      </c>
      <c r="R194" s="68">
        <f t="shared" si="90"/>
        <v>3.4130657971394057E-2</v>
      </c>
      <c r="S194" s="68">
        <f t="shared" si="91"/>
        <v>0.14588715906632113</v>
      </c>
      <c r="T194" s="497">
        <f>'Yield Mechanism'!$AI$59</f>
        <v>81.420872736209446</v>
      </c>
      <c r="U194" s="318">
        <f>U193+T194*K194</f>
        <v>483.76864713942206</v>
      </c>
      <c r="V194" s="370" t="s">
        <v>130</v>
      </c>
      <c r="X194" s="67">
        <v>4</v>
      </c>
      <c r="Y194" s="68">
        <f>'Structural Information'!$Z$8</f>
        <v>40.367000000000004</v>
      </c>
      <c r="Z194" s="68">
        <f t="shared" si="88"/>
        <v>8.0279436614308093</v>
      </c>
      <c r="AA194" s="68">
        <f t="shared" si="89"/>
        <v>94.328338021812016</v>
      </c>
      <c r="AB194" s="317">
        <f>T197/M192</f>
        <v>682.97425206607954</v>
      </c>
    </row>
    <row r="195" spans="3:28" x14ac:dyDescent="0.25">
      <c r="J195" s="366">
        <v>3</v>
      </c>
      <c r="K195" s="318">
        <f>'Structural Information'!$U$9</f>
        <v>3</v>
      </c>
      <c r="L195" s="318">
        <f>L196+K195</f>
        <v>8.75</v>
      </c>
      <c r="M195" s="367">
        <f>'Yield Mechanism'!$X$60</f>
        <v>0.19795080648521443</v>
      </c>
      <c r="N195" s="69">
        <f>M195-M196</f>
        <v>5.3187153577065882E-3</v>
      </c>
      <c r="O195" s="368">
        <f t="shared" si="87"/>
        <v>1.7729051192355294E-3</v>
      </c>
      <c r="P195" s="367">
        <f>$C$29</f>
        <v>8.5822017391304368E-3</v>
      </c>
      <c r="Q195" s="367">
        <f>$D$29</f>
        <v>1.9542049297578846E-3</v>
      </c>
      <c r="R195" s="318">
        <f t="shared" si="90"/>
        <v>0.20657928735839332</v>
      </c>
      <c r="S195" s="68">
        <f>O195/Q195</f>
        <v>0.90722579410091997</v>
      </c>
      <c r="T195" s="497">
        <f>'Yield Mechanism'!$AI$60</f>
        <v>108.93072321821901</v>
      </c>
      <c r="U195" s="318">
        <f>U194+T195*K195</f>
        <v>810.56081679407907</v>
      </c>
      <c r="V195" s="371">
        <v>0</v>
      </c>
      <c r="X195" s="67">
        <v>3</v>
      </c>
      <c r="Y195" s="68">
        <f>'Structural Information'!$Z$9</f>
        <v>40.367000000000004</v>
      </c>
      <c r="Z195" s="68">
        <f t="shared" si="88"/>
        <v>7.9906802053886521</v>
      </c>
      <c r="AA195" s="68">
        <f t="shared" si="89"/>
        <v>69.918451797150709</v>
      </c>
      <c r="AB195" s="246" t="s">
        <v>380</v>
      </c>
    </row>
    <row r="196" spans="3:28" x14ac:dyDescent="0.25">
      <c r="J196" s="366">
        <v>2</v>
      </c>
      <c r="K196" s="318">
        <f>'Structural Information'!$U$10</f>
        <v>3</v>
      </c>
      <c r="L196" s="318">
        <f>L197+K196</f>
        <v>5.75</v>
      </c>
      <c r="M196" s="367">
        <f>'Yield Mechanism'!$X$61</f>
        <v>0.19263209112750784</v>
      </c>
      <c r="N196" s="69">
        <f>M196-M197</f>
        <v>0.18640051880914391</v>
      </c>
      <c r="O196" s="368">
        <f t="shared" si="87"/>
        <v>6.2133506269714638E-2</v>
      </c>
      <c r="P196" s="367">
        <f>$C$30</f>
        <v>6.7523273096129852E-3</v>
      </c>
      <c r="Q196" s="367">
        <f>$D$30</f>
        <v>1.8141308521286454E-3</v>
      </c>
      <c r="R196" s="68">
        <f>O196/P196</f>
        <v>9.201791237409056</v>
      </c>
      <c r="S196" s="68">
        <f t="shared" ref="S196:S197" si="92">O196/Q196</f>
        <v>34.249737937486202</v>
      </c>
      <c r="T196" s="497">
        <f>'Yield Mechanism'!$AI$61</f>
        <v>135.70141498274251</v>
      </c>
      <c r="U196" s="318">
        <f>U195+T196*K196</f>
        <v>1217.6650617423065</v>
      </c>
      <c r="V196" s="369"/>
      <c r="X196" s="67">
        <v>2</v>
      </c>
      <c r="Y196" s="68">
        <f>'Structural Information'!$Z$10</f>
        <v>40.367000000000004</v>
      </c>
      <c r="Z196" s="68">
        <f t="shared" si="88"/>
        <v>7.77597962254411</v>
      </c>
      <c r="AA196" s="68">
        <f t="shared" si="89"/>
        <v>44.711882829628635</v>
      </c>
      <c r="AB196" s="68">
        <f>(('Structural Information'!$Z$6*M192+'Structural Information'!$Z$7*M193+'Structural Information'!$Z$8*M194+'Structural Information'!$Z$9*M195+'Structural Information'!$Z$10*M196+'Structural Information'!$Z$11*M197)^2)/('Structural Information'!$Z$6*M192*M192+'Structural Information'!$Z$7*M193*M193+'Structural Information'!$Z$8*M194*M194+'Structural Information'!$Z$9*M195*M195+'Structural Information'!$Z$10*M196*M196+'Structural Information'!$Z$11*M197*M197)</f>
        <v>201.78724365604677</v>
      </c>
    </row>
    <row r="197" spans="3:28" x14ac:dyDescent="0.25">
      <c r="J197" s="366">
        <v>1</v>
      </c>
      <c r="K197" s="318">
        <f>'Structural Information'!$U$11</f>
        <v>2.75</v>
      </c>
      <c r="L197" s="318">
        <f>K197</f>
        <v>2.75</v>
      </c>
      <c r="M197" s="367">
        <f>'Yield Mechanism'!$X$62</f>
        <v>6.2315723183639362E-3</v>
      </c>
      <c r="N197" s="69">
        <f>M197</f>
        <v>6.2315723183639362E-3</v>
      </c>
      <c r="O197" s="368">
        <f t="shared" si="87"/>
        <v>2.2660262975868861E-3</v>
      </c>
      <c r="P197" s="367">
        <f>$C$31</f>
        <v>5.3120868684138484E-3</v>
      </c>
      <c r="Q197" s="367">
        <f>$D$31</f>
        <v>1.780731968888595E-3</v>
      </c>
      <c r="R197" s="68">
        <f t="shared" ref="R197" si="93">O197/P197</f>
        <v>0.42657929994723626</v>
      </c>
      <c r="S197" s="68">
        <f t="shared" si="92"/>
        <v>1.2725251959177084</v>
      </c>
      <c r="T197" s="497">
        <f>'Yield Mechanism'!$AI$62</f>
        <v>136.56743632304386</v>
      </c>
      <c r="U197" s="318">
        <f>U196+T197*K197</f>
        <v>1593.2255116306771</v>
      </c>
      <c r="V197" s="372"/>
      <c r="X197" s="67">
        <v>1</v>
      </c>
      <c r="Y197" s="68">
        <f>'Structural Information'!$Z$11</f>
        <v>40.367000000000004</v>
      </c>
      <c r="Z197" s="68">
        <f t="shared" si="88"/>
        <v>0.25154987977539706</v>
      </c>
      <c r="AA197" s="68">
        <f t="shared" si="89"/>
        <v>0.69176216938234192</v>
      </c>
      <c r="AB197" s="66" t="s">
        <v>379</v>
      </c>
    </row>
    <row r="198" spans="3:28" x14ac:dyDescent="0.25">
      <c r="X198" s="373"/>
      <c r="Y198" s="66" t="s">
        <v>95</v>
      </c>
      <c r="Z198" s="374">
        <f>SUM(Z192:Z197)</f>
        <v>39.66821669353935</v>
      </c>
      <c r="AA198" s="374">
        <f>SUM(AA192:AA197)</f>
        <v>462.77807168865041</v>
      </c>
      <c r="AB198" s="317">
        <f>2*PI()*SQRT(AB196/AB194)</f>
        <v>3.4152661743160944</v>
      </c>
    </row>
    <row r="199" spans="3:28" x14ac:dyDescent="0.25">
      <c r="S199" s="54"/>
    </row>
    <row r="200" spans="3:28" x14ac:dyDescent="0.25">
      <c r="J200" s="912" t="s">
        <v>389</v>
      </c>
      <c r="K200" s="912"/>
      <c r="L200" s="912"/>
      <c r="M200" s="912"/>
      <c r="N200" s="912"/>
      <c r="O200" s="912"/>
      <c r="P200" s="912"/>
      <c r="Q200" s="912"/>
      <c r="R200" s="912"/>
      <c r="S200" s="912"/>
      <c r="T200" s="912"/>
      <c r="U200" s="912"/>
      <c r="V200" s="912"/>
      <c r="W200" s="388"/>
      <c r="X200" s="912" t="s">
        <v>124</v>
      </c>
      <c r="Y200" s="912"/>
      <c r="Z200" s="912"/>
      <c r="AA200" s="912"/>
      <c r="AB200" s="912"/>
    </row>
    <row r="201" spans="3:28" x14ac:dyDescent="0.25">
      <c r="J201" s="580" t="s">
        <v>9</v>
      </c>
      <c r="K201" s="582" t="s">
        <v>3</v>
      </c>
      <c r="L201" s="582" t="s">
        <v>89</v>
      </c>
      <c r="M201" s="580" t="s">
        <v>91</v>
      </c>
      <c r="N201" s="580" t="s">
        <v>98</v>
      </c>
      <c r="O201" s="582" t="s">
        <v>119</v>
      </c>
      <c r="P201" s="582" t="s">
        <v>284</v>
      </c>
      <c r="Q201" s="582" t="s">
        <v>285</v>
      </c>
      <c r="R201" s="580" t="s">
        <v>452</v>
      </c>
      <c r="S201" s="580" t="s">
        <v>453</v>
      </c>
      <c r="T201" s="580" t="s">
        <v>92</v>
      </c>
      <c r="U201" s="582" t="s">
        <v>120</v>
      </c>
      <c r="V201" s="580" t="s">
        <v>96</v>
      </c>
      <c r="X201" s="580" t="s">
        <v>9</v>
      </c>
      <c r="Y201" s="913" t="s">
        <v>93</v>
      </c>
      <c r="Z201" s="913" t="s">
        <v>94</v>
      </c>
      <c r="AA201" s="913" t="s">
        <v>122</v>
      </c>
      <c r="AB201" s="582" t="s">
        <v>123</v>
      </c>
    </row>
    <row r="202" spans="3:28" x14ac:dyDescent="0.25">
      <c r="J202" s="580"/>
      <c r="K202" s="582"/>
      <c r="L202" s="582"/>
      <c r="M202" s="580"/>
      <c r="N202" s="580"/>
      <c r="O202" s="582"/>
      <c r="P202" s="582"/>
      <c r="Q202" s="582"/>
      <c r="R202" s="580"/>
      <c r="S202" s="580"/>
      <c r="T202" s="580"/>
      <c r="U202" s="582"/>
      <c r="V202" s="580"/>
      <c r="X202" s="580"/>
      <c r="Y202" s="913"/>
      <c r="Z202" s="913"/>
      <c r="AA202" s="913"/>
      <c r="AB202" s="582"/>
    </row>
    <row r="203" spans="3:28" x14ac:dyDescent="0.25">
      <c r="J203" s="366">
        <v>6</v>
      </c>
      <c r="K203" s="318">
        <f>'Structural Information'!$U$6</f>
        <v>3</v>
      </c>
      <c r="L203" s="318">
        <f>L204+K203</f>
        <v>17.75</v>
      </c>
      <c r="M203" s="367">
        <f>'Yield Mechanism'!$X$57</f>
        <v>0.19995986072668318</v>
      </c>
      <c r="N203" s="69">
        <f>M203-M204</f>
        <v>4.2404238141735551E-4</v>
      </c>
      <c r="O203" s="368">
        <f t="shared" ref="O203:O208" si="94">N203/K203</f>
        <v>1.4134746047245184E-4</v>
      </c>
      <c r="P203" s="367">
        <f>$C$26</f>
        <v>8.3119145368492249E-3</v>
      </c>
      <c r="Q203" s="367">
        <f>$D$26</f>
        <v>3.0605372788564604E-3</v>
      </c>
      <c r="R203" s="68">
        <f>O203/P203</f>
        <v>1.7005403489871784E-2</v>
      </c>
      <c r="S203" s="68">
        <f>O203/Q203</f>
        <v>4.6183871521167985E-2</v>
      </c>
      <c r="T203" s="497">
        <f>'Yield Mechanism'!$AI$57</f>
        <v>26.052609188520677</v>
      </c>
      <c r="U203" s="318">
        <f>K203*T203</f>
        <v>78.15782756556203</v>
      </c>
      <c r="V203" s="68">
        <f>U208/AB203</f>
        <v>136.56743632304389</v>
      </c>
      <c r="X203" s="67">
        <v>6</v>
      </c>
      <c r="Y203" s="68">
        <f>'Structural Information'!$Z$6</f>
        <v>37.8446</v>
      </c>
      <c r="Z203" s="68">
        <f t="shared" ref="Z203:Z208" si="95">Y203*M203</f>
        <v>7.5674009452570337</v>
      </c>
      <c r="AA203" s="68">
        <f t="shared" ref="AA203:AA208" si="96">Z203*L203</f>
        <v>134.32136677831235</v>
      </c>
      <c r="AB203" s="68">
        <f>AA209/Z209</f>
        <v>11.666218203452079</v>
      </c>
    </row>
    <row r="204" spans="3:28" x14ac:dyDescent="0.25">
      <c r="J204" s="366">
        <v>5</v>
      </c>
      <c r="K204" s="318">
        <f>'Structural Information'!$U$7</f>
        <v>3</v>
      </c>
      <c r="L204" s="318">
        <f>L205+K204</f>
        <v>14.75</v>
      </c>
      <c r="M204" s="367">
        <f>'Yield Mechanism'!$X$58</f>
        <v>0.19953581834526582</v>
      </c>
      <c r="N204" s="69">
        <f>M204-M205</f>
        <v>6.618950556775971E-4</v>
      </c>
      <c r="O204" s="368">
        <f t="shared" si="94"/>
        <v>2.2063168522586571E-4</v>
      </c>
      <c r="P204" s="367">
        <f>$C$27</f>
        <v>9.597600000000003E-3</v>
      </c>
      <c r="Q204" s="367">
        <f>$D$27</f>
        <v>2.281598782064713E-3</v>
      </c>
      <c r="R204" s="68">
        <f t="shared" ref="R204:R206" si="97">O204/P204</f>
        <v>2.2988214264593819E-2</v>
      </c>
      <c r="S204" s="68">
        <f t="shared" ref="S204:S205" si="98">O204/Q204</f>
        <v>9.6700474667244948E-2</v>
      </c>
      <c r="T204" s="497">
        <f>'Yield Mechanism'!$AI$58</f>
        <v>53.78273378841056</v>
      </c>
      <c r="U204" s="318">
        <f>U203+T204*K204</f>
        <v>239.50602893079372</v>
      </c>
      <c r="V204" s="369"/>
      <c r="X204" s="67">
        <v>5</v>
      </c>
      <c r="Y204" s="68">
        <f>'Structural Information'!$Z$7</f>
        <v>40.367000000000004</v>
      </c>
      <c r="Z204" s="68">
        <f t="shared" si="95"/>
        <v>8.0546623791433465</v>
      </c>
      <c r="AA204" s="68">
        <f t="shared" si="96"/>
        <v>118.80627009236436</v>
      </c>
      <c r="AB204" s="66" t="s">
        <v>378</v>
      </c>
    </row>
    <row r="205" spans="3:28" x14ac:dyDescent="0.25">
      <c r="J205" s="366">
        <v>4</v>
      </c>
      <c r="K205" s="318">
        <f>'Structural Information'!$U$8</f>
        <v>3</v>
      </c>
      <c r="L205" s="318">
        <f>L206+K205</f>
        <v>11.75</v>
      </c>
      <c r="M205" s="367">
        <f>'Yield Mechanism'!$X$59</f>
        <v>0.19887392328958822</v>
      </c>
      <c r="N205" s="368">
        <f>M205-M206</f>
        <v>9.231168043737914E-4</v>
      </c>
      <c r="O205" s="368">
        <f t="shared" si="94"/>
        <v>3.0770560145793047E-4</v>
      </c>
      <c r="P205" s="367">
        <f>$C$28</f>
        <v>9.015519176800749E-3</v>
      </c>
      <c r="Q205" s="367">
        <f>$D$28</f>
        <v>2.1092027799242134E-3</v>
      </c>
      <c r="R205" s="68">
        <f t="shared" si="97"/>
        <v>3.4130657971394057E-2</v>
      </c>
      <c r="S205" s="68">
        <f t="shared" si="98"/>
        <v>0.14588715906632113</v>
      </c>
      <c r="T205" s="497">
        <f>'Yield Mechanism'!$AI$59</f>
        <v>81.420872736209446</v>
      </c>
      <c r="U205" s="318">
        <f>U204+T205*K205</f>
        <v>483.76864713942206</v>
      </c>
      <c r="V205" s="370" t="s">
        <v>130</v>
      </c>
      <c r="X205" s="67">
        <v>4</v>
      </c>
      <c r="Y205" s="68">
        <f>'Structural Information'!$Z$8</f>
        <v>40.367000000000004</v>
      </c>
      <c r="Z205" s="68">
        <f t="shared" si="95"/>
        <v>8.0279436614308093</v>
      </c>
      <c r="AA205" s="68">
        <f t="shared" si="96"/>
        <v>94.328338021812016</v>
      </c>
      <c r="AB205" s="317">
        <f>T208/M203</f>
        <v>682.97425206607954</v>
      </c>
    </row>
    <row r="206" spans="3:28" x14ac:dyDescent="0.25">
      <c r="J206" s="366">
        <v>3</v>
      </c>
      <c r="K206" s="318">
        <f>'Structural Information'!$U$9</f>
        <v>3</v>
      </c>
      <c r="L206" s="318">
        <f>L207+K206</f>
        <v>8.75</v>
      </c>
      <c r="M206" s="367">
        <f>'Yield Mechanism'!$X$60</f>
        <v>0.19795080648521443</v>
      </c>
      <c r="N206" s="69">
        <f>M206-M207</f>
        <v>5.3187153577065882E-3</v>
      </c>
      <c r="O206" s="368">
        <f t="shared" si="94"/>
        <v>1.7729051192355294E-3</v>
      </c>
      <c r="P206" s="367">
        <f>$C$29</f>
        <v>8.5822017391304368E-3</v>
      </c>
      <c r="Q206" s="367">
        <f>$D$29</f>
        <v>1.9542049297578846E-3</v>
      </c>
      <c r="R206" s="318">
        <f t="shared" si="97"/>
        <v>0.20657928735839332</v>
      </c>
      <c r="S206" s="68">
        <f>O206/Q206</f>
        <v>0.90722579410091997</v>
      </c>
      <c r="T206" s="497">
        <f>'Yield Mechanism'!$AI$60</f>
        <v>108.93072321821901</v>
      </c>
      <c r="U206" s="318">
        <f>U205+T206*K206</f>
        <v>810.56081679407907</v>
      </c>
      <c r="V206" s="371">
        <v>0</v>
      </c>
      <c r="X206" s="67">
        <v>3</v>
      </c>
      <c r="Y206" s="68">
        <f>'Structural Information'!$Z$9</f>
        <v>40.367000000000004</v>
      </c>
      <c r="Z206" s="68">
        <f t="shared" si="95"/>
        <v>7.9906802053886521</v>
      </c>
      <c r="AA206" s="68">
        <f t="shared" si="96"/>
        <v>69.918451797150709</v>
      </c>
      <c r="AB206" s="246" t="s">
        <v>380</v>
      </c>
    </row>
    <row r="207" spans="3:28" x14ac:dyDescent="0.25">
      <c r="J207" s="366">
        <v>2</v>
      </c>
      <c r="K207" s="318">
        <f>'Structural Information'!$U$10</f>
        <v>3</v>
      </c>
      <c r="L207" s="318">
        <f>L208+K207</f>
        <v>5.75</v>
      </c>
      <c r="M207" s="367">
        <f>'Yield Mechanism'!$X$61</f>
        <v>0.19263209112750784</v>
      </c>
      <c r="N207" s="69">
        <f>M207-M208</f>
        <v>0.18640051880914391</v>
      </c>
      <c r="O207" s="368">
        <f t="shared" si="94"/>
        <v>6.2133506269714638E-2</v>
      </c>
      <c r="P207" s="367">
        <f>$C$30</f>
        <v>6.7523273096129852E-3</v>
      </c>
      <c r="Q207" s="367">
        <f>$D$30</f>
        <v>1.8141308521286454E-3</v>
      </c>
      <c r="R207" s="68">
        <f>O207/P207</f>
        <v>9.201791237409056</v>
      </c>
      <c r="S207" s="68">
        <f t="shared" ref="S207:S208" si="99">O207/Q207</f>
        <v>34.249737937486202</v>
      </c>
      <c r="T207" s="497">
        <f>'Yield Mechanism'!$AI$61</f>
        <v>135.70141498274251</v>
      </c>
      <c r="U207" s="318">
        <f>U206+T207*K207</f>
        <v>1217.6650617423065</v>
      </c>
      <c r="V207" s="369"/>
      <c r="X207" s="67">
        <v>2</v>
      </c>
      <c r="Y207" s="68">
        <f>'Structural Information'!$Z$10</f>
        <v>40.367000000000004</v>
      </c>
      <c r="Z207" s="68">
        <f t="shared" si="95"/>
        <v>7.77597962254411</v>
      </c>
      <c r="AA207" s="68">
        <f t="shared" si="96"/>
        <v>44.711882829628635</v>
      </c>
      <c r="AB207" s="68">
        <f>(('Structural Information'!$Z$6*M203+'Structural Information'!$Z$7*M204+'Structural Information'!$Z$8*M205+'Structural Information'!$Z$9*M206+'Structural Information'!$Z$10*M207+'Structural Information'!$Z$11*M208)^2)/('Structural Information'!$Z$6*M203*M203+'Structural Information'!$Z$7*M204*M204+'Structural Information'!$Z$8*M205*M205+'Structural Information'!$Z$9*M206*M206+'Structural Information'!$Z$10*M207*M207+'Structural Information'!$Z$11*M208*M208)</f>
        <v>201.78724365604677</v>
      </c>
    </row>
    <row r="208" spans="3:28" x14ac:dyDescent="0.25">
      <c r="J208" s="366">
        <v>1</v>
      </c>
      <c r="K208" s="318">
        <f>'Structural Information'!$U$11</f>
        <v>2.75</v>
      </c>
      <c r="L208" s="318">
        <f>K208</f>
        <v>2.75</v>
      </c>
      <c r="M208" s="367">
        <f>'Yield Mechanism'!$X$62</f>
        <v>6.2315723183639362E-3</v>
      </c>
      <c r="N208" s="69">
        <f>M208</f>
        <v>6.2315723183639362E-3</v>
      </c>
      <c r="O208" s="368">
        <f t="shared" si="94"/>
        <v>2.2660262975868861E-3</v>
      </c>
      <c r="P208" s="367">
        <f>$C$31</f>
        <v>5.3120868684138484E-3</v>
      </c>
      <c r="Q208" s="367">
        <f>$D$31</f>
        <v>1.780731968888595E-3</v>
      </c>
      <c r="R208" s="68">
        <f t="shared" ref="R208" si="100">O208/P208</f>
        <v>0.42657929994723626</v>
      </c>
      <c r="S208" s="68">
        <f t="shared" si="99"/>
        <v>1.2725251959177084</v>
      </c>
      <c r="T208" s="497">
        <f>'Yield Mechanism'!$AI$62</f>
        <v>136.56743632304386</v>
      </c>
      <c r="U208" s="318">
        <f>U207+T208*K208</f>
        <v>1593.2255116306771</v>
      </c>
      <c r="V208" s="372"/>
      <c r="X208" s="67">
        <v>1</v>
      </c>
      <c r="Y208" s="68">
        <f>'Structural Information'!$Z$11</f>
        <v>40.367000000000004</v>
      </c>
      <c r="Z208" s="68">
        <f t="shared" si="95"/>
        <v>0.25154987977539706</v>
      </c>
      <c r="AA208" s="68">
        <f t="shared" si="96"/>
        <v>0.69176216938234192</v>
      </c>
      <c r="AB208" s="66" t="s">
        <v>379</v>
      </c>
    </row>
    <row r="209" spans="10:28" x14ac:dyDescent="0.25">
      <c r="X209" s="373"/>
      <c r="Y209" s="66" t="s">
        <v>95</v>
      </c>
      <c r="Z209" s="374">
        <f>SUM(Z203:Z208)</f>
        <v>39.66821669353935</v>
      </c>
      <c r="AA209" s="374">
        <f>SUM(AA203:AA208)</f>
        <v>462.77807168865041</v>
      </c>
      <c r="AB209" s="317">
        <f>2*PI()*SQRT(AB207/AB205)</f>
        <v>3.4152661743160944</v>
      </c>
    </row>
    <row r="211" spans="10:28" x14ac:dyDescent="0.25">
      <c r="J211" s="912" t="s">
        <v>390</v>
      </c>
      <c r="K211" s="912"/>
      <c r="L211" s="912"/>
      <c r="M211" s="912"/>
      <c r="N211" s="912"/>
      <c r="O211" s="912"/>
      <c r="P211" s="912"/>
      <c r="Q211" s="912"/>
      <c r="R211" s="912"/>
      <c r="S211" s="912"/>
      <c r="T211" s="912"/>
      <c r="U211" s="912"/>
      <c r="V211" s="912"/>
      <c r="W211" s="388"/>
      <c r="X211" s="912" t="s">
        <v>124</v>
      </c>
      <c r="Y211" s="912"/>
      <c r="Z211" s="912"/>
      <c r="AA211" s="912"/>
      <c r="AB211" s="912"/>
    </row>
    <row r="212" spans="10:28" x14ac:dyDescent="0.25">
      <c r="J212" s="580" t="s">
        <v>9</v>
      </c>
      <c r="K212" s="582" t="s">
        <v>3</v>
      </c>
      <c r="L212" s="582" t="s">
        <v>89</v>
      </c>
      <c r="M212" s="580" t="s">
        <v>91</v>
      </c>
      <c r="N212" s="580" t="s">
        <v>98</v>
      </c>
      <c r="O212" s="582" t="s">
        <v>119</v>
      </c>
      <c r="P212" s="582" t="s">
        <v>284</v>
      </c>
      <c r="Q212" s="582" t="s">
        <v>285</v>
      </c>
      <c r="R212" s="580" t="s">
        <v>452</v>
      </c>
      <c r="S212" s="580" t="s">
        <v>453</v>
      </c>
      <c r="T212" s="580" t="s">
        <v>92</v>
      </c>
      <c r="U212" s="582" t="s">
        <v>120</v>
      </c>
      <c r="V212" s="580" t="s">
        <v>96</v>
      </c>
      <c r="X212" s="580" t="s">
        <v>9</v>
      </c>
      <c r="Y212" s="913" t="s">
        <v>93</v>
      </c>
      <c r="Z212" s="913" t="s">
        <v>94</v>
      </c>
      <c r="AA212" s="913" t="s">
        <v>122</v>
      </c>
      <c r="AB212" s="582" t="s">
        <v>123</v>
      </c>
    </row>
    <row r="213" spans="10:28" x14ac:dyDescent="0.25">
      <c r="J213" s="580"/>
      <c r="K213" s="582"/>
      <c r="L213" s="582"/>
      <c r="M213" s="580"/>
      <c r="N213" s="580"/>
      <c r="O213" s="582"/>
      <c r="P213" s="582"/>
      <c r="Q213" s="582"/>
      <c r="R213" s="580"/>
      <c r="S213" s="580"/>
      <c r="T213" s="580"/>
      <c r="U213" s="582"/>
      <c r="V213" s="580"/>
      <c r="X213" s="580"/>
      <c r="Y213" s="913"/>
      <c r="Z213" s="913"/>
      <c r="AA213" s="913"/>
      <c r="AB213" s="582"/>
    </row>
    <row r="214" spans="10:28" x14ac:dyDescent="0.25">
      <c r="J214" s="366">
        <v>6</v>
      </c>
      <c r="K214" s="318">
        <f>'Structural Information'!$U$6</f>
        <v>3</v>
      </c>
      <c r="L214" s="318">
        <f>L215+K214</f>
        <v>17.75</v>
      </c>
      <c r="M214" s="367">
        <f>'Yield Mechanism'!$X$57</f>
        <v>0.19995986072668318</v>
      </c>
      <c r="N214" s="69">
        <f>M214-M215</f>
        <v>4.2404238141735551E-4</v>
      </c>
      <c r="O214" s="368">
        <f t="shared" ref="O214:O219" si="101">N214/K214</f>
        <v>1.4134746047245184E-4</v>
      </c>
      <c r="P214" s="367">
        <f>$C$26</f>
        <v>8.3119145368492249E-3</v>
      </c>
      <c r="Q214" s="367">
        <f>$D$26</f>
        <v>3.0605372788564604E-3</v>
      </c>
      <c r="R214" s="68">
        <f>O214/P214</f>
        <v>1.7005403489871784E-2</v>
      </c>
      <c r="S214" s="68">
        <f>O214/Q214</f>
        <v>4.6183871521167985E-2</v>
      </c>
      <c r="T214" s="497">
        <f>'Yield Mechanism'!$AI$57</f>
        <v>26.052609188520677</v>
      </c>
      <c r="U214" s="318">
        <f>K214*T214</f>
        <v>78.15782756556203</v>
      </c>
      <c r="V214" s="68">
        <f>U219/AB214</f>
        <v>136.56743632304389</v>
      </c>
      <c r="X214" s="67">
        <v>6</v>
      </c>
      <c r="Y214" s="68">
        <f>'Structural Information'!$Z$6</f>
        <v>37.8446</v>
      </c>
      <c r="Z214" s="68">
        <f t="shared" ref="Z214:Z219" si="102">Y214*M214</f>
        <v>7.5674009452570337</v>
      </c>
      <c r="AA214" s="68">
        <f t="shared" ref="AA214:AA219" si="103">Z214*L214</f>
        <v>134.32136677831235</v>
      </c>
      <c r="AB214" s="68">
        <f>AA220/Z220</f>
        <v>11.666218203452079</v>
      </c>
    </row>
    <row r="215" spans="10:28" x14ac:dyDescent="0.25">
      <c r="J215" s="366">
        <v>5</v>
      </c>
      <c r="K215" s="318">
        <f>'Structural Information'!$U$7</f>
        <v>3</v>
      </c>
      <c r="L215" s="318">
        <f>L216+K215</f>
        <v>14.75</v>
      </c>
      <c r="M215" s="367">
        <f>'Yield Mechanism'!$X$58</f>
        <v>0.19953581834526582</v>
      </c>
      <c r="N215" s="69">
        <f>M215-M216</f>
        <v>6.618950556775971E-4</v>
      </c>
      <c r="O215" s="368">
        <f t="shared" si="101"/>
        <v>2.2063168522586571E-4</v>
      </c>
      <c r="P215" s="367">
        <f>$C$27</f>
        <v>9.597600000000003E-3</v>
      </c>
      <c r="Q215" s="367">
        <f>$D$27</f>
        <v>2.281598782064713E-3</v>
      </c>
      <c r="R215" s="68">
        <f t="shared" ref="R215:R217" si="104">O215/P215</f>
        <v>2.2988214264593819E-2</v>
      </c>
      <c r="S215" s="68">
        <f t="shared" ref="S215:S216" si="105">O215/Q215</f>
        <v>9.6700474667244948E-2</v>
      </c>
      <c r="T215" s="497">
        <f>'Yield Mechanism'!$AI$58</f>
        <v>53.78273378841056</v>
      </c>
      <c r="U215" s="318">
        <f>U214+T215*K215</f>
        <v>239.50602893079372</v>
      </c>
      <c r="V215" s="369"/>
      <c r="X215" s="67">
        <v>5</v>
      </c>
      <c r="Y215" s="68">
        <f>'Structural Information'!$Z$7</f>
        <v>40.367000000000004</v>
      </c>
      <c r="Z215" s="68">
        <f t="shared" si="102"/>
        <v>8.0546623791433465</v>
      </c>
      <c r="AA215" s="68">
        <f t="shared" si="103"/>
        <v>118.80627009236436</v>
      </c>
      <c r="AB215" s="66" t="s">
        <v>378</v>
      </c>
    </row>
    <row r="216" spans="10:28" x14ac:dyDescent="0.25">
      <c r="J216" s="366">
        <v>4</v>
      </c>
      <c r="K216" s="318">
        <f>'Structural Information'!$U$8</f>
        <v>3</v>
      </c>
      <c r="L216" s="318">
        <f>L217+K216</f>
        <v>11.75</v>
      </c>
      <c r="M216" s="367">
        <f>'Yield Mechanism'!$X$59</f>
        <v>0.19887392328958822</v>
      </c>
      <c r="N216" s="368">
        <f>M216-M217</f>
        <v>9.231168043737914E-4</v>
      </c>
      <c r="O216" s="368">
        <f t="shared" si="101"/>
        <v>3.0770560145793047E-4</v>
      </c>
      <c r="P216" s="367">
        <f>$C$28</f>
        <v>9.015519176800749E-3</v>
      </c>
      <c r="Q216" s="367">
        <f>$D$28</f>
        <v>2.1092027799242134E-3</v>
      </c>
      <c r="R216" s="68">
        <f t="shared" si="104"/>
        <v>3.4130657971394057E-2</v>
      </c>
      <c r="S216" s="68">
        <f t="shared" si="105"/>
        <v>0.14588715906632113</v>
      </c>
      <c r="T216" s="497">
        <f>'Yield Mechanism'!$AI$59</f>
        <v>81.420872736209446</v>
      </c>
      <c r="U216" s="318">
        <f>U215+T216*K216</f>
        <v>483.76864713942206</v>
      </c>
      <c r="V216" s="370" t="s">
        <v>130</v>
      </c>
      <c r="X216" s="67">
        <v>4</v>
      </c>
      <c r="Y216" s="68">
        <f>'Structural Information'!$Z$8</f>
        <v>40.367000000000004</v>
      </c>
      <c r="Z216" s="68">
        <f t="shared" si="102"/>
        <v>8.0279436614308093</v>
      </c>
      <c r="AA216" s="68">
        <f t="shared" si="103"/>
        <v>94.328338021812016</v>
      </c>
      <c r="AB216" s="317">
        <f>T219/M214</f>
        <v>682.97425206607954</v>
      </c>
    </row>
    <row r="217" spans="10:28" x14ac:dyDescent="0.25">
      <c r="J217" s="366">
        <v>3</v>
      </c>
      <c r="K217" s="318">
        <f>'Structural Information'!$U$9</f>
        <v>3</v>
      </c>
      <c r="L217" s="318">
        <f>L218+K217</f>
        <v>8.75</v>
      </c>
      <c r="M217" s="367">
        <f>'Yield Mechanism'!$X$60</f>
        <v>0.19795080648521443</v>
      </c>
      <c r="N217" s="69">
        <f>M217-M218</f>
        <v>5.3187153577065882E-3</v>
      </c>
      <c r="O217" s="368">
        <f t="shared" si="101"/>
        <v>1.7729051192355294E-3</v>
      </c>
      <c r="P217" s="367">
        <f>$C$29</f>
        <v>8.5822017391304368E-3</v>
      </c>
      <c r="Q217" s="367">
        <f>$D$29</f>
        <v>1.9542049297578846E-3</v>
      </c>
      <c r="R217" s="318">
        <f t="shared" si="104"/>
        <v>0.20657928735839332</v>
      </c>
      <c r="S217" s="68">
        <f>O217/Q217</f>
        <v>0.90722579410091997</v>
      </c>
      <c r="T217" s="497">
        <f>'Yield Mechanism'!$AI$60</f>
        <v>108.93072321821901</v>
      </c>
      <c r="U217" s="318">
        <f>U216+T217*K217</f>
        <v>810.56081679407907</v>
      </c>
      <c r="V217" s="371">
        <v>0</v>
      </c>
      <c r="X217" s="67">
        <v>3</v>
      </c>
      <c r="Y217" s="68">
        <f>'Structural Information'!$Z$9</f>
        <v>40.367000000000004</v>
      </c>
      <c r="Z217" s="68">
        <f t="shared" si="102"/>
        <v>7.9906802053886521</v>
      </c>
      <c r="AA217" s="68">
        <f t="shared" si="103"/>
        <v>69.918451797150709</v>
      </c>
      <c r="AB217" s="246" t="s">
        <v>380</v>
      </c>
    </row>
    <row r="218" spans="10:28" x14ac:dyDescent="0.25">
      <c r="J218" s="366">
        <v>2</v>
      </c>
      <c r="K218" s="318">
        <f>'Structural Information'!$U$10</f>
        <v>3</v>
      </c>
      <c r="L218" s="318">
        <f>L219+K218</f>
        <v>5.75</v>
      </c>
      <c r="M218" s="367">
        <f>'Yield Mechanism'!$X$61</f>
        <v>0.19263209112750784</v>
      </c>
      <c r="N218" s="69">
        <f>M218-M219</f>
        <v>0.18640051880914391</v>
      </c>
      <c r="O218" s="368">
        <f t="shared" si="101"/>
        <v>6.2133506269714638E-2</v>
      </c>
      <c r="P218" s="367">
        <f>$C$30</f>
        <v>6.7523273096129852E-3</v>
      </c>
      <c r="Q218" s="367">
        <f>$D$30</f>
        <v>1.8141308521286454E-3</v>
      </c>
      <c r="R218" s="68">
        <f>O218/P218</f>
        <v>9.201791237409056</v>
      </c>
      <c r="S218" s="68">
        <f t="shared" ref="S218:S219" si="106">O218/Q218</f>
        <v>34.249737937486202</v>
      </c>
      <c r="T218" s="497">
        <f>'Yield Mechanism'!$AI$61</f>
        <v>135.70141498274251</v>
      </c>
      <c r="U218" s="318">
        <f>U217+T218*K218</f>
        <v>1217.6650617423065</v>
      </c>
      <c r="V218" s="369"/>
      <c r="X218" s="67">
        <v>2</v>
      </c>
      <c r="Y218" s="68">
        <f>'Structural Information'!$Z$10</f>
        <v>40.367000000000004</v>
      </c>
      <c r="Z218" s="68">
        <f t="shared" si="102"/>
        <v>7.77597962254411</v>
      </c>
      <c r="AA218" s="68">
        <f t="shared" si="103"/>
        <v>44.711882829628635</v>
      </c>
      <c r="AB218" s="68">
        <f>(('Structural Information'!$Z$6*M214+'Structural Information'!$Z$7*M215+'Structural Information'!$Z$8*M216+'Structural Information'!$Z$9*M217+'Structural Information'!$Z$10*M218+'Structural Information'!$Z$11*M219)^2)/('Structural Information'!$Z$6*M214*M214+'Structural Information'!$Z$7*M215*M215+'Structural Information'!$Z$8*M216*M216+'Structural Information'!$Z$9*M217*M217+'Structural Information'!$Z$10*M218*M218+'Structural Information'!$Z$11*M219*M219)</f>
        <v>201.78724365604677</v>
      </c>
    </row>
    <row r="219" spans="10:28" x14ac:dyDescent="0.25">
      <c r="J219" s="366">
        <v>1</v>
      </c>
      <c r="K219" s="318">
        <f>'Structural Information'!$U$11</f>
        <v>2.75</v>
      </c>
      <c r="L219" s="318">
        <f>K219</f>
        <v>2.75</v>
      </c>
      <c r="M219" s="367">
        <f>'Yield Mechanism'!$X$62</f>
        <v>6.2315723183639362E-3</v>
      </c>
      <c r="N219" s="69">
        <f>M219</f>
        <v>6.2315723183639362E-3</v>
      </c>
      <c r="O219" s="368">
        <f t="shared" si="101"/>
        <v>2.2660262975868861E-3</v>
      </c>
      <c r="P219" s="367">
        <f>$C$31</f>
        <v>5.3120868684138484E-3</v>
      </c>
      <c r="Q219" s="367">
        <f>$D$31</f>
        <v>1.780731968888595E-3</v>
      </c>
      <c r="R219" s="68">
        <f t="shared" ref="R219" si="107">O219/P219</f>
        <v>0.42657929994723626</v>
      </c>
      <c r="S219" s="68">
        <f t="shared" si="106"/>
        <v>1.2725251959177084</v>
      </c>
      <c r="T219" s="497">
        <f>'Yield Mechanism'!$AI$62</f>
        <v>136.56743632304386</v>
      </c>
      <c r="U219" s="318">
        <f>U218+T219*K219</f>
        <v>1593.2255116306771</v>
      </c>
      <c r="V219" s="372"/>
      <c r="X219" s="67">
        <v>1</v>
      </c>
      <c r="Y219" s="68">
        <f>'Structural Information'!$Z$11</f>
        <v>40.367000000000004</v>
      </c>
      <c r="Z219" s="68">
        <f t="shared" si="102"/>
        <v>0.25154987977539706</v>
      </c>
      <c r="AA219" s="68">
        <f t="shared" si="103"/>
        <v>0.69176216938234192</v>
      </c>
      <c r="AB219" s="66" t="s">
        <v>379</v>
      </c>
    </row>
    <row r="220" spans="10:28" x14ac:dyDescent="0.25">
      <c r="X220" s="373"/>
      <c r="Y220" s="66" t="s">
        <v>95</v>
      </c>
      <c r="Z220" s="374">
        <f>SUM(Z214:Z219)</f>
        <v>39.66821669353935</v>
      </c>
      <c r="AA220" s="374">
        <f>SUM(AA214:AA219)</f>
        <v>462.77807168865041</v>
      </c>
      <c r="AB220" s="317">
        <f>2*PI()*SQRT(AB218/AB216)</f>
        <v>3.4152661743160944</v>
      </c>
    </row>
    <row r="223" spans="10:28" x14ac:dyDescent="0.25">
      <c r="J223" s="901" t="s">
        <v>422</v>
      </c>
      <c r="K223" s="902"/>
      <c r="L223" s="902"/>
      <c r="M223" s="902"/>
      <c r="N223" s="902"/>
      <c r="O223" s="902"/>
      <c r="P223" s="902"/>
      <c r="Q223" s="903"/>
      <c r="R223" s="899" t="s">
        <v>421</v>
      </c>
      <c r="S223" s="364" t="s">
        <v>264</v>
      </c>
      <c r="T223" s="892" t="s">
        <v>243</v>
      </c>
    </row>
    <row r="224" spans="10:28" x14ac:dyDescent="0.25">
      <c r="J224" s="582" t="s">
        <v>9</v>
      </c>
      <c r="K224" s="582" t="s">
        <v>423</v>
      </c>
      <c r="L224" s="900" t="s">
        <v>424</v>
      </c>
      <c r="M224" s="582" t="s">
        <v>289</v>
      </c>
      <c r="N224" s="900" t="s">
        <v>290</v>
      </c>
      <c r="O224" s="582" t="s">
        <v>425</v>
      </c>
      <c r="P224" s="895" t="s">
        <v>263</v>
      </c>
      <c r="Q224" s="897" t="s">
        <v>262</v>
      </c>
      <c r="R224" s="899"/>
      <c r="S224" s="907" t="s">
        <v>262</v>
      </c>
      <c r="T224" s="893"/>
    </row>
    <row r="225" spans="10:20" x14ac:dyDescent="0.25">
      <c r="J225" s="582">
        <v>0</v>
      </c>
      <c r="K225" s="582">
        <v>0</v>
      </c>
      <c r="L225" s="900">
        <v>0</v>
      </c>
      <c r="M225" s="582">
        <v>0</v>
      </c>
      <c r="N225" s="900">
        <v>0</v>
      </c>
      <c r="O225" s="582">
        <v>0</v>
      </c>
      <c r="P225" s="896"/>
      <c r="Q225" s="898"/>
      <c r="R225" s="899"/>
      <c r="S225" s="907"/>
      <c r="T225" s="894"/>
    </row>
    <row r="226" spans="10:20" x14ac:dyDescent="0.25">
      <c r="J226" s="269">
        <v>6</v>
      </c>
      <c r="K226" s="321">
        <v>0.2857142857142857</v>
      </c>
      <c r="L226" s="321">
        <v>0.2857142857142857</v>
      </c>
      <c r="M226" s="269">
        <v>9.2424999999999886E-4</v>
      </c>
      <c r="N226" s="317">
        <v>28.169354285714292</v>
      </c>
      <c r="O226" s="405">
        <f t="shared" ref="O226:O231" si="108">N226/M226</f>
        <v>30478.067931527537</v>
      </c>
      <c r="P226" s="317">
        <v>3705.0091458580678</v>
      </c>
      <c r="Q226" s="406">
        <f t="shared" ref="Q226:Q230" si="109">O226-P226</f>
        <v>26773.058785669469</v>
      </c>
      <c r="R226" s="68">
        <v>7645.3055715294167</v>
      </c>
      <c r="S226" s="407">
        <f>'System Capacities'!J19</f>
        <v>57872.191665046179</v>
      </c>
      <c r="T226" s="408">
        <f>(Q226-S226)/Q226</f>
        <v>-1.1615831096603282</v>
      </c>
    </row>
    <row r="227" spans="10:20" x14ac:dyDescent="0.25">
      <c r="J227" s="269">
        <v>5</v>
      </c>
      <c r="K227" s="321">
        <v>0.23809523809523808</v>
      </c>
      <c r="L227" s="321">
        <v>0.52380952380952372</v>
      </c>
      <c r="M227" s="269">
        <v>1.4321900000000016E-3</v>
      </c>
      <c r="N227" s="317">
        <v>51.643816190476194</v>
      </c>
      <c r="O227" s="405">
        <f t="shared" si="108"/>
        <v>36059.333042736049</v>
      </c>
      <c r="P227" s="317">
        <v>3860.9974288689132</v>
      </c>
      <c r="Q227" s="406">
        <f t="shared" si="109"/>
        <v>32198.335613867137</v>
      </c>
      <c r="R227" s="68">
        <v>11879.94598367702</v>
      </c>
      <c r="S227" s="407">
        <f>'System Capacities'!J20</f>
        <v>77629.774959695918</v>
      </c>
      <c r="T227" s="408">
        <f t="shared" ref="T227:T231" si="110">(Q227-S227)/Q227</f>
        <v>-1.4109871979302691</v>
      </c>
    </row>
    <row r="228" spans="10:20" x14ac:dyDescent="0.25">
      <c r="J228" s="269">
        <v>4</v>
      </c>
      <c r="K228" s="321">
        <v>0.19047619047619047</v>
      </c>
      <c r="L228" s="321">
        <v>0.71428571428571419</v>
      </c>
      <c r="M228" s="269">
        <v>1.8610400000000004E-3</v>
      </c>
      <c r="N228" s="317">
        <v>70.423385714285715</v>
      </c>
      <c r="O228" s="405">
        <f t="shared" si="108"/>
        <v>37840.876990438519</v>
      </c>
      <c r="P228" s="317">
        <v>4018.1887879425876</v>
      </c>
      <c r="Q228" s="406">
        <f t="shared" si="109"/>
        <v>33822.688202495934</v>
      </c>
      <c r="R228" s="68">
        <v>14466.510891244869</v>
      </c>
      <c r="S228" s="407">
        <f>'System Capacities'!J21</f>
        <v>83974.856133256253</v>
      </c>
      <c r="T228" s="408">
        <f t="shared" si="110"/>
        <v>-1.4827966254633584</v>
      </c>
    </row>
    <row r="229" spans="10:20" x14ac:dyDescent="0.25">
      <c r="J229" s="269">
        <v>3</v>
      </c>
      <c r="K229" s="321">
        <v>0.14285714285714285</v>
      </c>
      <c r="L229" s="321">
        <v>0.85714285714285698</v>
      </c>
      <c r="M229" s="269">
        <v>1.9972099999999993E-3</v>
      </c>
      <c r="N229" s="317">
        <v>84.50806285714286</v>
      </c>
      <c r="O229" s="405">
        <f t="shared" si="108"/>
        <v>42313.05814468328</v>
      </c>
      <c r="P229" s="317">
        <v>5304.8611101498182</v>
      </c>
      <c r="Q229" s="406">
        <f t="shared" si="109"/>
        <v>37008.197034533463</v>
      </c>
      <c r="R229" s="68">
        <v>18700.268787204248</v>
      </c>
      <c r="S229" s="407">
        <f>'System Capacities'!J22</f>
        <v>90193.202010721143</v>
      </c>
      <c r="T229" s="408">
        <f t="shared" si="110"/>
        <v>-1.4371141865289776</v>
      </c>
    </row>
    <row r="230" spans="10:20" x14ac:dyDescent="0.25">
      <c r="J230" s="269">
        <v>2</v>
      </c>
      <c r="K230" s="321">
        <v>9.5238095238095233E-2</v>
      </c>
      <c r="L230" s="321">
        <v>0.95238095238095222</v>
      </c>
      <c r="M230" s="269">
        <v>2.1962100000000005E-3</v>
      </c>
      <c r="N230" s="317">
        <v>93.897847619047624</v>
      </c>
      <c r="O230" s="405">
        <f t="shared" si="108"/>
        <v>42754.494159960843</v>
      </c>
      <c r="P230" s="317">
        <v>5674.1407270611107</v>
      </c>
      <c r="Q230" s="406">
        <f t="shared" si="109"/>
        <v>37080.353432899734</v>
      </c>
      <c r="R230" s="68">
        <v>22196.88197302751</v>
      </c>
      <c r="S230" s="407">
        <f>'System Capacities'!J23</f>
        <v>0</v>
      </c>
      <c r="T230" s="408">
        <f t="shared" si="110"/>
        <v>1</v>
      </c>
    </row>
    <row r="231" spans="10:20" x14ac:dyDescent="0.25">
      <c r="J231" s="269">
        <v>1</v>
      </c>
      <c r="K231" s="321">
        <v>4.7619047619047616E-2</v>
      </c>
      <c r="L231" s="321">
        <v>0.99999999999999978</v>
      </c>
      <c r="M231" s="269">
        <v>1.5925999999999998E-3</v>
      </c>
      <c r="N231" s="317">
        <v>98.592739999999992</v>
      </c>
      <c r="O231" s="405">
        <f t="shared" si="108"/>
        <v>61906.781363807611</v>
      </c>
      <c r="P231" s="317">
        <v>14467.52811381129</v>
      </c>
      <c r="Q231" s="406">
        <f>O231-P231</f>
        <v>47439.25324999632</v>
      </c>
      <c r="R231" s="68">
        <v>33505.258554760039</v>
      </c>
      <c r="S231" s="407">
        <f>'System Capacities'!J24</f>
        <v>104801.84736419223</v>
      </c>
      <c r="T231" s="409">
        <f t="shared" si="110"/>
        <v>-1.2091799550870959</v>
      </c>
    </row>
    <row r="232" spans="10:20" x14ac:dyDescent="0.25">
      <c r="J232" s="410"/>
      <c r="K232" s="335"/>
      <c r="L232" s="335"/>
      <c r="M232" s="335"/>
      <c r="N232" s="335"/>
      <c r="O232" s="335"/>
      <c r="P232" s="38"/>
      <c r="Q232" s="38"/>
      <c r="R232" s="38"/>
      <c r="S232" s="38"/>
      <c r="T232" s="411"/>
    </row>
    <row r="233" spans="10:20" x14ac:dyDescent="0.25">
      <c r="J233" s="908" t="s">
        <v>426</v>
      </c>
      <c r="K233" s="908">
        <v>0</v>
      </c>
      <c r="L233" s="908">
        <v>0</v>
      </c>
      <c r="M233" s="269">
        <f>SUM(M226:M231)</f>
        <v>1.00035E-2</v>
      </c>
      <c r="N233" s="317">
        <f>N231</f>
        <v>98.592739999999992</v>
      </c>
      <c r="O233" s="405">
        <f>N233/M233</f>
        <v>9855.8244614384948</v>
      </c>
      <c r="P233" s="412"/>
      <c r="Q233" s="412"/>
      <c r="R233" s="412"/>
      <c r="S233" s="412"/>
      <c r="T233" s="413"/>
    </row>
    <row r="234" spans="10:20" x14ac:dyDescent="0.25">
      <c r="J234" s="414"/>
      <c r="K234" s="38"/>
      <c r="L234" s="38"/>
      <c r="M234" s="38"/>
      <c r="N234" s="38"/>
      <c r="O234" s="38"/>
      <c r="P234" s="38"/>
      <c r="Q234" s="38"/>
      <c r="R234" s="38"/>
      <c r="S234" s="38"/>
      <c r="T234" s="411"/>
    </row>
    <row r="235" spans="10:20" x14ac:dyDescent="0.25">
      <c r="J235" s="414"/>
      <c r="K235" s="38"/>
      <c r="L235" s="928" t="s">
        <v>289</v>
      </c>
      <c r="M235" s="895" t="s">
        <v>290</v>
      </c>
      <c r="N235" s="582" t="s">
        <v>291</v>
      </c>
      <c r="O235" s="897" t="s">
        <v>262</v>
      </c>
      <c r="P235" s="892" t="s">
        <v>243</v>
      </c>
      <c r="Q235" s="582" t="s">
        <v>289</v>
      </c>
      <c r="R235" s="900" t="s">
        <v>290</v>
      </c>
      <c r="S235" s="582" t="s">
        <v>292</v>
      </c>
      <c r="T235" s="892" t="s">
        <v>243</v>
      </c>
    </row>
    <row r="236" spans="10:20" x14ac:dyDescent="0.25">
      <c r="J236" s="414"/>
      <c r="K236" s="38"/>
      <c r="L236" s="581"/>
      <c r="M236" s="896"/>
      <c r="N236" s="582"/>
      <c r="O236" s="898"/>
      <c r="P236" s="893"/>
      <c r="Q236" s="582"/>
      <c r="R236" s="900"/>
      <c r="S236" s="582"/>
      <c r="T236" s="893"/>
    </row>
    <row r="237" spans="10:20" x14ac:dyDescent="0.25">
      <c r="J237" s="414"/>
      <c r="K237" s="38"/>
      <c r="L237" s="269">
        <v>4.8060000000000463E-4</v>
      </c>
      <c r="M237" s="317">
        <v>15.516857142857134</v>
      </c>
      <c r="N237" s="405">
        <v>32286.427679685778</v>
      </c>
      <c r="O237" s="406">
        <f>N237-P226</f>
        <v>28581.418533827709</v>
      </c>
      <c r="P237" s="408">
        <f>(O237-S226)/O237</f>
        <v>-1.0248187330713203</v>
      </c>
      <c r="Q237" s="269">
        <v>-5.92200000000008E-4</v>
      </c>
      <c r="R237" s="317">
        <v>-25.585599999999999</v>
      </c>
      <c r="S237" s="405">
        <v>43204.322863896748</v>
      </c>
      <c r="T237" s="408">
        <f t="shared" ref="T237:T242" si="111">(S226-S237)/S226</f>
        <v>0.25345279622455658</v>
      </c>
    </row>
    <row r="238" spans="10:20" x14ac:dyDescent="0.25">
      <c r="J238" s="414"/>
      <c r="K238" s="38"/>
      <c r="L238" s="269">
        <v>8.3019999999999969E-4</v>
      </c>
      <c r="M238" s="317">
        <v>28.447571428571408</v>
      </c>
      <c r="N238" s="405">
        <v>34265.925594521104</v>
      </c>
      <c r="O238" s="406">
        <f t="shared" ref="O238:O242" si="112">N238-P227</f>
        <v>30404.928165652193</v>
      </c>
      <c r="P238" s="408">
        <f t="shared" ref="P238:P242" si="113">(O238-S227)/O238</f>
        <v>-1.5531971178077848</v>
      </c>
      <c r="Q238" s="269">
        <v>-9.9079999999999308E-4</v>
      </c>
      <c r="R238" s="317">
        <v>-46.906933333333328</v>
      </c>
      <c r="S238" s="405">
        <v>47342.484187861985</v>
      </c>
      <c r="T238" s="408">
        <f t="shared" si="111"/>
        <v>0.39015043889485174</v>
      </c>
    </row>
    <row r="239" spans="10:20" x14ac:dyDescent="0.25">
      <c r="J239" s="414"/>
      <c r="K239" s="38"/>
      <c r="L239" s="269">
        <v>3.3811999999999974E-3</v>
      </c>
      <c r="M239" s="317">
        <v>38.792142857142828</v>
      </c>
      <c r="N239" s="405">
        <v>11472.892126210474</v>
      </c>
      <c r="O239" s="406">
        <f>N239-P228</f>
        <v>7454.7033382678865</v>
      </c>
      <c r="P239" s="408">
        <f>(O239-S228)/O239</f>
        <v>-10.264681144611176</v>
      </c>
      <c r="Q239" s="269">
        <v>-1.6271000000000063E-3</v>
      </c>
      <c r="R239" s="317">
        <v>-63.963999999999992</v>
      </c>
      <c r="S239" s="405">
        <v>39311.658779423356</v>
      </c>
      <c r="T239" s="408">
        <f t="shared" si="111"/>
        <v>0.531863934163325</v>
      </c>
    </row>
    <row r="240" spans="10:20" x14ac:dyDescent="0.25">
      <c r="J240" s="414"/>
      <c r="K240" s="38"/>
      <c r="L240" s="269">
        <v>4.0860999999999988E-3</v>
      </c>
      <c r="M240" s="317">
        <v>46.550571428571395</v>
      </c>
      <c r="N240" s="405">
        <v>11392.420995220726</v>
      </c>
      <c r="O240" s="406">
        <f t="shared" si="112"/>
        <v>6087.5598850709075</v>
      </c>
      <c r="P240" s="408">
        <f t="shared" si="113"/>
        <v>-13.815985996607667</v>
      </c>
      <c r="Q240" s="269">
        <v>-1.3024999999999981E-3</v>
      </c>
      <c r="R240" s="317">
        <v>-76.756799999999984</v>
      </c>
      <c r="S240" s="405">
        <v>58930.364683301414</v>
      </c>
      <c r="T240" s="408">
        <f t="shared" si="111"/>
        <v>0.34662077219193926</v>
      </c>
    </row>
    <row r="241" spans="10:20" x14ac:dyDescent="0.25">
      <c r="J241" s="414"/>
      <c r="K241" s="38"/>
      <c r="L241" s="269">
        <v>5.7508500000000001E-3</v>
      </c>
      <c r="M241" s="317">
        <v>51.722857142857102</v>
      </c>
      <c r="N241" s="405">
        <v>8993.9499626763172</v>
      </c>
      <c r="O241" s="406">
        <f t="shared" si="112"/>
        <v>3319.8092356152065</v>
      </c>
      <c r="P241" s="408">
        <f t="shared" si="113"/>
        <v>1</v>
      </c>
      <c r="Q241" s="269">
        <v>2.0582000000000003E-2</v>
      </c>
      <c r="R241" s="317">
        <v>-85.285333333333313</v>
      </c>
      <c r="S241" s="405">
        <v>-4143.6854209179528</v>
      </c>
      <c r="T241" s="408" t="e">
        <f t="shared" si="111"/>
        <v>#DIV/0!</v>
      </c>
    </row>
    <row r="242" spans="10:20" x14ac:dyDescent="0.25">
      <c r="J242" s="414"/>
      <c r="K242" s="38"/>
      <c r="L242" s="269">
        <v>2.6744500000000001E-3</v>
      </c>
      <c r="M242" s="317">
        <v>54.308999999999955</v>
      </c>
      <c r="N242" s="405">
        <v>20306.605096374937</v>
      </c>
      <c r="O242" s="406">
        <f t="shared" si="112"/>
        <v>5839.0769825636471</v>
      </c>
      <c r="P242" s="408">
        <f t="shared" si="113"/>
        <v>-16.948358563715832</v>
      </c>
      <c r="Q242" s="269">
        <v>-8.7070000000000029E-4</v>
      </c>
      <c r="R242" s="317">
        <v>-89.549599999999984</v>
      </c>
      <c r="S242" s="405">
        <v>102847.82359021471</v>
      </c>
      <c r="T242" s="408">
        <f t="shared" si="111"/>
        <v>1.8644936354863837E-2</v>
      </c>
    </row>
    <row r="243" spans="10:20" x14ac:dyDescent="0.25">
      <c r="J243" s="414"/>
      <c r="K243" s="38"/>
      <c r="L243" s="38"/>
      <c r="M243" s="414"/>
      <c r="N243" s="38"/>
      <c r="O243" s="38"/>
      <c r="P243" s="38"/>
      <c r="Q243" s="38"/>
      <c r="R243" s="38"/>
      <c r="S243" s="38"/>
      <c r="T243" s="411"/>
    </row>
    <row r="244" spans="10:20" x14ac:dyDescent="0.25">
      <c r="J244" s="908" t="str">
        <f>J233</f>
        <v>Structure Stiffness (kN/m)</v>
      </c>
      <c r="K244" s="908">
        <v>0</v>
      </c>
      <c r="L244" s="908">
        <v>0</v>
      </c>
      <c r="M244" s="269">
        <f>SUM(L237:L242)</f>
        <v>1.7203400000000001E-2</v>
      </c>
      <c r="N244" s="317">
        <f>M242</f>
        <v>54.308999999999955</v>
      </c>
      <c r="O244" s="405">
        <f>N244/M244</f>
        <v>3156.8759663787364</v>
      </c>
      <c r="P244" s="412"/>
      <c r="Q244" s="269">
        <f>SUM(Q237:Q242)</f>
        <v>1.5198699999999997E-2</v>
      </c>
      <c r="R244" s="251">
        <f>R242</f>
        <v>-89.549599999999984</v>
      </c>
      <c r="S244" s="405">
        <f>R244/Q244</f>
        <v>-5891.9249672669375</v>
      </c>
      <c r="T244" s="413"/>
    </row>
  </sheetData>
  <mergeCells count="458"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E41:E42"/>
    <mergeCell ref="F41:F42"/>
    <mergeCell ref="G41:G42"/>
    <mergeCell ref="C185:F185"/>
    <mergeCell ref="D186:D187"/>
    <mergeCell ref="E186:E187"/>
    <mergeCell ref="B123:H123"/>
    <mergeCell ref="D124:H124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V102:V103"/>
    <mergeCell ref="J112:V112"/>
    <mergeCell ref="J123:V123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U36:U37"/>
    <mergeCell ref="V36:V37"/>
    <mergeCell ref="J46:V46"/>
    <mergeCell ref="J36:J37"/>
    <mergeCell ref="K36:K37"/>
    <mergeCell ref="J244:L244"/>
    <mergeCell ref="L235:L236"/>
    <mergeCell ref="O235:O236"/>
    <mergeCell ref="M235:M236"/>
    <mergeCell ref="N235:N236"/>
    <mergeCell ref="Q235:Q236"/>
    <mergeCell ref="R235:R236"/>
    <mergeCell ref="S235:S236"/>
    <mergeCell ref="P235:P236"/>
    <mergeCell ref="J79:V79"/>
    <mergeCell ref="R69:R70"/>
    <mergeCell ref="S69:S70"/>
    <mergeCell ref="T69:T70"/>
    <mergeCell ref="U69:U70"/>
    <mergeCell ref="V69:V70"/>
    <mergeCell ref="J90:V90"/>
    <mergeCell ref="J134:V134"/>
    <mergeCell ref="J145:V145"/>
    <mergeCell ref="J156:V156"/>
    <mergeCell ref="T235:T236"/>
    <mergeCell ref="F186:F187"/>
    <mergeCell ref="S3:S4"/>
    <mergeCell ref="Q3:Q4"/>
    <mergeCell ref="Q14:Q15"/>
    <mergeCell ref="S14:S15"/>
    <mergeCell ref="Q25:Q26"/>
    <mergeCell ref="S25:S26"/>
    <mergeCell ref="Q36:Q37"/>
    <mergeCell ref="S36:S37"/>
    <mergeCell ref="Q47:Q48"/>
    <mergeCell ref="S47:S48"/>
    <mergeCell ref="Q58:Q59"/>
    <mergeCell ref="S58:S59"/>
    <mergeCell ref="R36:R37"/>
    <mergeCell ref="T36:T37"/>
    <mergeCell ref="J167:V167"/>
    <mergeCell ref="J178:V178"/>
    <mergeCell ref="J189:V189"/>
    <mergeCell ref="J200:V200"/>
    <mergeCell ref="J211:V211"/>
    <mergeCell ref="J3:J4"/>
    <mergeCell ref="O3:O4"/>
    <mergeCell ref="P3:P4"/>
    <mergeCell ref="L14:L15"/>
    <mergeCell ref="M14:M15"/>
    <mergeCell ref="N14:N15"/>
    <mergeCell ref="J35:V35"/>
    <mergeCell ref="U3:U4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T14:T15"/>
    <mergeCell ref="U14:U15"/>
    <mergeCell ref="V14:V15"/>
    <mergeCell ref="AB3:AB4"/>
    <mergeCell ref="V3:V4"/>
    <mergeCell ref="J14:J15"/>
    <mergeCell ref="K14:K15"/>
    <mergeCell ref="L36:L37"/>
    <mergeCell ref="M36:M37"/>
    <mergeCell ref="N36:N37"/>
    <mergeCell ref="O36:O37"/>
    <mergeCell ref="P36:P37"/>
    <mergeCell ref="R58:R59"/>
    <mergeCell ref="T58:T59"/>
    <mergeCell ref="P47:P48"/>
    <mergeCell ref="R47:R48"/>
    <mergeCell ref="T47:T48"/>
    <mergeCell ref="U47:U48"/>
    <mergeCell ref="V47:V48"/>
    <mergeCell ref="J47:J48"/>
    <mergeCell ref="K47:K48"/>
    <mergeCell ref="L47:L48"/>
    <mergeCell ref="M47:M48"/>
    <mergeCell ref="N47:N48"/>
    <mergeCell ref="O47:O48"/>
    <mergeCell ref="U58:U59"/>
    <mergeCell ref="V58:V59"/>
    <mergeCell ref="J57:V57"/>
    <mergeCell ref="J58:J59"/>
    <mergeCell ref="K58:K59"/>
    <mergeCell ref="L58:L59"/>
    <mergeCell ref="M58:M59"/>
    <mergeCell ref="N58:N59"/>
    <mergeCell ref="O58:O59"/>
    <mergeCell ref="P58:P59"/>
    <mergeCell ref="X35:AB35"/>
    <mergeCell ref="X36:X37"/>
    <mergeCell ref="Y36:Y37"/>
    <mergeCell ref="Z36:Z37"/>
    <mergeCell ref="AA36:AA37"/>
    <mergeCell ref="AB36:AB37"/>
    <mergeCell ref="X13:AB13"/>
    <mergeCell ref="X14:X15"/>
    <mergeCell ref="Y14:Y15"/>
    <mergeCell ref="Z14:Z15"/>
    <mergeCell ref="AA14:AA15"/>
    <mergeCell ref="AB14:AB15"/>
    <mergeCell ref="X24:AB24"/>
    <mergeCell ref="X25:X26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J68:V68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B134:H134"/>
    <mergeCell ref="S224:S225"/>
    <mergeCell ref="J233:L233"/>
    <mergeCell ref="B124:B125"/>
    <mergeCell ref="C124:C125"/>
    <mergeCell ref="B135:B136"/>
    <mergeCell ref="C135:C136"/>
    <mergeCell ref="D135:D136"/>
    <mergeCell ref="E135:E136"/>
    <mergeCell ref="F135:F136"/>
    <mergeCell ref="G135:G136"/>
    <mergeCell ref="H135:H136"/>
    <mergeCell ref="C186:C187"/>
    <mergeCell ref="T223:T225"/>
    <mergeCell ref="P224:P225"/>
    <mergeCell ref="Q224:Q225"/>
    <mergeCell ref="R223:R225"/>
    <mergeCell ref="J224:J225"/>
    <mergeCell ref="K224:K225"/>
    <mergeCell ref="L224:L225"/>
    <mergeCell ref="M224:M225"/>
    <mergeCell ref="N224:N225"/>
    <mergeCell ref="O224:O225"/>
    <mergeCell ref="J223:Q22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2021-03-01T11:33:30Z</dcterms:modified>
</cp:coreProperties>
</file>